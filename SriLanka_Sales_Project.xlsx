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My projects sql\New folder\"/>
    </mc:Choice>
  </mc:AlternateContent>
  <xr:revisionPtr revIDLastSave="0" documentId="13_ncr:1_{6E396F05-F932-4FBE-9428-F9539A15B6A8}" xr6:coauthVersionLast="47" xr6:coauthVersionMax="47" xr10:uidLastSave="{00000000-0000-0000-0000-000000000000}"/>
  <bookViews>
    <workbookView xWindow="-120" yWindow="-120" windowWidth="20730" windowHeight="11160" activeTab="6" xr2:uid="{00000000-000D-0000-FFFF-FFFF00000000}"/>
  </bookViews>
  <sheets>
    <sheet name="Raw Sales Data" sheetId="1" r:id="rId1"/>
    <sheet name="Sheet3" sheetId="6" r:id="rId2"/>
    <sheet name="KPI" sheetId="7" r:id="rId3"/>
    <sheet name="Detail1" sheetId="9" state="hidden" r:id="rId4"/>
    <sheet name="Detail2" sheetId="10" state="hidden" r:id="rId5"/>
    <sheet name="Pivot Tables" sheetId="8" r:id="rId6"/>
    <sheet name="Sheet6" sheetId="11" r:id="rId7"/>
  </sheets>
  <definedNames>
    <definedName name="_xlnm._FilterDatabase" localSheetId="0" hidden="1">'Raw Sales Data'!$A$1:$P$996</definedName>
    <definedName name="_xlnm._FilterDatabase" localSheetId="1" hidden="1">Sheet3!$A$1:$Q$991</definedName>
    <definedName name="Slicer_Category">#N/A</definedName>
    <definedName name="Slicer_Order_Status">#N/A</definedName>
    <definedName name="Slicer_Region">#N/A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6" l="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B2" i="7"/>
  <c r="B3" i="7"/>
  <c r="B4" i="7"/>
  <c r="B5" i="7"/>
  <c r="B6" i="7"/>
  <c r="L991" i="6"/>
  <c r="M991" i="6" s="1"/>
  <c r="L990" i="6"/>
  <c r="L989" i="6"/>
  <c r="L988" i="6"/>
  <c r="L987" i="6"/>
  <c r="M987" i="6" s="1"/>
  <c r="L986" i="6"/>
  <c r="L985" i="6"/>
  <c r="M985" i="6" s="1"/>
  <c r="N985" i="6" s="1"/>
  <c r="L984" i="6"/>
  <c r="M984" i="6" s="1"/>
  <c r="N984" i="6" s="1"/>
  <c r="L983" i="6"/>
  <c r="M983" i="6" s="1"/>
  <c r="L982" i="6"/>
  <c r="L981" i="6"/>
  <c r="M981" i="6" s="1"/>
  <c r="N981" i="6" s="1"/>
  <c r="L980" i="6"/>
  <c r="L979" i="6"/>
  <c r="M979" i="6" s="1"/>
  <c r="L978" i="6"/>
  <c r="L977" i="6"/>
  <c r="M977" i="6" s="1"/>
  <c r="N977" i="6" s="1"/>
  <c r="L976" i="6"/>
  <c r="L975" i="6"/>
  <c r="M975" i="6" s="1"/>
  <c r="L974" i="6"/>
  <c r="L973" i="6"/>
  <c r="M973" i="6" s="1"/>
  <c r="N973" i="6" s="1"/>
  <c r="L972" i="6"/>
  <c r="L971" i="6"/>
  <c r="M971" i="6" s="1"/>
  <c r="L970" i="6"/>
  <c r="L969" i="6"/>
  <c r="M969" i="6" s="1"/>
  <c r="N969" i="6" s="1"/>
  <c r="L968" i="6"/>
  <c r="M968" i="6" s="1"/>
  <c r="N968" i="6" s="1"/>
  <c r="L967" i="6"/>
  <c r="M967" i="6" s="1"/>
  <c r="L966" i="6"/>
  <c r="L965" i="6"/>
  <c r="M965" i="6" s="1"/>
  <c r="N965" i="6" s="1"/>
  <c r="L964" i="6"/>
  <c r="M964" i="6" s="1"/>
  <c r="N964" i="6" s="1"/>
  <c r="L963" i="6"/>
  <c r="M963" i="6" s="1"/>
  <c r="L962" i="6"/>
  <c r="L961" i="6"/>
  <c r="M961" i="6" s="1"/>
  <c r="N961" i="6" s="1"/>
  <c r="L960" i="6"/>
  <c r="L959" i="6"/>
  <c r="M959" i="6" s="1"/>
  <c r="L958" i="6"/>
  <c r="L957" i="6"/>
  <c r="M957" i="6" s="1"/>
  <c r="N957" i="6" s="1"/>
  <c r="L956" i="6"/>
  <c r="L955" i="6"/>
  <c r="M955" i="6" s="1"/>
  <c r="L954" i="6"/>
  <c r="L953" i="6"/>
  <c r="M953" i="6" s="1"/>
  <c r="N953" i="6" s="1"/>
  <c r="L952" i="6"/>
  <c r="M952" i="6" s="1"/>
  <c r="N952" i="6" s="1"/>
  <c r="L951" i="6"/>
  <c r="M951" i="6" s="1"/>
  <c r="L950" i="6"/>
  <c r="L949" i="6"/>
  <c r="M949" i="6" s="1"/>
  <c r="N949" i="6" s="1"/>
  <c r="L948" i="6"/>
  <c r="L947" i="6"/>
  <c r="M947" i="6" s="1"/>
  <c r="L946" i="6"/>
  <c r="L945" i="6"/>
  <c r="M945" i="6" s="1"/>
  <c r="N945" i="6" s="1"/>
  <c r="L944" i="6"/>
  <c r="M944" i="6" s="1"/>
  <c r="L943" i="6"/>
  <c r="M943" i="6" s="1"/>
  <c r="L942" i="6"/>
  <c r="L941" i="6"/>
  <c r="M941" i="6" s="1"/>
  <c r="N941" i="6" s="1"/>
  <c r="L940" i="6"/>
  <c r="L939" i="6"/>
  <c r="M939" i="6" s="1"/>
  <c r="L938" i="6"/>
  <c r="L937" i="6"/>
  <c r="M937" i="6" s="1"/>
  <c r="N937" i="6" s="1"/>
  <c r="L936" i="6"/>
  <c r="M936" i="6" s="1"/>
  <c r="N936" i="6" s="1"/>
  <c r="L935" i="6"/>
  <c r="M935" i="6" s="1"/>
  <c r="L934" i="6"/>
  <c r="L933" i="6"/>
  <c r="M933" i="6" s="1"/>
  <c r="N933" i="6" s="1"/>
  <c r="L932" i="6"/>
  <c r="M932" i="6" s="1"/>
  <c r="L931" i="6"/>
  <c r="M931" i="6" s="1"/>
  <c r="L930" i="6"/>
  <c r="L929" i="6"/>
  <c r="M929" i="6" s="1"/>
  <c r="N929" i="6" s="1"/>
  <c r="L928" i="6"/>
  <c r="M928" i="6" s="1"/>
  <c r="L927" i="6"/>
  <c r="M927" i="6" s="1"/>
  <c r="L926" i="6"/>
  <c r="L925" i="6"/>
  <c r="M925" i="6" s="1"/>
  <c r="N925" i="6" s="1"/>
  <c r="L924" i="6"/>
  <c r="L923" i="6"/>
  <c r="M923" i="6" s="1"/>
  <c r="L922" i="6"/>
  <c r="L921" i="6"/>
  <c r="M921" i="6" s="1"/>
  <c r="N921" i="6" s="1"/>
  <c r="L920" i="6"/>
  <c r="M920" i="6" s="1"/>
  <c r="N920" i="6" s="1"/>
  <c r="L919" i="6"/>
  <c r="M919" i="6" s="1"/>
  <c r="L918" i="6"/>
  <c r="L917" i="6"/>
  <c r="M917" i="6" s="1"/>
  <c r="N917" i="6" s="1"/>
  <c r="L916" i="6"/>
  <c r="L915" i="6"/>
  <c r="M915" i="6" s="1"/>
  <c r="L914" i="6"/>
  <c r="L913" i="6"/>
  <c r="M913" i="6" s="1"/>
  <c r="N913" i="6" s="1"/>
  <c r="L912" i="6"/>
  <c r="L911" i="6"/>
  <c r="M911" i="6" s="1"/>
  <c r="L910" i="6"/>
  <c r="L909" i="6"/>
  <c r="M909" i="6" s="1"/>
  <c r="N909" i="6" s="1"/>
  <c r="L908" i="6"/>
  <c r="L907" i="6"/>
  <c r="M907" i="6" s="1"/>
  <c r="L906" i="6"/>
  <c r="L905" i="6"/>
  <c r="M905" i="6" s="1"/>
  <c r="N905" i="6" s="1"/>
  <c r="L904" i="6"/>
  <c r="M904" i="6" s="1"/>
  <c r="N904" i="6" s="1"/>
  <c r="L903" i="6"/>
  <c r="M903" i="6" s="1"/>
  <c r="L902" i="6"/>
  <c r="L901" i="6"/>
  <c r="M901" i="6" s="1"/>
  <c r="N901" i="6" s="1"/>
  <c r="L900" i="6"/>
  <c r="M900" i="6" s="1"/>
  <c r="N900" i="6" s="1"/>
  <c r="L899" i="6"/>
  <c r="M899" i="6" s="1"/>
  <c r="L898" i="6"/>
  <c r="L897" i="6"/>
  <c r="M897" i="6" s="1"/>
  <c r="N897" i="6" s="1"/>
  <c r="L896" i="6"/>
  <c r="L895" i="6"/>
  <c r="M895" i="6" s="1"/>
  <c r="L894" i="6"/>
  <c r="L893" i="6"/>
  <c r="M893" i="6" s="1"/>
  <c r="N893" i="6" s="1"/>
  <c r="L892" i="6"/>
  <c r="L891" i="6"/>
  <c r="M891" i="6" s="1"/>
  <c r="L890" i="6"/>
  <c r="L889" i="6"/>
  <c r="M889" i="6" s="1"/>
  <c r="N889" i="6" s="1"/>
  <c r="L888" i="6"/>
  <c r="M888" i="6" s="1"/>
  <c r="N888" i="6" s="1"/>
  <c r="L887" i="6"/>
  <c r="M887" i="6" s="1"/>
  <c r="L886" i="6"/>
  <c r="L885" i="6"/>
  <c r="M885" i="6" s="1"/>
  <c r="N885" i="6" s="1"/>
  <c r="L884" i="6"/>
  <c r="L883" i="6"/>
  <c r="M883" i="6" s="1"/>
  <c r="L882" i="6"/>
  <c r="L881" i="6"/>
  <c r="M881" i="6" s="1"/>
  <c r="N881" i="6" s="1"/>
  <c r="L880" i="6"/>
  <c r="M880" i="6" s="1"/>
  <c r="L879" i="6"/>
  <c r="M879" i="6" s="1"/>
  <c r="L878" i="6"/>
  <c r="L877" i="6"/>
  <c r="M877" i="6" s="1"/>
  <c r="N877" i="6" s="1"/>
  <c r="L876" i="6"/>
  <c r="L875" i="6"/>
  <c r="M875" i="6" s="1"/>
  <c r="L874" i="6"/>
  <c r="L873" i="6"/>
  <c r="M873" i="6" s="1"/>
  <c r="N873" i="6" s="1"/>
  <c r="L872" i="6"/>
  <c r="M872" i="6" s="1"/>
  <c r="N872" i="6" s="1"/>
  <c r="L871" i="6"/>
  <c r="M871" i="6" s="1"/>
  <c r="L870" i="6"/>
  <c r="L869" i="6"/>
  <c r="M869" i="6" s="1"/>
  <c r="N869" i="6" s="1"/>
  <c r="L868" i="6"/>
  <c r="M868" i="6" s="1"/>
  <c r="L867" i="6"/>
  <c r="M867" i="6" s="1"/>
  <c r="L866" i="6"/>
  <c r="L865" i="6"/>
  <c r="M865" i="6" s="1"/>
  <c r="N865" i="6" s="1"/>
  <c r="L864" i="6"/>
  <c r="M864" i="6" s="1"/>
  <c r="L863" i="6"/>
  <c r="M863" i="6" s="1"/>
  <c r="L862" i="6"/>
  <c r="L861" i="6"/>
  <c r="M861" i="6" s="1"/>
  <c r="N861" i="6" s="1"/>
  <c r="L860" i="6"/>
  <c r="L859" i="6"/>
  <c r="M859" i="6" s="1"/>
  <c r="L858" i="6"/>
  <c r="L857" i="6"/>
  <c r="M857" i="6" s="1"/>
  <c r="N857" i="6" s="1"/>
  <c r="L856" i="6"/>
  <c r="M856" i="6" s="1"/>
  <c r="N856" i="6" s="1"/>
  <c r="L855" i="6"/>
  <c r="M855" i="6" s="1"/>
  <c r="L854" i="6"/>
  <c r="L853" i="6"/>
  <c r="M853" i="6" s="1"/>
  <c r="N853" i="6" s="1"/>
  <c r="L852" i="6"/>
  <c r="M852" i="6" s="1"/>
  <c r="N852" i="6" s="1"/>
  <c r="L851" i="6"/>
  <c r="M851" i="6" s="1"/>
  <c r="L850" i="6"/>
  <c r="L849" i="6"/>
  <c r="M849" i="6" s="1"/>
  <c r="N849" i="6" s="1"/>
  <c r="L848" i="6"/>
  <c r="L847" i="6"/>
  <c r="M847" i="6" s="1"/>
  <c r="L846" i="6"/>
  <c r="L845" i="6"/>
  <c r="M845" i="6" s="1"/>
  <c r="N845" i="6" s="1"/>
  <c r="L844" i="6"/>
  <c r="L843" i="6"/>
  <c r="M843" i="6" s="1"/>
  <c r="L842" i="6"/>
  <c r="L841" i="6"/>
  <c r="M841" i="6" s="1"/>
  <c r="N841" i="6" s="1"/>
  <c r="L840" i="6"/>
  <c r="M840" i="6" s="1"/>
  <c r="L839" i="6"/>
  <c r="M839" i="6" s="1"/>
  <c r="L838" i="6"/>
  <c r="L837" i="6"/>
  <c r="L836" i="6"/>
  <c r="M836" i="6" s="1"/>
  <c r="N836" i="6" s="1"/>
  <c r="L835" i="6"/>
  <c r="M835" i="6" s="1"/>
  <c r="L834" i="6"/>
  <c r="M834" i="6" s="1"/>
  <c r="L833" i="6"/>
  <c r="M833" i="6" s="1"/>
  <c r="N833" i="6" s="1"/>
  <c r="L832" i="6"/>
  <c r="L831" i="6"/>
  <c r="M831" i="6" s="1"/>
  <c r="L830" i="6"/>
  <c r="L829" i="6"/>
  <c r="M829" i="6" s="1"/>
  <c r="N829" i="6" s="1"/>
  <c r="L828" i="6"/>
  <c r="M828" i="6" s="1"/>
  <c r="N828" i="6" s="1"/>
  <c r="L827" i="6"/>
  <c r="M827" i="6" s="1"/>
  <c r="L826" i="6"/>
  <c r="M826" i="6" s="1"/>
  <c r="L825" i="6"/>
  <c r="L824" i="6"/>
  <c r="M824" i="6" s="1"/>
  <c r="L823" i="6"/>
  <c r="M823" i="6" s="1"/>
  <c r="L822" i="6"/>
  <c r="L821" i="6"/>
  <c r="M821" i="6" s="1"/>
  <c r="L820" i="6"/>
  <c r="L819" i="6"/>
  <c r="M819" i="6" s="1"/>
  <c r="N819" i="6" s="1"/>
  <c r="L818" i="6"/>
  <c r="L817" i="6"/>
  <c r="M817" i="6" s="1"/>
  <c r="L816" i="6"/>
  <c r="L815" i="6"/>
  <c r="M815" i="6" s="1"/>
  <c r="N815" i="6" s="1"/>
  <c r="L814" i="6"/>
  <c r="M814" i="6" s="1"/>
  <c r="N814" i="6" s="1"/>
  <c r="L813" i="6"/>
  <c r="L812" i="6"/>
  <c r="L811" i="6"/>
  <c r="L810" i="6"/>
  <c r="M810" i="6" s="1"/>
  <c r="N810" i="6" s="1"/>
  <c r="L809" i="6"/>
  <c r="M809" i="6" s="1"/>
  <c r="L808" i="6"/>
  <c r="L807" i="6"/>
  <c r="M807" i="6" s="1"/>
  <c r="L806" i="6"/>
  <c r="L805" i="6"/>
  <c r="M805" i="6" s="1"/>
  <c r="L804" i="6"/>
  <c r="L803" i="6"/>
  <c r="M803" i="6" s="1"/>
  <c r="N803" i="6" s="1"/>
  <c r="L802" i="6"/>
  <c r="M802" i="6" s="1"/>
  <c r="L801" i="6"/>
  <c r="M801" i="6" s="1"/>
  <c r="L800" i="6"/>
  <c r="L799" i="6"/>
  <c r="M799" i="6" s="1"/>
  <c r="L798" i="6"/>
  <c r="M798" i="6" s="1"/>
  <c r="N798" i="6" s="1"/>
  <c r="L797" i="6"/>
  <c r="L796" i="6"/>
  <c r="L795" i="6"/>
  <c r="L794" i="6"/>
  <c r="L793" i="6"/>
  <c r="L792" i="6"/>
  <c r="L791" i="6"/>
  <c r="L790" i="6"/>
  <c r="M790" i="6" s="1"/>
  <c r="L789" i="6"/>
  <c r="L788" i="6"/>
  <c r="L787" i="6"/>
  <c r="L786" i="6"/>
  <c r="M786" i="6" s="1"/>
  <c r="N786" i="6" s="1"/>
  <c r="L785" i="6"/>
  <c r="M785" i="6" s="1"/>
  <c r="L784" i="6"/>
  <c r="L783" i="6"/>
  <c r="L782" i="6"/>
  <c r="M782" i="6" s="1"/>
  <c r="N782" i="6" s="1"/>
  <c r="L781" i="6"/>
  <c r="L780" i="6"/>
  <c r="L779" i="6"/>
  <c r="M779" i="6" s="1"/>
  <c r="N779" i="6" s="1"/>
  <c r="L778" i="6"/>
  <c r="M778" i="6" s="1"/>
  <c r="N778" i="6" s="1"/>
  <c r="L777" i="6"/>
  <c r="L776" i="6"/>
  <c r="L775" i="6"/>
  <c r="M775" i="6" s="1"/>
  <c r="N775" i="6" s="1"/>
  <c r="L774" i="6"/>
  <c r="M774" i="6" s="1"/>
  <c r="N774" i="6" s="1"/>
  <c r="L773" i="6"/>
  <c r="L772" i="6"/>
  <c r="L771" i="6"/>
  <c r="M771" i="6" s="1"/>
  <c r="N771" i="6" s="1"/>
  <c r="L770" i="6"/>
  <c r="M770" i="6" s="1"/>
  <c r="N770" i="6" s="1"/>
  <c r="L769" i="6"/>
  <c r="L768" i="6"/>
  <c r="L767" i="6"/>
  <c r="M767" i="6" s="1"/>
  <c r="N767" i="6" s="1"/>
  <c r="L766" i="6"/>
  <c r="M766" i="6" s="1"/>
  <c r="N766" i="6" s="1"/>
  <c r="L765" i="6"/>
  <c r="L764" i="6"/>
  <c r="L763" i="6"/>
  <c r="M763" i="6" s="1"/>
  <c r="N763" i="6" s="1"/>
  <c r="L762" i="6"/>
  <c r="M762" i="6" s="1"/>
  <c r="N762" i="6" s="1"/>
  <c r="L761" i="6"/>
  <c r="L760" i="6"/>
  <c r="L759" i="6"/>
  <c r="M759" i="6" s="1"/>
  <c r="N759" i="6" s="1"/>
  <c r="L758" i="6"/>
  <c r="M758" i="6" s="1"/>
  <c r="N758" i="6" s="1"/>
  <c r="L757" i="6"/>
  <c r="L756" i="6"/>
  <c r="L755" i="6"/>
  <c r="M755" i="6" s="1"/>
  <c r="N755" i="6" s="1"/>
  <c r="L754" i="6"/>
  <c r="M754" i="6" s="1"/>
  <c r="N754" i="6" s="1"/>
  <c r="L753" i="6"/>
  <c r="L752" i="6"/>
  <c r="L751" i="6"/>
  <c r="M751" i="6" s="1"/>
  <c r="N751" i="6" s="1"/>
  <c r="L750" i="6"/>
  <c r="M750" i="6" s="1"/>
  <c r="N750" i="6" s="1"/>
  <c r="L749" i="6"/>
  <c r="L748" i="6"/>
  <c r="L747" i="6"/>
  <c r="M747" i="6" s="1"/>
  <c r="N747" i="6" s="1"/>
  <c r="L746" i="6"/>
  <c r="M746" i="6" s="1"/>
  <c r="N746" i="6" s="1"/>
  <c r="L745" i="6"/>
  <c r="L744" i="6"/>
  <c r="L743" i="6"/>
  <c r="M743" i="6" s="1"/>
  <c r="N743" i="6" s="1"/>
  <c r="L742" i="6"/>
  <c r="M742" i="6" s="1"/>
  <c r="N742" i="6" s="1"/>
  <c r="L741" i="6"/>
  <c r="L740" i="6"/>
  <c r="L739" i="6"/>
  <c r="M739" i="6" s="1"/>
  <c r="N739" i="6" s="1"/>
  <c r="L738" i="6"/>
  <c r="M738" i="6" s="1"/>
  <c r="N738" i="6" s="1"/>
  <c r="L737" i="6"/>
  <c r="L736" i="6"/>
  <c r="L735" i="6"/>
  <c r="M735" i="6" s="1"/>
  <c r="N735" i="6" s="1"/>
  <c r="L734" i="6"/>
  <c r="M734" i="6" s="1"/>
  <c r="N734" i="6" s="1"/>
  <c r="L733" i="6"/>
  <c r="L732" i="6"/>
  <c r="L731" i="6"/>
  <c r="M731" i="6" s="1"/>
  <c r="N731" i="6" s="1"/>
  <c r="L730" i="6"/>
  <c r="M730" i="6" s="1"/>
  <c r="N730" i="6" s="1"/>
  <c r="L729" i="6"/>
  <c r="L728" i="6"/>
  <c r="L727" i="6"/>
  <c r="M727" i="6" s="1"/>
  <c r="N727" i="6" s="1"/>
  <c r="L726" i="6"/>
  <c r="M726" i="6" s="1"/>
  <c r="N726" i="6" s="1"/>
  <c r="L725" i="6"/>
  <c r="L724" i="6"/>
  <c r="L723" i="6"/>
  <c r="M723" i="6" s="1"/>
  <c r="N723" i="6" s="1"/>
  <c r="L722" i="6"/>
  <c r="M722" i="6" s="1"/>
  <c r="N722" i="6" s="1"/>
  <c r="L721" i="6"/>
  <c r="L720" i="6"/>
  <c r="L719" i="6"/>
  <c r="M719" i="6" s="1"/>
  <c r="L718" i="6"/>
  <c r="M718" i="6" s="1"/>
  <c r="N718" i="6" s="1"/>
  <c r="L717" i="6"/>
  <c r="L716" i="6"/>
  <c r="L715" i="6"/>
  <c r="L714" i="6"/>
  <c r="M714" i="6" s="1"/>
  <c r="N714" i="6" s="1"/>
  <c r="L713" i="6"/>
  <c r="L712" i="6"/>
  <c r="L711" i="6"/>
  <c r="M711" i="6" s="1"/>
  <c r="N711" i="6" s="1"/>
  <c r="L710" i="6"/>
  <c r="M710" i="6" s="1"/>
  <c r="N710" i="6" s="1"/>
  <c r="L709" i="6"/>
  <c r="L708" i="6"/>
  <c r="L707" i="6"/>
  <c r="M707" i="6" s="1"/>
  <c r="L706" i="6"/>
  <c r="M706" i="6" s="1"/>
  <c r="N706" i="6" s="1"/>
  <c r="L705" i="6"/>
  <c r="L704" i="6"/>
  <c r="L703" i="6"/>
  <c r="M703" i="6" s="1"/>
  <c r="N703" i="6" s="1"/>
  <c r="L702" i="6"/>
  <c r="M702" i="6" s="1"/>
  <c r="N702" i="6" s="1"/>
  <c r="L701" i="6"/>
  <c r="L700" i="6"/>
  <c r="L699" i="6"/>
  <c r="M699" i="6" s="1"/>
  <c r="L698" i="6"/>
  <c r="M698" i="6" s="1"/>
  <c r="N698" i="6" s="1"/>
  <c r="L697" i="6"/>
  <c r="L696" i="6"/>
  <c r="L695" i="6"/>
  <c r="M695" i="6" s="1"/>
  <c r="N695" i="6" s="1"/>
  <c r="L694" i="6"/>
  <c r="M694" i="6" s="1"/>
  <c r="N694" i="6" s="1"/>
  <c r="L693" i="6"/>
  <c r="L692" i="6"/>
  <c r="L691" i="6"/>
  <c r="M691" i="6" s="1"/>
  <c r="L690" i="6"/>
  <c r="M690" i="6" s="1"/>
  <c r="N690" i="6" s="1"/>
  <c r="L689" i="6"/>
  <c r="L688" i="6"/>
  <c r="L687" i="6"/>
  <c r="M687" i="6" s="1"/>
  <c r="N687" i="6" s="1"/>
  <c r="L686" i="6"/>
  <c r="M686" i="6" s="1"/>
  <c r="N686" i="6" s="1"/>
  <c r="L685" i="6"/>
  <c r="L684" i="6"/>
  <c r="L683" i="6"/>
  <c r="L682" i="6"/>
  <c r="M682" i="6" s="1"/>
  <c r="N682" i="6" s="1"/>
  <c r="L681" i="6"/>
  <c r="L680" i="6"/>
  <c r="L679" i="6"/>
  <c r="M679" i="6" s="1"/>
  <c r="N679" i="6" s="1"/>
  <c r="L678" i="6"/>
  <c r="M678" i="6" s="1"/>
  <c r="N678" i="6" s="1"/>
  <c r="L677" i="6"/>
  <c r="L676" i="6"/>
  <c r="L675" i="6"/>
  <c r="M675" i="6" s="1"/>
  <c r="L674" i="6"/>
  <c r="M674" i="6" s="1"/>
  <c r="N674" i="6" s="1"/>
  <c r="L673" i="6"/>
  <c r="L672" i="6"/>
  <c r="L671" i="6"/>
  <c r="M671" i="6" s="1"/>
  <c r="N671" i="6" s="1"/>
  <c r="L670" i="6"/>
  <c r="M670" i="6" s="1"/>
  <c r="N670" i="6" s="1"/>
  <c r="L669" i="6"/>
  <c r="L668" i="6"/>
  <c r="L667" i="6"/>
  <c r="M667" i="6" s="1"/>
  <c r="L666" i="6"/>
  <c r="M666" i="6" s="1"/>
  <c r="N666" i="6" s="1"/>
  <c r="L665" i="6"/>
  <c r="L664" i="6"/>
  <c r="L663" i="6"/>
  <c r="M663" i="6" s="1"/>
  <c r="N663" i="6" s="1"/>
  <c r="L662" i="6"/>
  <c r="M662" i="6" s="1"/>
  <c r="N662" i="6" s="1"/>
  <c r="L661" i="6"/>
  <c r="L660" i="6"/>
  <c r="L659" i="6"/>
  <c r="M659" i="6" s="1"/>
  <c r="L658" i="6"/>
  <c r="M658" i="6" s="1"/>
  <c r="N658" i="6" s="1"/>
  <c r="L657" i="6"/>
  <c r="L656" i="6"/>
  <c r="L655" i="6"/>
  <c r="M655" i="6" s="1"/>
  <c r="N655" i="6" s="1"/>
  <c r="L654" i="6"/>
  <c r="M654" i="6" s="1"/>
  <c r="N654" i="6" s="1"/>
  <c r="L653" i="6"/>
  <c r="L652" i="6"/>
  <c r="L651" i="6"/>
  <c r="L650" i="6"/>
  <c r="M650" i="6" s="1"/>
  <c r="N650" i="6" s="1"/>
  <c r="L649" i="6"/>
  <c r="L648" i="6"/>
  <c r="L647" i="6"/>
  <c r="M647" i="6" s="1"/>
  <c r="N647" i="6" s="1"/>
  <c r="L646" i="6"/>
  <c r="M646" i="6" s="1"/>
  <c r="N646" i="6" s="1"/>
  <c r="L645" i="6"/>
  <c r="L644" i="6"/>
  <c r="L643" i="6"/>
  <c r="L642" i="6"/>
  <c r="M642" i="6" s="1"/>
  <c r="N642" i="6" s="1"/>
  <c r="L641" i="6"/>
  <c r="L640" i="6"/>
  <c r="L639" i="6"/>
  <c r="M639" i="6" s="1"/>
  <c r="N639" i="6" s="1"/>
  <c r="L638" i="6"/>
  <c r="M638" i="6" s="1"/>
  <c r="N638" i="6" s="1"/>
  <c r="L637" i="6"/>
  <c r="L636" i="6"/>
  <c r="L635" i="6"/>
  <c r="L634" i="6"/>
  <c r="M634" i="6" s="1"/>
  <c r="N634" i="6" s="1"/>
  <c r="L633" i="6"/>
  <c r="L632" i="6"/>
  <c r="L631" i="6"/>
  <c r="M631" i="6" s="1"/>
  <c r="N631" i="6" s="1"/>
  <c r="L630" i="6"/>
  <c r="M630" i="6" s="1"/>
  <c r="N630" i="6" s="1"/>
  <c r="L629" i="6"/>
  <c r="L628" i="6"/>
  <c r="L627" i="6"/>
  <c r="L626" i="6"/>
  <c r="M626" i="6" s="1"/>
  <c r="N626" i="6" s="1"/>
  <c r="L625" i="6"/>
  <c r="L624" i="6"/>
  <c r="L623" i="6"/>
  <c r="M623" i="6" s="1"/>
  <c r="N623" i="6" s="1"/>
  <c r="L622" i="6"/>
  <c r="M622" i="6" s="1"/>
  <c r="N622" i="6" s="1"/>
  <c r="L621" i="6"/>
  <c r="L620" i="6"/>
  <c r="L619" i="6"/>
  <c r="M619" i="6" s="1"/>
  <c r="N619" i="6" s="1"/>
  <c r="L618" i="6"/>
  <c r="M618" i="6" s="1"/>
  <c r="N618" i="6" s="1"/>
  <c r="L617" i="6"/>
  <c r="L616" i="6"/>
  <c r="M616" i="6" s="1"/>
  <c r="L615" i="6"/>
  <c r="L614" i="6"/>
  <c r="M614" i="6" s="1"/>
  <c r="N614" i="6" s="1"/>
  <c r="L613" i="6"/>
  <c r="L612" i="6"/>
  <c r="L611" i="6"/>
  <c r="M611" i="6" s="1"/>
  <c r="L610" i="6"/>
  <c r="M610" i="6" s="1"/>
  <c r="N610" i="6" s="1"/>
  <c r="L609" i="6"/>
  <c r="L608" i="6"/>
  <c r="L607" i="6"/>
  <c r="M607" i="6" s="1"/>
  <c r="N607" i="6" s="1"/>
  <c r="L606" i="6"/>
  <c r="M606" i="6" s="1"/>
  <c r="N606" i="6" s="1"/>
  <c r="L605" i="6"/>
  <c r="L604" i="6"/>
  <c r="L603" i="6"/>
  <c r="M603" i="6" s="1"/>
  <c r="N603" i="6" s="1"/>
  <c r="L602" i="6"/>
  <c r="M602" i="6" s="1"/>
  <c r="N602" i="6" s="1"/>
  <c r="L601" i="6"/>
  <c r="L600" i="6"/>
  <c r="L599" i="6"/>
  <c r="L598" i="6"/>
  <c r="M598" i="6" s="1"/>
  <c r="N598" i="6" s="1"/>
  <c r="L597" i="6"/>
  <c r="L596" i="6"/>
  <c r="M596" i="6" s="1"/>
  <c r="L595" i="6"/>
  <c r="M595" i="6" s="1"/>
  <c r="L594" i="6"/>
  <c r="M594" i="6" s="1"/>
  <c r="N594" i="6" s="1"/>
  <c r="L593" i="6"/>
  <c r="L592" i="6"/>
  <c r="M592" i="6" s="1"/>
  <c r="L591" i="6"/>
  <c r="L590" i="6"/>
  <c r="M590" i="6" s="1"/>
  <c r="N590" i="6" s="1"/>
  <c r="L589" i="6"/>
  <c r="L588" i="6"/>
  <c r="L587" i="6"/>
  <c r="M587" i="6" s="1"/>
  <c r="N587" i="6" s="1"/>
  <c r="L586" i="6"/>
  <c r="M586" i="6" s="1"/>
  <c r="N586" i="6" s="1"/>
  <c r="L585" i="6"/>
  <c r="L584" i="6"/>
  <c r="M584" i="6" s="1"/>
  <c r="L583" i="6"/>
  <c r="M583" i="6" s="1"/>
  <c r="L582" i="6"/>
  <c r="M582" i="6" s="1"/>
  <c r="N582" i="6" s="1"/>
  <c r="L581" i="6"/>
  <c r="L580" i="6"/>
  <c r="L579" i="6"/>
  <c r="L578" i="6"/>
  <c r="M578" i="6" s="1"/>
  <c r="N578" i="6" s="1"/>
  <c r="L577" i="6"/>
  <c r="L576" i="6"/>
  <c r="M576" i="6" s="1"/>
  <c r="L575" i="6"/>
  <c r="L574" i="6"/>
  <c r="M574" i="6" s="1"/>
  <c r="N574" i="6" s="1"/>
  <c r="L573" i="6"/>
  <c r="L572" i="6"/>
  <c r="L571" i="6"/>
  <c r="L570" i="6"/>
  <c r="M570" i="6" s="1"/>
  <c r="N570" i="6" s="1"/>
  <c r="L569" i="6"/>
  <c r="L568" i="6"/>
  <c r="M568" i="6" s="1"/>
  <c r="L567" i="6"/>
  <c r="L566" i="6"/>
  <c r="M566" i="6" s="1"/>
  <c r="N566" i="6" s="1"/>
  <c r="L565" i="6"/>
  <c r="L564" i="6"/>
  <c r="M564" i="6" s="1"/>
  <c r="L563" i="6"/>
  <c r="L562" i="6"/>
  <c r="M562" i="6" s="1"/>
  <c r="N562" i="6" s="1"/>
  <c r="L561" i="6"/>
  <c r="L560" i="6"/>
  <c r="M560" i="6" s="1"/>
  <c r="L559" i="6"/>
  <c r="L558" i="6"/>
  <c r="M558" i="6" s="1"/>
  <c r="N558" i="6" s="1"/>
  <c r="L557" i="6"/>
  <c r="L556" i="6"/>
  <c r="M556" i="6" s="1"/>
  <c r="L555" i="6"/>
  <c r="L554" i="6"/>
  <c r="M554" i="6" s="1"/>
  <c r="N554" i="6" s="1"/>
  <c r="L553" i="6"/>
  <c r="L552" i="6"/>
  <c r="M552" i="6" s="1"/>
  <c r="L551" i="6"/>
  <c r="L550" i="6"/>
  <c r="M550" i="6" s="1"/>
  <c r="N550" i="6" s="1"/>
  <c r="L549" i="6"/>
  <c r="L548" i="6"/>
  <c r="M548" i="6" s="1"/>
  <c r="L547" i="6"/>
  <c r="L546" i="6"/>
  <c r="M546" i="6" s="1"/>
  <c r="N546" i="6" s="1"/>
  <c r="L545" i="6"/>
  <c r="L544" i="6"/>
  <c r="M544" i="6" s="1"/>
  <c r="L543" i="6"/>
  <c r="L542" i="6"/>
  <c r="M542" i="6" s="1"/>
  <c r="N542" i="6" s="1"/>
  <c r="L541" i="6"/>
  <c r="L540" i="6"/>
  <c r="M540" i="6" s="1"/>
  <c r="L539" i="6"/>
  <c r="L538" i="6"/>
  <c r="L537" i="6"/>
  <c r="M537" i="6" s="1"/>
  <c r="L536" i="6"/>
  <c r="L535" i="6"/>
  <c r="L534" i="6"/>
  <c r="M534" i="6" s="1"/>
  <c r="N534" i="6" s="1"/>
  <c r="L533" i="6"/>
  <c r="L532" i="6"/>
  <c r="M532" i="6" s="1"/>
  <c r="L531" i="6"/>
  <c r="L530" i="6"/>
  <c r="L529" i="6"/>
  <c r="M529" i="6" s="1"/>
  <c r="N529" i="6" s="1"/>
  <c r="L528" i="6"/>
  <c r="L527" i="6"/>
  <c r="L526" i="6"/>
  <c r="M526" i="6" s="1"/>
  <c r="N526" i="6" s="1"/>
  <c r="L525" i="6"/>
  <c r="L524" i="6"/>
  <c r="M524" i="6" s="1"/>
  <c r="L523" i="6"/>
  <c r="L522" i="6"/>
  <c r="L521" i="6"/>
  <c r="M521" i="6" s="1"/>
  <c r="N521" i="6" s="1"/>
  <c r="L520" i="6"/>
  <c r="L519" i="6"/>
  <c r="L518" i="6"/>
  <c r="M518" i="6" s="1"/>
  <c r="N518" i="6" s="1"/>
  <c r="L517" i="6"/>
  <c r="L516" i="6"/>
  <c r="M516" i="6" s="1"/>
  <c r="L515" i="6"/>
  <c r="L514" i="6"/>
  <c r="M514" i="6" s="1"/>
  <c r="L513" i="6"/>
  <c r="M513" i="6" s="1"/>
  <c r="N513" i="6" s="1"/>
  <c r="L512" i="6"/>
  <c r="L511" i="6"/>
  <c r="L510" i="6"/>
  <c r="M510" i="6" s="1"/>
  <c r="N510" i="6" s="1"/>
  <c r="L509" i="6"/>
  <c r="L508" i="6"/>
  <c r="M508" i="6" s="1"/>
  <c r="L507" i="6"/>
  <c r="L506" i="6"/>
  <c r="M506" i="6" s="1"/>
  <c r="N506" i="6" s="1"/>
  <c r="L505" i="6"/>
  <c r="M505" i="6" s="1"/>
  <c r="N505" i="6" s="1"/>
  <c r="L504" i="6"/>
  <c r="L503" i="6"/>
  <c r="L502" i="6"/>
  <c r="M502" i="6" s="1"/>
  <c r="N502" i="6" s="1"/>
  <c r="L501" i="6"/>
  <c r="L500" i="6"/>
  <c r="M500" i="6" s="1"/>
  <c r="L499" i="6"/>
  <c r="L498" i="6"/>
  <c r="M498" i="6" s="1"/>
  <c r="L497" i="6"/>
  <c r="M497" i="6" s="1"/>
  <c r="N497" i="6" s="1"/>
  <c r="L496" i="6"/>
  <c r="L495" i="6"/>
  <c r="L494" i="6"/>
  <c r="M494" i="6" s="1"/>
  <c r="N494" i="6" s="1"/>
  <c r="L493" i="6"/>
  <c r="L492" i="6"/>
  <c r="M492" i="6" s="1"/>
  <c r="L491" i="6"/>
  <c r="L490" i="6"/>
  <c r="L489" i="6"/>
  <c r="M489" i="6" s="1"/>
  <c r="N489" i="6" s="1"/>
  <c r="L488" i="6"/>
  <c r="L487" i="6"/>
  <c r="L486" i="6"/>
  <c r="M486" i="6" s="1"/>
  <c r="N486" i="6" s="1"/>
  <c r="L485" i="6"/>
  <c r="L484" i="6"/>
  <c r="M484" i="6" s="1"/>
  <c r="L483" i="6"/>
  <c r="L482" i="6"/>
  <c r="L481" i="6"/>
  <c r="M481" i="6" s="1"/>
  <c r="L480" i="6"/>
  <c r="L479" i="6"/>
  <c r="L478" i="6"/>
  <c r="M478" i="6" s="1"/>
  <c r="N478" i="6" s="1"/>
  <c r="L477" i="6"/>
  <c r="L476" i="6"/>
  <c r="M476" i="6" s="1"/>
  <c r="L475" i="6"/>
  <c r="L474" i="6"/>
  <c r="M474" i="6" s="1"/>
  <c r="N474" i="6" s="1"/>
  <c r="L473" i="6"/>
  <c r="L472" i="6"/>
  <c r="L471" i="6"/>
  <c r="L470" i="6"/>
  <c r="M470" i="6" s="1"/>
  <c r="N470" i="6" s="1"/>
  <c r="L469" i="6"/>
  <c r="L468" i="6"/>
  <c r="M468" i="6" s="1"/>
  <c r="L467" i="6"/>
  <c r="L466" i="6"/>
  <c r="M466" i="6" s="1"/>
  <c r="N466" i="6" s="1"/>
  <c r="L465" i="6"/>
  <c r="M465" i="6" s="1"/>
  <c r="L464" i="6"/>
  <c r="L463" i="6"/>
  <c r="L462" i="6"/>
  <c r="M462" i="6" s="1"/>
  <c r="N462" i="6" s="1"/>
  <c r="L461" i="6"/>
  <c r="L460" i="6"/>
  <c r="M460" i="6" s="1"/>
  <c r="L459" i="6"/>
  <c r="L458" i="6"/>
  <c r="L457" i="6"/>
  <c r="M457" i="6" s="1"/>
  <c r="L456" i="6"/>
  <c r="L455" i="6"/>
  <c r="L454" i="6"/>
  <c r="M454" i="6" s="1"/>
  <c r="N454" i="6" s="1"/>
  <c r="L453" i="6"/>
  <c r="L452" i="6"/>
  <c r="M452" i="6" s="1"/>
  <c r="L451" i="6"/>
  <c r="L450" i="6"/>
  <c r="M450" i="6" s="1"/>
  <c r="L449" i="6"/>
  <c r="M449" i="6" s="1"/>
  <c r="L448" i="6"/>
  <c r="L447" i="6"/>
  <c r="L446" i="6"/>
  <c r="M446" i="6" s="1"/>
  <c r="N446" i="6" s="1"/>
  <c r="L445" i="6"/>
  <c r="L444" i="6"/>
  <c r="M444" i="6" s="1"/>
  <c r="L443" i="6"/>
  <c r="L442" i="6"/>
  <c r="L441" i="6"/>
  <c r="L440" i="6"/>
  <c r="L439" i="6"/>
  <c r="L438" i="6"/>
  <c r="M438" i="6" s="1"/>
  <c r="N438" i="6" s="1"/>
  <c r="L437" i="6"/>
  <c r="L436" i="6"/>
  <c r="M436" i="6" s="1"/>
  <c r="L435" i="6"/>
  <c r="L434" i="6"/>
  <c r="L433" i="6"/>
  <c r="L432" i="6"/>
  <c r="L431" i="6"/>
  <c r="L430" i="6"/>
  <c r="M430" i="6" s="1"/>
  <c r="N430" i="6" s="1"/>
  <c r="L429" i="6"/>
  <c r="L428" i="6"/>
  <c r="M428" i="6" s="1"/>
  <c r="L427" i="6"/>
  <c r="L426" i="6"/>
  <c r="L425" i="6"/>
  <c r="M425" i="6" s="1"/>
  <c r="L424" i="6"/>
  <c r="L423" i="6"/>
  <c r="L422" i="6"/>
  <c r="M422" i="6" s="1"/>
  <c r="L421" i="6"/>
  <c r="L420" i="6"/>
  <c r="L419" i="6"/>
  <c r="L418" i="6"/>
  <c r="L417" i="6"/>
  <c r="L416" i="6"/>
  <c r="M416" i="6" s="1"/>
  <c r="N416" i="6" s="1"/>
  <c r="L415" i="6"/>
  <c r="L414" i="6"/>
  <c r="M414" i="6" s="1"/>
  <c r="L413" i="6"/>
  <c r="L412" i="6"/>
  <c r="M412" i="6" s="1"/>
  <c r="L411" i="6"/>
  <c r="L410" i="6"/>
  <c r="L409" i="6"/>
  <c r="M409" i="6" s="1"/>
  <c r="N409" i="6" s="1"/>
  <c r="L408" i="6"/>
  <c r="L407" i="6"/>
  <c r="M407" i="6" s="1"/>
  <c r="L406" i="6"/>
  <c r="L405" i="6"/>
  <c r="M405" i="6" s="1"/>
  <c r="N405" i="6" s="1"/>
  <c r="L404" i="6"/>
  <c r="L403" i="6"/>
  <c r="M403" i="6" s="1"/>
  <c r="L402" i="6"/>
  <c r="L401" i="6"/>
  <c r="M401" i="6" s="1"/>
  <c r="N401" i="6" s="1"/>
  <c r="L400" i="6"/>
  <c r="L399" i="6"/>
  <c r="M399" i="6" s="1"/>
  <c r="L398" i="6"/>
  <c r="L397" i="6"/>
  <c r="M397" i="6" s="1"/>
  <c r="N397" i="6" s="1"/>
  <c r="L396" i="6"/>
  <c r="M396" i="6" s="1"/>
  <c r="L395" i="6"/>
  <c r="M395" i="6" s="1"/>
  <c r="L394" i="6"/>
  <c r="L393" i="6"/>
  <c r="M393" i="6" s="1"/>
  <c r="N393" i="6" s="1"/>
  <c r="L392" i="6"/>
  <c r="L391" i="6"/>
  <c r="M391" i="6" s="1"/>
  <c r="L390" i="6"/>
  <c r="L389" i="6"/>
  <c r="M389" i="6" s="1"/>
  <c r="N389" i="6" s="1"/>
  <c r="L388" i="6"/>
  <c r="L387" i="6"/>
  <c r="M387" i="6" s="1"/>
  <c r="L386" i="6"/>
  <c r="L385" i="6"/>
  <c r="M385" i="6" s="1"/>
  <c r="N385" i="6" s="1"/>
  <c r="L384" i="6"/>
  <c r="M384" i="6" s="1"/>
  <c r="N384" i="6" s="1"/>
  <c r="L383" i="6"/>
  <c r="M383" i="6" s="1"/>
  <c r="L382" i="6"/>
  <c r="L381" i="6"/>
  <c r="M381" i="6" s="1"/>
  <c r="N381" i="6" s="1"/>
  <c r="L380" i="6"/>
  <c r="M380" i="6" s="1"/>
  <c r="N380" i="6" s="1"/>
  <c r="L379" i="6"/>
  <c r="M379" i="6" s="1"/>
  <c r="L378" i="6"/>
  <c r="L377" i="6"/>
  <c r="M377" i="6" s="1"/>
  <c r="N377" i="6" s="1"/>
  <c r="L376" i="6"/>
  <c r="M376" i="6" s="1"/>
  <c r="L375" i="6"/>
  <c r="M375" i="6" s="1"/>
  <c r="L374" i="6"/>
  <c r="L373" i="6"/>
  <c r="M373" i="6" s="1"/>
  <c r="N373" i="6" s="1"/>
  <c r="L372" i="6"/>
  <c r="L371" i="6"/>
  <c r="M371" i="6" s="1"/>
  <c r="L370" i="6"/>
  <c r="L369" i="6"/>
  <c r="M369" i="6" s="1"/>
  <c r="N369" i="6" s="1"/>
  <c r="L368" i="6"/>
  <c r="L367" i="6"/>
  <c r="M367" i="6" s="1"/>
  <c r="L366" i="6"/>
  <c r="L365" i="6"/>
  <c r="M365" i="6" s="1"/>
  <c r="N365" i="6" s="1"/>
  <c r="L364" i="6"/>
  <c r="M364" i="6" s="1"/>
  <c r="L363" i="6"/>
  <c r="M363" i="6" s="1"/>
  <c r="L362" i="6"/>
  <c r="L361" i="6"/>
  <c r="M361" i="6" s="1"/>
  <c r="N361" i="6" s="1"/>
  <c r="L360" i="6"/>
  <c r="M360" i="6" s="1"/>
  <c r="L359" i="6"/>
  <c r="M359" i="6" s="1"/>
  <c r="L358" i="6"/>
  <c r="L357" i="6"/>
  <c r="M357" i="6" s="1"/>
  <c r="N357" i="6" s="1"/>
  <c r="L356" i="6"/>
  <c r="L355" i="6"/>
  <c r="M355" i="6" s="1"/>
  <c r="L354" i="6"/>
  <c r="L353" i="6"/>
  <c r="M353" i="6" s="1"/>
  <c r="N353" i="6" s="1"/>
  <c r="L352" i="6"/>
  <c r="L351" i="6"/>
  <c r="M351" i="6" s="1"/>
  <c r="L350" i="6"/>
  <c r="L349" i="6"/>
  <c r="M349" i="6" s="1"/>
  <c r="N349" i="6" s="1"/>
  <c r="L348" i="6"/>
  <c r="L347" i="6"/>
  <c r="M347" i="6" s="1"/>
  <c r="L346" i="6"/>
  <c r="L345" i="6"/>
  <c r="M345" i="6" s="1"/>
  <c r="N345" i="6" s="1"/>
  <c r="L344" i="6"/>
  <c r="L343" i="6"/>
  <c r="M343" i="6" s="1"/>
  <c r="L342" i="6"/>
  <c r="L341" i="6"/>
  <c r="M341" i="6" s="1"/>
  <c r="N341" i="6" s="1"/>
  <c r="L340" i="6"/>
  <c r="L339" i="6"/>
  <c r="M339" i="6" s="1"/>
  <c r="L338" i="6"/>
  <c r="L337" i="6"/>
  <c r="M337" i="6" s="1"/>
  <c r="N337" i="6" s="1"/>
  <c r="L336" i="6"/>
  <c r="L335" i="6"/>
  <c r="M335" i="6" s="1"/>
  <c r="L334" i="6"/>
  <c r="L333" i="6"/>
  <c r="M333" i="6" s="1"/>
  <c r="N333" i="6" s="1"/>
  <c r="L332" i="6"/>
  <c r="M332" i="6" s="1"/>
  <c r="N332" i="6" s="1"/>
  <c r="L331" i="6"/>
  <c r="M331" i="6" s="1"/>
  <c r="L330" i="6"/>
  <c r="L329" i="6"/>
  <c r="M329" i="6" s="1"/>
  <c r="N329" i="6" s="1"/>
  <c r="L328" i="6"/>
  <c r="L327" i="6"/>
  <c r="M327" i="6" s="1"/>
  <c r="L326" i="6"/>
  <c r="L325" i="6"/>
  <c r="M325" i="6" s="1"/>
  <c r="N325" i="6" s="1"/>
  <c r="L324" i="6"/>
  <c r="L323" i="6"/>
  <c r="M323" i="6" s="1"/>
  <c r="L322" i="6"/>
  <c r="L321" i="6"/>
  <c r="M321" i="6" s="1"/>
  <c r="N321" i="6" s="1"/>
  <c r="L320" i="6"/>
  <c r="M320" i="6" s="1"/>
  <c r="N320" i="6" s="1"/>
  <c r="L319" i="6"/>
  <c r="M319" i="6" s="1"/>
  <c r="L318" i="6"/>
  <c r="L317" i="6"/>
  <c r="M317" i="6" s="1"/>
  <c r="N317" i="6" s="1"/>
  <c r="L316" i="6"/>
  <c r="M316" i="6" s="1"/>
  <c r="N316" i="6" s="1"/>
  <c r="L315" i="6"/>
  <c r="L314" i="6"/>
  <c r="L313" i="6"/>
  <c r="M313" i="6" s="1"/>
  <c r="L312" i="6"/>
  <c r="M312" i="6" s="1"/>
  <c r="N312" i="6" s="1"/>
  <c r="L311" i="6"/>
  <c r="L310" i="6"/>
  <c r="L309" i="6"/>
  <c r="M309" i="6" s="1"/>
  <c r="L308" i="6"/>
  <c r="M308" i="6" s="1"/>
  <c r="N308" i="6" s="1"/>
  <c r="L307" i="6"/>
  <c r="L306" i="6"/>
  <c r="L305" i="6"/>
  <c r="M305" i="6" s="1"/>
  <c r="L304" i="6"/>
  <c r="M304" i="6" s="1"/>
  <c r="N304" i="6" s="1"/>
  <c r="L303" i="6"/>
  <c r="L302" i="6"/>
  <c r="L301" i="6"/>
  <c r="M301" i="6" s="1"/>
  <c r="L300" i="6"/>
  <c r="M300" i="6" s="1"/>
  <c r="N300" i="6" s="1"/>
  <c r="L299" i="6"/>
  <c r="L298" i="6"/>
  <c r="L297" i="6"/>
  <c r="M297" i="6" s="1"/>
  <c r="L296" i="6"/>
  <c r="M296" i="6" s="1"/>
  <c r="N296" i="6" s="1"/>
  <c r="L295" i="6"/>
  <c r="L294" i="6"/>
  <c r="L293" i="6"/>
  <c r="M293" i="6" s="1"/>
  <c r="L292" i="6"/>
  <c r="M292" i="6" s="1"/>
  <c r="N292" i="6" s="1"/>
  <c r="L291" i="6"/>
  <c r="L290" i="6"/>
  <c r="L289" i="6"/>
  <c r="M289" i="6" s="1"/>
  <c r="L288" i="6"/>
  <c r="M288" i="6" s="1"/>
  <c r="N288" i="6" s="1"/>
  <c r="L287" i="6"/>
  <c r="L286" i="6"/>
  <c r="L285" i="6"/>
  <c r="M285" i="6" s="1"/>
  <c r="L284" i="6"/>
  <c r="M284" i="6" s="1"/>
  <c r="N284" i="6" s="1"/>
  <c r="L283" i="6"/>
  <c r="L282" i="6"/>
  <c r="L281" i="6"/>
  <c r="M281" i="6" s="1"/>
  <c r="L280" i="6"/>
  <c r="M280" i="6" s="1"/>
  <c r="N280" i="6" s="1"/>
  <c r="L279" i="6"/>
  <c r="L278" i="6"/>
  <c r="L277" i="6"/>
  <c r="M277" i="6" s="1"/>
  <c r="L276" i="6"/>
  <c r="M276" i="6" s="1"/>
  <c r="N276" i="6" s="1"/>
  <c r="L275" i="6"/>
  <c r="L274" i="6"/>
  <c r="L273" i="6"/>
  <c r="M273" i="6" s="1"/>
  <c r="L272" i="6"/>
  <c r="M272" i="6" s="1"/>
  <c r="N272" i="6" s="1"/>
  <c r="L271" i="6"/>
  <c r="L270" i="6"/>
  <c r="L269" i="6"/>
  <c r="M269" i="6" s="1"/>
  <c r="L268" i="6"/>
  <c r="M268" i="6" s="1"/>
  <c r="N268" i="6" s="1"/>
  <c r="L267" i="6"/>
  <c r="L266" i="6"/>
  <c r="L265" i="6"/>
  <c r="M265" i="6" s="1"/>
  <c r="L264" i="6"/>
  <c r="M264" i="6" s="1"/>
  <c r="N264" i="6" s="1"/>
  <c r="L263" i="6"/>
  <c r="L262" i="6"/>
  <c r="L261" i="6"/>
  <c r="L260" i="6"/>
  <c r="M260" i="6" s="1"/>
  <c r="N260" i="6" s="1"/>
  <c r="L259" i="6"/>
  <c r="L258" i="6"/>
  <c r="L257" i="6"/>
  <c r="M257" i="6" s="1"/>
  <c r="L256" i="6"/>
  <c r="M256" i="6" s="1"/>
  <c r="N256" i="6" s="1"/>
  <c r="L255" i="6"/>
  <c r="L254" i="6"/>
  <c r="L253" i="6"/>
  <c r="L252" i="6"/>
  <c r="M252" i="6" s="1"/>
  <c r="N252" i="6" s="1"/>
  <c r="L251" i="6"/>
  <c r="L250" i="6"/>
  <c r="L249" i="6"/>
  <c r="M249" i="6" s="1"/>
  <c r="L248" i="6"/>
  <c r="M248" i="6" s="1"/>
  <c r="N248" i="6" s="1"/>
  <c r="L247" i="6"/>
  <c r="L246" i="6"/>
  <c r="L245" i="6"/>
  <c r="L244" i="6"/>
  <c r="M244" i="6" s="1"/>
  <c r="N244" i="6" s="1"/>
  <c r="L243" i="6"/>
  <c r="L242" i="6"/>
  <c r="L241" i="6"/>
  <c r="M241" i="6" s="1"/>
  <c r="L240" i="6"/>
  <c r="M240" i="6" s="1"/>
  <c r="N240" i="6" s="1"/>
  <c r="L239" i="6"/>
  <c r="L238" i="6"/>
  <c r="L237" i="6"/>
  <c r="L236" i="6"/>
  <c r="M236" i="6" s="1"/>
  <c r="N236" i="6" s="1"/>
  <c r="L235" i="6"/>
  <c r="L234" i="6"/>
  <c r="L233" i="6"/>
  <c r="M233" i="6" s="1"/>
  <c r="L232" i="6"/>
  <c r="M232" i="6" s="1"/>
  <c r="N232" i="6" s="1"/>
  <c r="L231" i="6"/>
  <c r="L230" i="6"/>
  <c r="L229" i="6"/>
  <c r="L228" i="6"/>
  <c r="M228" i="6" s="1"/>
  <c r="N228" i="6" s="1"/>
  <c r="L227" i="6"/>
  <c r="L226" i="6"/>
  <c r="L225" i="6"/>
  <c r="M225" i="6" s="1"/>
  <c r="L224" i="6"/>
  <c r="M224" i="6" s="1"/>
  <c r="N224" i="6" s="1"/>
  <c r="L223" i="6"/>
  <c r="L222" i="6"/>
  <c r="L221" i="6"/>
  <c r="L220" i="6"/>
  <c r="M220" i="6" s="1"/>
  <c r="N220" i="6" s="1"/>
  <c r="L219" i="6"/>
  <c r="L218" i="6"/>
  <c r="L217" i="6"/>
  <c r="M217" i="6" s="1"/>
  <c r="L216" i="6"/>
  <c r="M216" i="6" s="1"/>
  <c r="N216" i="6" s="1"/>
  <c r="L215" i="6"/>
  <c r="L214" i="6"/>
  <c r="L213" i="6"/>
  <c r="L212" i="6"/>
  <c r="M212" i="6" s="1"/>
  <c r="N212" i="6" s="1"/>
  <c r="L211" i="6"/>
  <c r="L210" i="6"/>
  <c r="L209" i="6"/>
  <c r="M209" i="6" s="1"/>
  <c r="L208" i="6"/>
  <c r="M208" i="6" s="1"/>
  <c r="N208" i="6" s="1"/>
  <c r="L207" i="6"/>
  <c r="L206" i="6"/>
  <c r="M206" i="6" s="1"/>
  <c r="L205" i="6"/>
  <c r="L204" i="6"/>
  <c r="L203" i="6"/>
  <c r="M203" i="6" s="1"/>
  <c r="N203" i="6" s="1"/>
  <c r="L202" i="6"/>
  <c r="M202" i="6" s="1"/>
  <c r="N202" i="6" s="1"/>
  <c r="L201" i="6"/>
  <c r="L200" i="6"/>
  <c r="L199" i="6"/>
  <c r="M199" i="6" s="1"/>
  <c r="N199" i="6" s="1"/>
  <c r="L198" i="6"/>
  <c r="M198" i="6" s="1"/>
  <c r="N198" i="6" s="1"/>
  <c r="L197" i="6"/>
  <c r="L196" i="6"/>
  <c r="L195" i="6"/>
  <c r="M195" i="6" s="1"/>
  <c r="N195" i="6" s="1"/>
  <c r="L194" i="6"/>
  <c r="M194" i="6" s="1"/>
  <c r="N194" i="6" s="1"/>
  <c r="L193" i="6"/>
  <c r="L192" i="6"/>
  <c r="L191" i="6"/>
  <c r="M191" i="6" s="1"/>
  <c r="N191" i="6" s="1"/>
  <c r="L190" i="6"/>
  <c r="M190" i="6" s="1"/>
  <c r="N190" i="6" s="1"/>
  <c r="L189" i="6"/>
  <c r="L188" i="6"/>
  <c r="L187" i="6"/>
  <c r="M187" i="6" s="1"/>
  <c r="N187" i="6" s="1"/>
  <c r="L186" i="6"/>
  <c r="M186" i="6" s="1"/>
  <c r="N186" i="6" s="1"/>
  <c r="L185" i="6"/>
  <c r="L184" i="6"/>
  <c r="L183" i="6"/>
  <c r="M183" i="6" s="1"/>
  <c r="N183" i="6" s="1"/>
  <c r="L182" i="6"/>
  <c r="M182" i="6" s="1"/>
  <c r="N182" i="6" s="1"/>
  <c r="L181" i="6"/>
  <c r="L180" i="6"/>
  <c r="L179" i="6"/>
  <c r="M179" i="6" s="1"/>
  <c r="N179" i="6" s="1"/>
  <c r="L178" i="6"/>
  <c r="M178" i="6" s="1"/>
  <c r="N178" i="6" s="1"/>
  <c r="L177" i="6"/>
  <c r="L176" i="6"/>
  <c r="L175" i="6"/>
  <c r="M175" i="6" s="1"/>
  <c r="N175" i="6" s="1"/>
  <c r="L174" i="6"/>
  <c r="M174" i="6" s="1"/>
  <c r="N174" i="6" s="1"/>
  <c r="L173" i="6"/>
  <c r="L172" i="6"/>
  <c r="L171" i="6"/>
  <c r="M171" i="6" s="1"/>
  <c r="N171" i="6" s="1"/>
  <c r="L170" i="6"/>
  <c r="M170" i="6" s="1"/>
  <c r="N170" i="6" s="1"/>
  <c r="L169" i="6"/>
  <c r="L168" i="6"/>
  <c r="L167" i="6"/>
  <c r="M167" i="6" s="1"/>
  <c r="N167" i="6" s="1"/>
  <c r="L166" i="6"/>
  <c r="M166" i="6" s="1"/>
  <c r="N166" i="6" s="1"/>
  <c r="L165" i="6"/>
  <c r="L164" i="6"/>
  <c r="L163" i="6"/>
  <c r="M163" i="6" s="1"/>
  <c r="N163" i="6" s="1"/>
  <c r="L162" i="6"/>
  <c r="M162" i="6" s="1"/>
  <c r="N162" i="6" s="1"/>
  <c r="L161" i="6"/>
  <c r="L160" i="6"/>
  <c r="L159" i="6"/>
  <c r="M159" i="6" s="1"/>
  <c r="N159" i="6" s="1"/>
  <c r="L158" i="6"/>
  <c r="M158" i="6" s="1"/>
  <c r="N158" i="6" s="1"/>
  <c r="L157" i="6"/>
  <c r="L156" i="6"/>
  <c r="L155" i="6"/>
  <c r="M155" i="6" s="1"/>
  <c r="N155" i="6" s="1"/>
  <c r="L154" i="6"/>
  <c r="M154" i="6" s="1"/>
  <c r="N154" i="6" s="1"/>
  <c r="L153" i="6"/>
  <c r="L152" i="6"/>
  <c r="L151" i="6"/>
  <c r="M151" i="6" s="1"/>
  <c r="N151" i="6" s="1"/>
  <c r="L150" i="6"/>
  <c r="M150" i="6" s="1"/>
  <c r="N150" i="6" s="1"/>
  <c r="L149" i="6"/>
  <c r="L148" i="6"/>
  <c r="L147" i="6"/>
  <c r="M147" i="6" s="1"/>
  <c r="N147" i="6" s="1"/>
  <c r="L146" i="6"/>
  <c r="M146" i="6" s="1"/>
  <c r="N146" i="6" s="1"/>
  <c r="L145" i="6"/>
  <c r="L144" i="6"/>
  <c r="L143" i="6"/>
  <c r="M143" i="6" s="1"/>
  <c r="N143" i="6" s="1"/>
  <c r="L142" i="6"/>
  <c r="M142" i="6" s="1"/>
  <c r="N142" i="6" s="1"/>
  <c r="L141" i="6"/>
  <c r="L140" i="6"/>
  <c r="L139" i="6"/>
  <c r="M139" i="6" s="1"/>
  <c r="N139" i="6" s="1"/>
  <c r="L138" i="6"/>
  <c r="M138" i="6" s="1"/>
  <c r="N138" i="6" s="1"/>
  <c r="L137" i="6"/>
  <c r="L136" i="6"/>
  <c r="L135" i="6"/>
  <c r="M135" i="6" s="1"/>
  <c r="N135" i="6" s="1"/>
  <c r="L134" i="6"/>
  <c r="M134" i="6" s="1"/>
  <c r="N134" i="6" s="1"/>
  <c r="L133" i="6"/>
  <c r="L132" i="6"/>
  <c r="L131" i="6"/>
  <c r="M131" i="6" s="1"/>
  <c r="N131" i="6" s="1"/>
  <c r="L130" i="6"/>
  <c r="M130" i="6" s="1"/>
  <c r="N130" i="6" s="1"/>
  <c r="L129" i="6"/>
  <c r="L128" i="6"/>
  <c r="L127" i="6"/>
  <c r="M127" i="6" s="1"/>
  <c r="N127" i="6" s="1"/>
  <c r="L126" i="6"/>
  <c r="M126" i="6" s="1"/>
  <c r="N126" i="6" s="1"/>
  <c r="L125" i="6"/>
  <c r="L124" i="6"/>
  <c r="L123" i="6"/>
  <c r="M123" i="6" s="1"/>
  <c r="N123" i="6" s="1"/>
  <c r="L122" i="6"/>
  <c r="M122" i="6" s="1"/>
  <c r="N122" i="6" s="1"/>
  <c r="L121" i="6"/>
  <c r="L120" i="6"/>
  <c r="L119" i="6"/>
  <c r="M119" i="6" s="1"/>
  <c r="L118" i="6"/>
  <c r="M118" i="6" s="1"/>
  <c r="N118" i="6" s="1"/>
  <c r="L117" i="6"/>
  <c r="L116" i="6"/>
  <c r="L115" i="6"/>
  <c r="M115" i="6" s="1"/>
  <c r="N115" i="6" s="1"/>
  <c r="L114" i="6"/>
  <c r="M114" i="6" s="1"/>
  <c r="N114" i="6" s="1"/>
  <c r="L113" i="6"/>
  <c r="L112" i="6"/>
  <c r="L111" i="6"/>
  <c r="L110" i="6"/>
  <c r="M110" i="6" s="1"/>
  <c r="N110" i="6" s="1"/>
  <c r="L109" i="6"/>
  <c r="L108" i="6"/>
  <c r="L107" i="6"/>
  <c r="M107" i="6" s="1"/>
  <c r="N107" i="6" s="1"/>
  <c r="L106" i="6"/>
  <c r="M106" i="6" s="1"/>
  <c r="N106" i="6" s="1"/>
  <c r="L105" i="6"/>
  <c r="L104" i="6"/>
  <c r="L103" i="6"/>
  <c r="M103" i="6" s="1"/>
  <c r="L102" i="6"/>
  <c r="M102" i="6" s="1"/>
  <c r="N102" i="6" s="1"/>
  <c r="L101" i="6"/>
  <c r="L100" i="6"/>
  <c r="L99" i="6"/>
  <c r="M99" i="6" s="1"/>
  <c r="N99" i="6" s="1"/>
  <c r="L98" i="6"/>
  <c r="M98" i="6" s="1"/>
  <c r="N98" i="6" s="1"/>
  <c r="L97" i="6"/>
  <c r="L96" i="6"/>
  <c r="L95" i="6"/>
  <c r="L94" i="6"/>
  <c r="M94" i="6" s="1"/>
  <c r="N94" i="6" s="1"/>
  <c r="L93" i="6"/>
  <c r="L92" i="6"/>
  <c r="L91" i="6"/>
  <c r="M91" i="6" s="1"/>
  <c r="N91" i="6" s="1"/>
  <c r="L90" i="6"/>
  <c r="M90" i="6" s="1"/>
  <c r="N90" i="6" s="1"/>
  <c r="L89" i="6"/>
  <c r="L88" i="6"/>
  <c r="L87" i="6"/>
  <c r="L86" i="6"/>
  <c r="M86" i="6" s="1"/>
  <c r="N86" i="6" s="1"/>
  <c r="L85" i="6"/>
  <c r="L84" i="6"/>
  <c r="L83" i="6"/>
  <c r="M83" i="6" s="1"/>
  <c r="N83" i="6" s="1"/>
  <c r="L82" i="6"/>
  <c r="M82" i="6" s="1"/>
  <c r="N82" i="6" s="1"/>
  <c r="L81" i="6"/>
  <c r="L80" i="6"/>
  <c r="L79" i="6"/>
  <c r="M79" i="6" s="1"/>
  <c r="L78" i="6"/>
  <c r="M78" i="6" s="1"/>
  <c r="N78" i="6" s="1"/>
  <c r="L77" i="6"/>
  <c r="L76" i="6"/>
  <c r="L75" i="6"/>
  <c r="M75" i="6" s="1"/>
  <c r="N75" i="6" s="1"/>
  <c r="L74" i="6"/>
  <c r="M74" i="6" s="1"/>
  <c r="N74" i="6" s="1"/>
  <c r="L73" i="6"/>
  <c r="L72" i="6"/>
  <c r="L71" i="6"/>
  <c r="M71" i="6" s="1"/>
  <c r="L70" i="6"/>
  <c r="M70" i="6" s="1"/>
  <c r="N70" i="6" s="1"/>
  <c r="L69" i="6"/>
  <c r="L68" i="6"/>
  <c r="L67" i="6"/>
  <c r="M67" i="6" s="1"/>
  <c r="N67" i="6" s="1"/>
  <c r="L66" i="6"/>
  <c r="M66" i="6" s="1"/>
  <c r="N66" i="6" s="1"/>
  <c r="L65" i="6"/>
  <c r="M65" i="6" s="1"/>
  <c r="L64" i="6"/>
  <c r="L63" i="6"/>
  <c r="M63" i="6" s="1"/>
  <c r="N63" i="6" s="1"/>
  <c r="L62" i="6"/>
  <c r="L61" i="6"/>
  <c r="L60" i="6"/>
  <c r="L59" i="6"/>
  <c r="M59" i="6" s="1"/>
  <c r="N59" i="6" s="1"/>
  <c r="L58" i="6"/>
  <c r="M58" i="6" s="1"/>
  <c r="L57" i="6"/>
  <c r="L56" i="6"/>
  <c r="L55" i="6"/>
  <c r="M55" i="6" s="1"/>
  <c r="N55" i="6" s="1"/>
  <c r="L54" i="6"/>
  <c r="L53" i="6"/>
  <c r="M53" i="6" s="1"/>
  <c r="L52" i="6"/>
  <c r="L51" i="6"/>
  <c r="M51" i="6" s="1"/>
  <c r="N51" i="6" s="1"/>
  <c r="L50" i="6"/>
  <c r="M50" i="6" s="1"/>
  <c r="L49" i="6"/>
  <c r="L48" i="6"/>
  <c r="L47" i="6"/>
  <c r="M47" i="6" s="1"/>
  <c r="N47" i="6" s="1"/>
  <c r="L46" i="6"/>
  <c r="L45" i="6"/>
  <c r="M45" i="6" s="1"/>
  <c r="L44" i="6"/>
  <c r="L43" i="6"/>
  <c r="M43" i="6" s="1"/>
  <c r="N43" i="6" s="1"/>
  <c r="L42" i="6"/>
  <c r="M42" i="6" s="1"/>
  <c r="L41" i="6"/>
  <c r="L40" i="6"/>
  <c r="M40" i="6" s="1"/>
  <c r="N40" i="6" s="1"/>
  <c r="L39" i="6"/>
  <c r="M39" i="6" s="1"/>
  <c r="N39" i="6" s="1"/>
  <c r="L38" i="6"/>
  <c r="L37" i="6"/>
  <c r="L36" i="6"/>
  <c r="M36" i="6" s="1"/>
  <c r="N36" i="6" s="1"/>
  <c r="L35" i="6"/>
  <c r="M35" i="6" s="1"/>
  <c r="L34" i="6"/>
  <c r="L33" i="6"/>
  <c r="M33" i="6" s="1"/>
  <c r="N33" i="6" s="1"/>
  <c r="L32" i="6"/>
  <c r="L31" i="6"/>
  <c r="M31" i="6" s="1"/>
  <c r="L30" i="6"/>
  <c r="L29" i="6"/>
  <c r="M29" i="6" s="1"/>
  <c r="N29" i="6" s="1"/>
  <c r="L28" i="6"/>
  <c r="M28" i="6" s="1"/>
  <c r="L27" i="6"/>
  <c r="L26" i="6"/>
  <c r="L25" i="6"/>
  <c r="L24" i="6"/>
  <c r="L23" i="6"/>
  <c r="L22" i="6"/>
  <c r="M22" i="6" s="1"/>
  <c r="N22" i="6" s="1"/>
  <c r="L21" i="6"/>
  <c r="M21" i="6" s="1"/>
  <c r="L20" i="6"/>
  <c r="L19" i="6"/>
  <c r="L18" i="6"/>
  <c r="M18" i="6" s="1"/>
  <c r="N18" i="6" s="1"/>
  <c r="L17" i="6"/>
  <c r="L16" i="6"/>
  <c r="L15" i="6"/>
  <c r="M15" i="6" s="1"/>
  <c r="N15" i="6" s="1"/>
  <c r="L14" i="6"/>
  <c r="M14" i="6" s="1"/>
  <c r="L13" i="6"/>
  <c r="M13" i="6" s="1"/>
  <c r="L12" i="6"/>
  <c r="L11" i="6"/>
  <c r="M11" i="6" s="1"/>
  <c r="N11" i="6" s="1"/>
  <c r="L10" i="6"/>
  <c r="M10" i="6" s="1"/>
  <c r="N10" i="6" s="1"/>
  <c r="L9" i="6"/>
  <c r="L8" i="6"/>
  <c r="M8" i="6" s="1"/>
  <c r="L7" i="6"/>
  <c r="M7" i="6" s="1"/>
  <c r="L6" i="6"/>
  <c r="M6" i="6" s="1"/>
  <c r="N6" i="6" s="1"/>
  <c r="L5" i="6"/>
  <c r="M5" i="6" s="1"/>
  <c r="L4" i="6"/>
  <c r="L3" i="6"/>
  <c r="M3" i="6" s="1"/>
  <c r="N3" i="6" s="1"/>
  <c r="L2" i="6"/>
  <c r="M2" i="6" s="1"/>
  <c r="N2" i="6" s="1"/>
  <c r="K2" i="1"/>
  <c r="K3" i="1"/>
  <c r="K4" i="1"/>
  <c r="L4" i="1" s="1"/>
  <c r="M4" i="1" s="1"/>
  <c r="K5" i="1"/>
  <c r="L5" i="1" s="1"/>
  <c r="M5" i="1" s="1"/>
  <c r="K6" i="1"/>
  <c r="L6" i="1" s="1"/>
  <c r="M6" i="1" s="1"/>
  <c r="K7" i="1"/>
  <c r="L7" i="1" s="1"/>
  <c r="M7" i="1" s="1"/>
  <c r="K8" i="1"/>
  <c r="L8" i="1" s="1"/>
  <c r="M8" i="1" s="1"/>
  <c r="K9" i="1"/>
  <c r="K10" i="1"/>
  <c r="L10" i="1" s="1"/>
  <c r="M10" i="1" s="1"/>
  <c r="K11" i="1"/>
  <c r="K12" i="1"/>
  <c r="L12" i="1" s="1"/>
  <c r="M12" i="1" s="1"/>
  <c r="K13" i="1"/>
  <c r="L13" i="1" s="1"/>
  <c r="M13" i="1" s="1"/>
  <c r="K14" i="1"/>
  <c r="K15" i="1"/>
  <c r="L15" i="1" s="1"/>
  <c r="M15" i="1" s="1"/>
  <c r="K16" i="1"/>
  <c r="L16" i="1" s="1"/>
  <c r="M16" i="1" s="1"/>
  <c r="K17" i="1"/>
  <c r="L17" i="1" s="1"/>
  <c r="M17" i="1" s="1"/>
  <c r="K18" i="1"/>
  <c r="L18" i="1" s="1"/>
  <c r="M18" i="1" s="1"/>
  <c r="K19" i="1"/>
  <c r="L19" i="1" s="1"/>
  <c r="M19" i="1" s="1"/>
  <c r="K20" i="1"/>
  <c r="L20" i="1" s="1"/>
  <c r="M20" i="1" s="1"/>
  <c r="K21" i="1"/>
  <c r="L21" i="1" s="1"/>
  <c r="M21" i="1" s="1"/>
  <c r="K22" i="1"/>
  <c r="L22" i="1" s="1"/>
  <c r="M22" i="1" s="1"/>
  <c r="K23" i="1"/>
  <c r="L23" i="1" s="1"/>
  <c r="M23" i="1" s="1"/>
  <c r="K24" i="1"/>
  <c r="K25" i="1"/>
  <c r="L25" i="1" s="1"/>
  <c r="M25" i="1" s="1"/>
  <c r="K26" i="1"/>
  <c r="K27" i="1"/>
  <c r="L27" i="1" s="1"/>
  <c r="M27" i="1" s="1"/>
  <c r="K28" i="1"/>
  <c r="L28" i="1" s="1"/>
  <c r="M28" i="1" s="1"/>
  <c r="K29" i="1"/>
  <c r="L29" i="1" s="1"/>
  <c r="M29" i="1" s="1"/>
  <c r="K30" i="1"/>
  <c r="L30" i="1" s="1"/>
  <c r="M30" i="1" s="1"/>
  <c r="K31" i="1"/>
  <c r="L31" i="1" s="1"/>
  <c r="M31" i="1" s="1"/>
  <c r="K32" i="1"/>
  <c r="L32" i="1" s="1"/>
  <c r="M32" i="1" s="1"/>
  <c r="K33" i="1"/>
  <c r="L33" i="1" s="1"/>
  <c r="M33" i="1" s="1"/>
  <c r="K34" i="1"/>
  <c r="L34" i="1" s="1"/>
  <c r="M34" i="1" s="1"/>
  <c r="K35" i="1"/>
  <c r="L35" i="1" s="1"/>
  <c r="M35" i="1" s="1"/>
  <c r="K36" i="1"/>
  <c r="K37" i="1"/>
  <c r="L37" i="1" s="1"/>
  <c r="M37" i="1" s="1"/>
  <c r="K38" i="1"/>
  <c r="L38" i="1" s="1"/>
  <c r="M38" i="1" s="1"/>
  <c r="K39" i="1"/>
  <c r="L39" i="1" s="1"/>
  <c r="M39" i="1" s="1"/>
  <c r="K40" i="1"/>
  <c r="K41" i="1"/>
  <c r="L41" i="1" s="1"/>
  <c r="M41" i="1" s="1"/>
  <c r="K42" i="1"/>
  <c r="L42" i="1" s="1"/>
  <c r="M42" i="1" s="1"/>
  <c r="K43" i="1"/>
  <c r="L43" i="1" s="1"/>
  <c r="M43" i="1" s="1"/>
  <c r="K44" i="1"/>
  <c r="K45" i="1"/>
  <c r="L45" i="1" s="1"/>
  <c r="M45" i="1" s="1"/>
  <c r="K46" i="1"/>
  <c r="K47" i="1"/>
  <c r="L47" i="1" s="1"/>
  <c r="M47" i="1" s="1"/>
  <c r="K48" i="1"/>
  <c r="L48" i="1" s="1"/>
  <c r="M48" i="1" s="1"/>
  <c r="K49" i="1"/>
  <c r="L49" i="1" s="1"/>
  <c r="M49" i="1" s="1"/>
  <c r="K50" i="1"/>
  <c r="K51" i="1"/>
  <c r="L51" i="1" s="1"/>
  <c r="M51" i="1" s="1"/>
  <c r="K52" i="1"/>
  <c r="L52" i="1" s="1"/>
  <c r="M52" i="1" s="1"/>
  <c r="K53" i="1"/>
  <c r="L53" i="1" s="1"/>
  <c r="M53" i="1" s="1"/>
  <c r="K54" i="1"/>
  <c r="L54" i="1" s="1"/>
  <c r="M54" i="1" s="1"/>
  <c r="K55" i="1"/>
  <c r="L55" i="1" s="1"/>
  <c r="M55" i="1" s="1"/>
  <c r="K56" i="1"/>
  <c r="L56" i="1" s="1"/>
  <c r="M56" i="1" s="1"/>
  <c r="K57" i="1"/>
  <c r="L57" i="1" s="1"/>
  <c r="M57" i="1" s="1"/>
  <c r="K58" i="1"/>
  <c r="L58" i="1" s="1"/>
  <c r="M58" i="1" s="1"/>
  <c r="K59" i="1"/>
  <c r="L59" i="1" s="1"/>
  <c r="M59" i="1" s="1"/>
  <c r="K60" i="1"/>
  <c r="L60" i="1" s="1"/>
  <c r="M60" i="1" s="1"/>
  <c r="K61" i="1"/>
  <c r="L61" i="1" s="1"/>
  <c r="M61" i="1" s="1"/>
  <c r="K62" i="1"/>
  <c r="K63" i="1"/>
  <c r="L63" i="1" s="1"/>
  <c r="M63" i="1" s="1"/>
  <c r="K64" i="1"/>
  <c r="L64" i="1" s="1"/>
  <c r="M64" i="1" s="1"/>
  <c r="K65" i="1"/>
  <c r="L65" i="1" s="1"/>
  <c r="M65" i="1" s="1"/>
  <c r="K66" i="1"/>
  <c r="K67" i="1"/>
  <c r="L67" i="1" s="1"/>
  <c r="M67" i="1" s="1"/>
  <c r="K68" i="1"/>
  <c r="L68" i="1" s="1"/>
  <c r="M68" i="1" s="1"/>
  <c r="K69" i="1"/>
  <c r="L69" i="1" s="1"/>
  <c r="M69" i="1" s="1"/>
  <c r="K70" i="1"/>
  <c r="L70" i="1" s="1"/>
  <c r="M70" i="1" s="1"/>
  <c r="K71" i="1"/>
  <c r="L71" i="1" s="1"/>
  <c r="M71" i="1" s="1"/>
  <c r="K72" i="1"/>
  <c r="L72" i="1" s="1"/>
  <c r="M72" i="1" s="1"/>
  <c r="K73" i="1"/>
  <c r="L73" i="1" s="1"/>
  <c r="M73" i="1" s="1"/>
  <c r="K74" i="1"/>
  <c r="L74" i="1" s="1"/>
  <c r="M74" i="1" s="1"/>
  <c r="K75" i="1"/>
  <c r="L75" i="1" s="1"/>
  <c r="M75" i="1" s="1"/>
  <c r="K76" i="1"/>
  <c r="L76" i="1" s="1"/>
  <c r="M76" i="1" s="1"/>
  <c r="K77" i="1"/>
  <c r="L77" i="1" s="1"/>
  <c r="M77" i="1" s="1"/>
  <c r="K78" i="1"/>
  <c r="K79" i="1"/>
  <c r="L79" i="1" s="1"/>
  <c r="M79" i="1" s="1"/>
  <c r="K80" i="1"/>
  <c r="L80" i="1" s="1"/>
  <c r="M80" i="1" s="1"/>
  <c r="K81" i="1"/>
  <c r="L81" i="1" s="1"/>
  <c r="M81" i="1" s="1"/>
  <c r="K82" i="1"/>
  <c r="K83" i="1"/>
  <c r="L83" i="1" s="1"/>
  <c r="M83" i="1" s="1"/>
  <c r="K84" i="1"/>
  <c r="L84" i="1" s="1"/>
  <c r="M84" i="1" s="1"/>
  <c r="K85" i="1"/>
  <c r="L85" i="1" s="1"/>
  <c r="M85" i="1" s="1"/>
  <c r="K86" i="1"/>
  <c r="L86" i="1" s="1"/>
  <c r="M86" i="1" s="1"/>
  <c r="K87" i="1"/>
  <c r="K88" i="1"/>
  <c r="L88" i="1" s="1"/>
  <c r="M88" i="1" s="1"/>
  <c r="K89" i="1"/>
  <c r="L89" i="1" s="1"/>
  <c r="M89" i="1" s="1"/>
  <c r="K90" i="1"/>
  <c r="L90" i="1" s="1"/>
  <c r="M90" i="1" s="1"/>
  <c r="K91" i="1"/>
  <c r="L91" i="1" s="1"/>
  <c r="M91" i="1" s="1"/>
  <c r="K92" i="1"/>
  <c r="L92" i="1" s="1"/>
  <c r="M92" i="1" s="1"/>
  <c r="K93" i="1"/>
  <c r="L93" i="1" s="1"/>
  <c r="M93" i="1" s="1"/>
  <c r="K94" i="1"/>
  <c r="K95" i="1"/>
  <c r="L95" i="1" s="1"/>
  <c r="M95" i="1" s="1"/>
  <c r="K96" i="1"/>
  <c r="L96" i="1" s="1"/>
  <c r="M96" i="1" s="1"/>
  <c r="K97" i="1"/>
  <c r="L97" i="1" s="1"/>
  <c r="M97" i="1" s="1"/>
  <c r="K98" i="1"/>
  <c r="K99" i="1"/>
  <c r="L99" i="1" s="1"/>
  <c r="M99" i="1" s="1"/>
  <c r="K100" i="1"/>
  <c r="L100" i="1" s="1"/>
  <c r="M100" i="1" s="1"/>
  <c r="K101" i="1"/>
  <c r="L101" i="1" s="1"/>
  <c r="M101" i="1" s="1"/>
  <c r="K102" i="1"/>
  <c r="L102" i="1" s="1"/>
  <c r="M102" i="1" s="1"/>
  <c r="K103" i="1"/>
  <c r="L103" i="1" s="1"/>
  <c r="M103" i="1" s="1"/>
  <c r="K104" i="1"/>
  <c r="L104" i="1" s="1"/>
  <c r="M104" i="1" s="1"/>
  <c r="K105" i="1"/>
  <c r="L105" i="1" s="1"/>
  <c r="M105" i="1" s="1"/>
  <c r="K106" i="1"/>
  <c r="L106" i="1" s="1"/>
  <c r="M106" i="1" s="1"/>
  <c r="K107" i="1"/>
  <c r="L107" i="1" s="1"/>
  <c r="M107" i="1" s="1"/>
  <c r="K108" i="1"/>
  <c r="L108" i="1" s="1"/>
  <c r="M108" i="1" s="1"/>
  <c r="K109" i="1"/>
  <c r="L109" i="1" s="1"/>
  <c r="M109" i="1" s="1"/>
  <c r="K110" i="1"/>
  <c r="K111" i="1"/>
  <c r="L111" i="1" s="1"/>
  <c r="M111" i="1" s="1"/>
  <c r="K112" i="1"/>
  <c r="L112" i="1" s="1"/>
  <c r="M112" i="1" s="1"/>
  <c r="K113" i="1"/>
  <c r="L113" i="1" s="1"/>
  <c r="M113" i="1" s="1"/>
  <c r="K114" i="1"/>
  <c r="K115" i="1"/>
  <c r="L115" i="1" s="1"/>
  <c r="M115" i="1" s="1"/>
  <c r="K116" i="1"/>
  <c r="L116" i="1" s="1"/>
  <c r="M116" i="1" s="1"/>
  <c r="K117" i="1"/>
  <c r="L117" i="1" s="1"/>
  <c r="M117" i="1" s="1"/>
  <c r="K118" i="1"/>
  <c r="L118" i="1" s="1"/>
  <c r="M118" i="1" s="1"/>
  <c r="K119" i="1"/>
  <c r="L119" i="1" s="1"/>
  <c r="M119" i="1" s="1"/>
  <c r="K120" i="1"/>
  <c r="L120" i="1" s="1"/>
  <c r="M120" i="1" s="1"/>
  <c r="K121" i="1"/>
  <c r="L121" i="1" s="1"/>
  <c r="M121" i="1" s="1"/>
  <c r="K122" i="1"/>
  <c r="L122" i="1" s="1"/>
  <c r="M122" i="1" s="1"/>
  <c r="K123" i="1"/>
  <c r="L123" i="1" s="1"/>
  <c r="M123" i="1" s="1"/>
  <c r="K124" i="1"/>
  <c r="L124" i="1" s="1"/>
  <c r="M124" i="1" s="1"/>
  <c r="K125" i="1"/>
  <c r="L125" i="1" s="1"/>
  <c r="M125" i="1" s="1"/>
  <c r="K126" i="1"/>
  <c r="K127" i="1"/>
  <c r="L127" i="1" s="1"/>
  <c r="M127" i="1" s="1"/>
  <c r="K128" i="1"/>
  <c r="L128" i="1" s="1"/>
  <c r="M128" i="1" s="1"/>
  <c r="K129" i="1"/>
  <c r="L129" i="1" s="1"/>
  <c r="M129" i="1" s="1"/>
  <c r="K130" i="1"/>
  <c r="K131" i="1"/>
  <c r="L131" i="1" s="1"/>
  <c r="M131" i="1" s="1"/>
  <c r="K132" i="1"/>
  <c r="L132" i="1" s="1"/>
  <c r="M132" i="1" s="1"/>
  <c r="K133" i="1"/>
  <c r="L133" i="1" s="1"/>
  <c r="M133" i="1" s="1"/>
  <c r="K134" i="1"/>
  <c r="L134" i="1" s="1"/>
  <c r="M134" i="1" s="1"/>
  <c r="K135" i="1"/>
  <c r="L135" i="1" s="1"/>
  <c r="M135" i="1" s="1"/>
  <c r="K136" i="1"/>
  <c r="L136" i="1" s="1"/>
  <c r="M136" i="1" s="1"/>
  <c r="K137" i="1"/>
  <c r="L137" i="1" s="1"/>
  <c r="M137" i="1" s="1"/>
  <c r="K138" i="1"/>
  <c r="L138" i="1" s="1"/>
  <c r="M138" i="1" s="1"/>
  <c r="K139" i="1"/>
  <c r="L139" i="1" s="1"/>
  <c r="M139" i="1" s="1"/>
  <c r="K140" i="1"/>
  <c r="L140" i="1" s="1"/>
  <c r="M140" i="1" s="1"/>
  <c r="K141" i="1"/>
  <c r="L141" i="1" s="1"/>
  <c r="M141" i="1" s="1"/>
  <c r="K142" i="1"/>
  <c r="K143" i="1"/>
  <c r="L143" i="1" s="1"/>
  <c r="M143" i="1" s="1"/>
  <c r="K144" i="1"/>
  <c r="K145" i="1"/>
  <c r="L145" i="1" s="1"/>
  <c r="M145" i="1" s="1"/>
  <c r="K146" i="1"/>
  <c r="K147" i="1"/>
  <c r="L147" i="1" s="1"/>
  <c r="M147" i="1" s="1"/>
  <c r="K148" i="1"/>
  <c r="L148" i="1" s="1"/>
  <c r="M148" i="1" s="1"/>
  <c r="K149" i="1"/>
  <c r="L149" i="1" s="1"/>
  <c r="M149" i="1" s="1"/>
  <c r="K150" i="1"/>
  <c r="L150" i="1" s="1"/>
  <c r="M150" i="1" s="1"/>
  <c r="K151" i="1"/>
  <c r="L151" i="1" s="1"/>
  <c r="M151" i="1" s="1"/>
  <c r="K152" i="1"/>
  <c r="L152" i="1" s="1"/>
  <c r="M152" i="1" s="1"/>
  <c r="K153" i="1"/>
  <c r="L153" i="1" s="1"/>
  <c r="M153" i="1" s="1"/>
  <c r="K154" i="1"/>
  <c r="L154" i="1" s="1"/>
  <c r="M154" i="1" s="1"/>
  <c r="K155" i="1"/>
  <c r="L155" i="1" s="1"/>
  <c r="M155" i="1" s="1"/>
  <c r="K156" i="1"/>
  <c r="L156" i="1" s="1"/>
  <c r="M156" i="1" s="1"/>
  <c r="K157" i="1"/>
  <c r="L157" i="1" s="1"/>
  <c r="M157" i="1" s="1"/>
  <c r="K158" i="1"/>
  <c r="K159" i="1"/>
  <c r="L159" i="1" s="1"/>
  <c r="M159" i="1" s="1"/>
  <c r="K160" i="1"/>
  <c r="L160" i="1" s="1"/>
  <c r="M160" i="1" s="1"/>
  <c r="K161" i="1"/>
  <c r="L161" i="1" s="1"/>
  <c r="M161" i="1" s="1"/>
  <c r="K162" i="1"/>
  <c r="K163" i="1"/>
  <c r="L163" i="1" s="1"/>
  <c r="M163" i="1" s="1"/>
  <c r="K164" i="1"/>
  <c r="L164" i="1" s="1"/>
  <c r="M164" i="1" s="1"/>
  <c r="K165" i="1"/>
  <c r="L165" i="1" s="1"/>
  <c r="M165" i="1" s="1"/>
  <c r="K166" i="1"/>
  <c r="K167" i="1"/>
  <c r="L167" i="1" s="1"/>
  <c r="M167" i="1" s="1"/>
  <c r="K168" i="1"/>
  <c r="L168" i="1" s="1"/>
  <c r="M168" i="1" s="1"/>
  <c r="K169" i="1"/>
  <c r="L169" i="1" s="1"/>
  <c r="M169" i="1" s="1"/>
  <c r="K170" i="1"/>
  <c r="L170" i="1" s="1"/>
  <c r="M170" i="1" s="1"/>
  <c r="K171" i="1"/>
  <c r="K172" i="1"/>
  <c r="L172" i="1" s="1"/>
  <c r="M172" i="1" s="1"/>
  <c r="K173" i="1"/>
  <c r="L173" i="1" s="1"/>
  <c r="M173" i="1" s="1"/>
  <c r="K174" i="1"/>
  <c r="L174" i="1" s="1"/>
  <c r="M174" i="1" s="1"/>
  <c r="K175" i="1"/>
  <c r="L175" i="1" s="1"/>
  <c r="M175" i="1" s="1"/>
  <c r="K176" i="1"/>
  <c r="L176" i="1" s="1"/>
  <c r="M176" i="1" s="1"/>
  <c r="K177" i="1"/>
  <c r="L177" i="1" s="1"/>
  <c r="M177" i="1" s="1"/>
  <c r="K178" i="1"/>
  <c r="K179" i="1"/>
  <c r="L179" i="1" s="1"/>
  <c r="M179" i="1" s="1"/>
  <c r="K180" i="1"/>
  <c r="L180" i="1" s="1"/>
  <c r="M180" i="1" s="1"/>
  <c r="K181" i="1"/>
  <c r="L181" i="1" s="1"/>
  <c r="M181" i="1" s="1"/>
  <c r="K182" i="1"/>
  <c r="K183" i="1"/>
  <c r="L183" i="1" s="1"/>
  <c r="M183" i="1" s="1"/>
  <c r="K184" i="1"/>
  <c r="L184" i="1" s="1"/>
  <c r="M184" i="1" s="1"/>
  <c r="K185" i="1"/>
  <c r="L185" i="1" s="1"/>
  <c r="M185" i="1" s="1"/>
  <c r="K186" i="1"/>
  <c r="L186" i="1" s="1"/>
  <c r="M186" i="1" s="1"/>
  <c r="K187" i="1"/>
  <c r="L187" i="1" s="1"/>
  <c r="M187" i="1" s="1"/>
  <c r="K188" i="1"/>
  <c r="L188" i="1" s="1"/>
  <c r="M188" i="1" s="1"/>
  <c r="K189" i="1"/>
  <c r="L189" i="1" s="1"/>
  <c r="M189" i="1" s="1"/>
  <c r="K190" i="1"/>
  <c r="L190" i="1" s="1"/>
  <c r="M190" i="1" s="1"/>
  <c r="K191" i="1"/>
  <c r="L191" i="1" s="1"/>
  <c r="M191" i="1" s="1"/>
  <c r="K192" i="1"/>
  <c r="L192" i="1" s="1"/>
  <c r="M192" i="1" s="1"/>
  <c r="K193" i="1"/>
  <c r="L193" i="1" s="1"/>
  <c r="M193" i="1" s="1"/>
  <c r="K194" i="1"/>
  <c r="K195" i="1"/>
  <c r="L195" i="1" s="1"/>
  <c r="M195" i="1" s="1"/>
  <c r="K196" i="1"/>
  <c r="L196" i="1" s="1"/>
  <c r="M196" i="1" s="1"/>
  <c r="K197" i="1"/>
  <c r="L197" i="1" s="1"/>
  <c r="M197" i="1" s="1"/>
  <c r="K198" i="1"/>
  <c r="K199" i="1"/>
  <c r="L199" i="1" s="1"/>
  <c r="M199" i="1" s="1"/>
  <c r="K200" i="1"/>
  <c r="L200" i="1" s="1"/>
  <c r="M200" i="1" s="1"/>
  <c r="K201" i="1"/>
  <c r="L201" i="1" s="1"/>
  <c r="M201" i="1" s="1"/>
  <c r="K202" i="1"/>
  <c r="L202" i="1" s="1"/>
  <c r="M202" i="1" s="1"/>
  <c r="K203" i="1"/>
  <c r="L203" i="1" s="1"/>
  <c r="M203" i="1" s="1"/>
  <c r="K204" i="1"/>
  <c r="L204" i="1" s="1"/>
  <c r="M204" i="1" s="1"/>
  <c r="K205" i="1"/>
  <c r="L205" i="1" s="1"/>
  <c r="M205" i="1" s="1"/>
  <c r="K206" i="1"/>
  <c r="L206" i="1" s="1"/>
  <c r="M206" i="1" s="1"/>
  <c r="K207" i="1"/>
  <c r="L207" i="1" s="1"/>
  <c r="M207" i="1" s="1"/>
  <c r="K208" i="1"/>
  <c r="L208" i="1" s="1"/>
  <c r="M208" i="1" s="1"/>
  <c r="K209" i="1"/>
  <c r="L209" i="1" s="1"/>
  <c r="M209" i="1" s="1"/>
  <c r="K210" i="1"/>
  <c r="K211" i="1"/>
  <c r="L211" i="1" s="1"/>
  <c r="M211" i="1" s="1"/>
  <c r="K212" i="1"/>
  <c r="L212" i="1" s="1"/>
  <c r="M212" i="1" s="1"/>
  <c r="K213" i="1"/>
  <c r="L213" i="1" s="1"/>
  <c r="M213" i="1" s="1"/>
  <c r="K214" i="1"/>
  <c r="K215" i="1"/>
  <c r="L215" i="1" s="1"/>
  <c r="M215" i="1" s="1"/>
  <c r="K216" i="1"/>
  <c r="L216" i="1" s="1"/>
  <c r="M216" i="1" s="1"/>
  <c r="K217" i="1"/>
  <c r="L217" i="1" s="1"/>
  <c r="M217" i="1" s="1"/>
  <c r="K218" i="1"/>
  <c r="L218" i="1" s="1"/>
  <c r="M218" i="1" s="1"/>
  <c r="K219" i="1"/>
  <c r="L219" i="1" s="1"/>
  <c r="M219" i="1" s="1"/>
  <c r="K220" i="1"/>
  <c r="L220" i="1" s="1"/>
  <c r="M220" i="1" s="1"/>
  <c r="K221" i="1"/>
  <c r="L221" i="1" s="1"/>
  <c r="M221" i="1" s="1"/>
  <c r="K222" i="1"/>
  <c r="L222" i="1" s="1"/>
  <c r="M222" i="1" s="1"/>
  <c r="K223" i="1"/>
  <c r="L223" i="1" s="1"/>
  <c r="M223" i="1" s="1"/>
  <c r="K224" i="1"/>
  <c r="L224" i="1" s="1"/>
  <c r="M224" i="1" s="1"/>
  <c r="K225" i="1"/>
  <c r="L225" i="1" s="1"/>
  <c r="M225" i="1" s="1"/>
  <c r="K226" i="1"/>
  <c r="K227" i="1"/>
  <c r="L227" i="1" s="1"/>
  <c r="M227" i="1" s="1"/>
  <c r="K228" i="1"/>
  <c r="L228" i="1" s="1"/>
  <c r="M228" i="1" s="1"/>
  <c r="K229" i="1"/>
  <c r="L229" i="1" s="1"/>
  <c r="M229" i="1" s="1"/>
  <c r="K230" i="1"/>
  <c r="K231" i="1"/>
  <c r="L231" i="1" s="1"/>
  <c r="M231" i="1" s="1"/>
  <c r="K232" i="1"/>
  <c r="L232" i="1" s="1"/>
  <c r="M232" i="1" s="1"/>
  <c r="K233" i="1"/>
  <c r="L233" i="1" s="1"/>
  <c r="M233" i="1" s="1"/>
  <c r="K234" i="1"/>
  <c r="K235" i="1"/>
  <c r="L235" i="1" s="1"/>
  <c r="M235" i="1" s="1"/>
  <c r="K236" i="1"/>
  <c r="L236" i="1" s="1"/>
  <c r="M236" i="1" s="1"/>
  <c r="K237" i="1"/>
  <c r="L237" i="1" s="1"/>
  <c r="M237" i="1" s="1"/>
  <c r="K238" i="1"/>
  <c r="L238" i="1" s="1"/>
  <c r="M238" i="1" s="1"/>
  <c r="K239" i="1"/>
  <c r="L239" i="1" s="1"/>
  <c r="M239" i="1" s="1"/>
  <c r="K240" i="1"/>
  <c r="L240" i="1" s="1"/>
  <c r="M240" i="1" s="1"/>
  <c r="K241" i="1"/>
  <c r="L241" i="1" s="1"/>
  <c r="M241" i="1" s="1"/>
  <c r="K242" i="1"/>
  <c r="L242" i="1" s="1"/>
  <c r="M242" i="1" s="1"/>
  <c r="K243" i="1"/>
  <c r="L243" i="1" s="1"/>
  <c r="M243" i="1" s="1"/>
  <c r="K244" i="1"/>
  <c r="L244" i="1" s="1"/>
  <c r="M244" i="1" s="1"/>
  <c r="K245" i="1"/>
  <c r="L245" i="1" s="1"/>
  <c r="M245" i="1" s="1"/>
  <c r="K246" i="1"/>
  <c r="K247" i="1"/>
  <c r="L247" i="1" s="1"/>
  <c r="M247" i="1" s="1"/>
  <c r="K248" i="1"/>
  <c r="L248" i="1" s="1"/>
  <c r="M248" i="1" s="1"/>
  <c r="K249" i="1"/>
  <c r="L249" i="1" s="1"/>
  <c r="M249" i="1" s="1"/>
  <c r="K250" i="1"/>
  <c r="K251" i="1"/>
  <c r="L251" i="1" s="1"/>
  <c r="M251" i="1" s="1"/>
  <c r="K252" i="1"/>
  <c r="L252" i="1" s="1"/>
  <c r="M252" i="1" s="1"/>
  <c r="K253" i="1"/>
  <c r="L253" i="1" s="1"/>
  <c r="M253" i="1" s="1"/>
  <c r="K254" i="1"/>
  <c r="L254" i="1" s="1"/>
  <c r="M254" i="1" s="1"/>
  <c r="K255" i="1"/>
  <c r="L255" i="1" s="1"/>
  <c r="M255" i="1" s="1"/>
  <c r="K256" i="1"/>
  <c r="L256" i="1" s="1"/>
  <c r="M256" i="1" s="1"/>
  <c r="K257" i="1"/>
  <c r="L257" i="1" s="1"/>
  <c r="M257" i="1" s="1"/>
  <c r="K258" i="1"/>
  <c r="L258" i="1" s="1"/>
  <c r="M258" i="1" s="1"/>
  <c r="K259" i="1"/>
  <c r="L259" i="1" s="1"/>
  <c r="M259" i="1" s="1"/>
  <c r="K260" i="1"/>
  <c r="L260" i="1" s="1"/>
  <c r="M260" i="1" s="1"/>
  <c r="K261" i="1"/>
  <c r="L261" i="1" s="1"/>
  <c r="M261" i="1" s="1"/>
  <c r="K262" i="1"/>
  <c r="L262" i="1" s="1"/>
  <c r="M262" i="1" s="1"/>
  <c r="K263" i="1"/>
  <c r="L263" i="1" s="1"/>
  <c r="M263" i="1" s="1"/>
  <c r="K264" i="1"/>
  <c r="L264" i="1" s="1"/>
  <c r="M264" i="1" s="1"/>
  <c r="K265" i="1"/>
  <c r="L265" i="1" s="1"/>
  <c r="M265" i="1" s="1"/>
  <c r="K266" i="1"/>
  <c r="K267" i="1"/>
  <c r="L267" i="1" s="1"/>
  <c r="M267" i="1" s="1"/>
  <c r="K268" i="1"/>
  <c r="L268" i="1" s="1"/>
  <c r="M268" i="1" s="1"/>
  <c r="K269" i="1"/>
  <c r="L269" i="1" s="1"/>
  <c r="M269" i="1" s="1"/>
  <c r="K270" i="1"/>
  <c r="K271" i="1"/>
  <c r="K272" i="1"/>
  <c r="L272" i="1" s="1"/>
  <c r="M272" i="1" s="1"/>
  <c r="K273" i="1"/>
  <c r="L273" i="1" s="1"/>
  <c r="M273" i="1" s="1"/>
  <c r="K274" i="1"/>
  <c r="L274" i="1" s="1"/>
  <c r="M274" i="1" s="1"/>
  <c r="K275" i="1"/>
  <c r="L275" i="1" s="1"/>
  <c r="M275" i="1" s="1"/>
  <c r="K276" i="1"/>
  <c r="L276" i="1" s="1"/>
  <c r="M276" i="1" s="1"/>
  <c r="K277" i="1"/>
  <c r="L277" i="1" s="1"/>
  <c r="M277" i="1" s="1"/>
  <c r="K278" i="1"/>
  <c r="L278" i="1" s="1"/>
  <c r="M278" i="1" s="1"/>
  <c r="K279" i="1"/>
  <c r="L279" i="1" s="1"/>
  <c r="M279" i="1" s="1"/>
  <c r="K280" i="1"/>
  <c r="L280" i="1" s="1"/>
  <c r="M280" i="1" s="1"/>
  <c r="K281" i="1"/>
  <c r="L281" i="1" s="1"/>
  <c r="M281" i="1" s="1"/>
  <c r="K282" i="1"/>
  <c r="K283" i="1"/>
  <c r="L283" i="1" s="1"/>
  <c r="M283" i="1" s="1"/>
  <c r="K284" i="1"/>
  <c r="L284" i="1" s="1"/>
  <c r="M284" i="1" s="1"/>
  <c r="K285" i="1"/>
  <c r="L285" i="1" s="1"/>
  <c r="M285" i="1" s="1"/>
  <c r="K286" i="1"/>
  <c r="K287" i="1"/>
  <c r="L287" i="1" s="1"/>
  <c r="M287" i="1" s="1"/>
  <c r="K288" i="1"/>
  <c r="L288" i="1" s="1"/>
  <c r="M288" i="1" s="1"/>
  <c r="K289" i="1"/>
  <c r="L289" i="1" s="1"/>
  <c r="M289" i="1" s="1"/>
  <c r="K290" i="1"/>
  <c r="L290" i="1" s="1"/>
  <c r="M290" i="1" s="1"/>
  <c r="K291" i="1"/>
  <c r="L291" i="1" s="1"/>
  <c r="M291" i="1" s="1"/>
  <c r="K292" i="1"/>
  <c r="L292" i="1" s="1"/>
  <c r="M292" i="1" s="1"/>
  <c r="K293" i="1"/>
  <c r="L293" i="1" s="1"/>
  <c r="M293" i="1" s="1"/>
  <c r="K294" i="1"/>
  <c r="L294" i="1" s="1"/>
  <c r="M294" i="1" s="1"/>
  <c r="K295" i="1"/>
  <c r="L295" i="1" s="1"/>
  <c r="M295" i="1" s="1"/>
  <c r="K296" i="1"/>
  <c r="L296" i="1" s="1"/>
  <c r="M296" i="1" s="1"/>
  <c r="K297" i="1"/>
  <c r="L297" i="1" s="1"/>
  <c r="M297" i="1" s="1"/>
  <c r="K298" i="1"/>
  <c r="K299" i="1"/>
  <c r="L299" i="1" s="1"/>
  <c r="M299" i="1" s="1"/>
  <c r="K300" i="1"/>
  <c r="L300" i="1" s="1"/>
  <c r="M300" i="1" s="1"/>
  <c r="K301" i="1"/>
  <c r="L301" i="1" s="1"/>
  <c r="M301" i="1" s="1"/>
  <c r="K302" i="1"/>
  <c r="K303" i="1"/>
  <c r="K304" i="1"/>
  <c r="L304" i="1" s="1"/>
  <c r="M304" i="1" s="1"/>
  <c r="K305" i="1"/>
  <c r="L305" i="1" s="1"/>
  <c r="M305" i="1" s="1"/>
  <c r="K306" i="1"/>
  <c r="L306" i="1" s="1"/>
  <c r="M306" i="1" s="1"/>
  <c r="K307" i="1"/>
  <c r="L307" i="1" s="1"/>
  <c r="M307" i="1" s="1"/>
  <c r="K308" i="1"/>
  <c r="L308" i="1" s="1"/>
  <c r="K309" i="1"/>
  <c r="L309" i="1" s="1"/>
  <c r="M309" i="1" s="1"/>
  <c r="K310" i="1"/>
  <c r="L310" i="1" s="1"/>
  <c r="M310" i="1" s="1"/>
  <c r="K311" i="1"/>
  <c r="L311" i="1" s="1"/>
  <c r="M311" i="1" s="1"/>
  <c r="K312" i="1"/>
  <c r="L312" i="1" s="1"/>
  <c r="M312" i="1" s="1"/>
  <c r="K313" i="1"/>
  <c r="L313" i="1" s="1"/>
  <c r="M313" i="1" s="1"/>
  <c r="K314" i="1"/>
  <c r="K315" i="1"/>
  <c r="L315" i="1" s="1"/>
  <c r="M315" i="1" s="1"/>
  <c r="K316" i="1"/>
  <c r="L316" i="1" s="1"/>
  <c r="M316" i="1" s="1"/>
  <c r="K317" i="1"/>
  <c r="L317" i="1" s="1"/>
  <c r="M317" i="1" s="1"/>
  <c r="K318" i="1"/>
  <c r="K319" i="1"/>
  <c r="L319" i="1" s="1"/>
  <c r="M319" i="1" s="1"/>
  <c r="K320" i="1"/>
  <c r="L320" i="1" s="1"/>
  <c r="M320" i="1" s="1"/>
  <c r="K321" i="1"/>
  <c r="L321" i="1" s="1"/>
  <c r="M321" i="1" s="1"/>
  <c r="K322" i="1"/>
  <c r="L322" i="1" s="1"/>
  <c r="M322" i="1" s="1"/>
  <c r="K323" i="1"/>
  <c r="L323" i="1" s="1"/>
  <c r="M323" i="1" s="1"/>
  <c r="K324" i="1"/>
  <c r="L324" i="1" s="1"/>
  <c r="M324" i="1" s="1"/>
  <c r="K325" i="1"/>
  <c r="L325" i="1" s="1"/>
  <c r="M325" i="1" s="1"/>
  <c r="K326" i="1"/>
  <c r="L326" i="1" s="1"/>
  <c r="M326" i="1" s="1"/>
  <c r="K327" i="1"/>
  <c r="L327" i="1" s="1"/>
  <c r="M327" i="1" s="1"/>
  <c r="K328" i="1"/>
  <c r="L328" i="1" s="1"/>
  <c r="M328" i="1" s="1"/>
  <c r="K329" i="1"/>
  <c r="L329" i="1" s="1"/>
  <c r="M329" i="1" s="1"/>
  <c r="K330" i="1"/>
  <c r="K331" i="1"/>
  <c r="K332" i="1"/>
  <c r="L332" i="1" s="1"/>
  <c r="M332" i="1" s="1"/>
  <c r="K333" i="1"/>
  <c r="L333" i="1" s="1"/>
  <c r="M333" i="1" s="1"/>
  <c r="K334" i="1"/>
  <c r="L334" i="1" s="1"/>
  <c r="M334" i="1" s="1"/>
  <c r="K335" i="1"/>
  <c r="L335" i="1" s="1"/>
  <c r="M335" i="1" s="1"/>
  <c r="K336" i="1"/>
  <c r="L336" i="1" s="1"/>
  <c r="M336" i="1" s="1"/>
  <c r="K337" i="1"/>
  <c r="L337" i="1" s="1"/>
  <c r="M337" i="1" s="1"/>
  <c r="K338" i="1"/>
  <c r="L338" i="1" s="1"/>
  <c r="M338" i="1" s="1"/>
  <c r="K339" i="1"/>
  <c r="L339" i="1" s="1"/>
  <c r="M339" i="1" s="1"/>
  <c r="K340" i="1"/>
  <c r="L340" i="1" s="1"/>
  <c r="M340" i="1" s="1"/>
  <c r="K341" i="1"/>
  <c r="L341" i="1" s="1"/>
  <c r="M341" i="1" s="1"/>
  <c r="K342" i="1"/>
  <c r="K343" i="1"/>
  <c r="L343" i="1" s="1"/>
  <c r="M343" i="1" s="1"/>
  <c r="K344" i="1"/>
  <c r="L344" i="1" s="1"/>
  <c r="M344" i="1" s="1"/>
  <c r="K345" i="1"/>
  <c r="L345" i="1" s="1"/>
  <c r="M345" i="1" s="1"/>
  <c r="K346" i="1"/>
  <c r="L346" i="1" s="1"/>
  <c r="M346" i="1" s="1"/>
  <c r="K347" i="1"/>
  <c r="L347" i="1" s="1"/>
  <c r="M347" i="1" s="1"/>
  <c r="K348" i="1"/>
  <c r="L348" i="1" s="1"/>
  <c r="M348" i="1" s="1"/>
  <c r="K349" i="1"/>
  <c r="L349" i="1" s="1"/>
  <c r="M349" i="1" s="1"/>
  <c r="K350" i="1"/>
  <c r="K351" i="1"/>
  <c r="L351" i="1" s="1"/>
  <c r="M351" i="1" s="1"/>
  <c r="K352" i="1"/>
  <c r="L352" i="1" s="1"/>
  <c r="M352" i="1" s="1"/>
  <c r="K353" i="1"/>
  <c r="L353" i="1" s="1"/>
  <c r="M353" i="1" s="1"/>
  <c r="K354" i="1"/>
  <c r="L354" i="1" s="1"/>
  <c r="M354" i="1" s="1"/>
  <c r="K355" i="1"/>
  <c r="L355" i="1" s="1"/>
  <c r="M355" i="1" s="1"/>
  <c r="K356" i="1"/>
  <c r="L356" i="1" s="1"/>
  <c r="M356" i="1" s="1"/>
  <c r="K357" i="1"/>
  <c r="L357" i="1" s="1"/>
  <c r="M357" i="1" s="1"/>
  <c r="K358" i="1"/>
  <c r="L358" i="1" s="1"/>
  <c r="M358" i="1" s="1"/>
  <c r="K359" i="1"/>
  <c r="L359" i="1" s="1"/>
  <c r="M359" i="1" s="1"/>
  <c r="K360" i="1"/>
  <c r="L360" i="1" s="1"/>
  <c r="M360" i="1" s="1"/>
  <c r="K361" i="1"/>
  <c r="L361" i="1" s="1"/>
  <c r="M361" i="1" s="1"/>
  <c r="K362" i="1"/>
  <c r="K363" i="1"/>
  <c r="L363" i="1" s="1"/>
  <c r="M363" i="1" s="1"/>
  <c r="K364" i="1"/>
  <c r="L364" i="1" s="1"/>
  <c r="M364" i="1" s="1"/>
  <c r="K365" i="1"/>
  <c r="L365" i="1" s="1"/>
  <c r="M365" i="1" s="1"/>
  <c r="K366" i="1"/>
  <c r="K367" i="1"/>
  <c r="L367" i="1" s="1"/>
  <c r="M367" i="1" s="1"/>
  <c r="K368" i="1"/>
  <c r="L368" i="1" s="1"/>
  <c r="M368" i="1" s="1"/>
  <c r="K369" i="1"/>
  <c r="L369" i="1" s="1"/>
  <c r="M369" i="1" s="1"/>
  <c r="K370" i="1"/>
  <c r="L370" i="1" s="1"/>
  <c r="M370" i="1" s="1"/>
  <c r="K371" i="1"/>
  <c r="L371" i="1" s="1"/>
  <c r="M371" i="1" s="1"/>
  <c r="K372" i="1"/>
  <c r="L372" i="1" s="1"/>
  <c r="M372" i="1" s="1"/>
  <c r="K373" i="1"/>
  <c r="L373" i="1" s="1"/>
  <c r="M373" i="1" s="1"/>
  <c r="K374" i="1"/>
  <c r="L374" i="1" s="1"/>
  <c r="M374" i="1" s="1"/>
  <c r="K375" i="1"/>
  <c r="L375" i="1" s="1"/>
  <c r="M375" i="1" s="1"/>
  <c r="K376" i="1"/>
  <c r="L376" i="1" s="1"/>
  <c r="M376" i="1" s="1"/>
  <c r="K377" i="1"/>
  <c r="L377" i="1" s="1"/>
  <c r="M377" i="1" s="1"/>
  <c r="K378" i="1"/>
  <c r="K379" i="1"/>
  <c r="K380" i="1"/>
  <c r="L380" i="1" s="1"/>
  <c r="M380" i="1" s="1"/>
  <c r="K381" i="1"/>
  <c r="L381" i="1" s="1"/>
  <c r="M381" i="1" s="1"/>
  <c r="K382" i="1"/>
  <c r="K383" i="1"/>
  <c r="L383" i="1" s="1"/>
  <c r="M383" i="1" s="1"/>
  <c r="K384" i="1"/>
  <c r="L384" i="1" s="1"/>
  <c r="M384" i="1" s="1"/>
  <c r="K385" i="1"/>
  <c r="L385" i="1" s="1"/>
  <c r="M385" i="1" s="1"/>
  <c r="K386" i="1"/>
  <c r="L386" i="1" s="1"/>
  <c r="M386" i="1" s="1"/>
  <c r="K387" i="1"/>
  <c r="L387" i="1" s="1"/>
  <c r="M387" i="1" s="1"/>
  <c r="K388" i="1"/>
  <c r="L388" i="1" s="1"/>
  <c r="M388" i="1" s="1"/>
  <c r="K389" i="1"/>
  <c r="L389" i="1" s="1"/>
  <c r="M389" i="1" s="1"/>
  <c r="K390" i="1"/>
  <c r="L390" i="1" s="1"/>
  <c r="M390" i="1" s="1"/>
  <c r="K391" i="1"/>
  <c r="L391" i="1" s="1"/>
  <c r="M391" i="1" s="1"/>
  <c r="K392" i="1"/>
  <c r="L392" i="1" s="1"/>
  <c r="M392" i="1" s="1"/>
  <c r="K393" i="1"/>
  <c r="L393" i="1" s="1"/>
  <c r="M393" i="1" s="1"/>
  <c r="K394" i="1"/>
  <c r="K395" i="1"/>
  <c r="L395" i="1" s="1"/>
  <c r="M395" i="1" s="1"/>
  <c r="K396" i="1"/>
  <c r="L396" i="1" s="1"/>
  <c r="M396" i="1" s="1"/>
  <c r="K397" i="1"/>
  <c r="L397" i="1" s="1"/>
  <c r="M397" i="1" s="1"/>
  <c r="K398" i="1"/>
  <c r="K399" i="1"/>
  <c r="L399" i="1" s="1"/>
  <c r="M399" i="1" s="1"/>
  <c r="K400" i="1"/>
  <c r="L400" i="1" s="1"/>
  <c r="M400" i="1" s="1"/>
  <c r="K401" i="1"/>
  <c r="L401" i="1" s="1"/>
  <c r="M401" i="1" s="1"/>
  <c r="K402" i="1"/>
  <c r="K403" i="1"/>
  <c r="L403" i="1" s="1"/>
  <c r="M403" i="1" s="1"/>
  <c r="K404" i="1"/>
  <c r="L404" i="1" s="1"/>
  <c r="M404" i="1" s="1"/>
  <c r="K405" i="1"/>
  <c r="L405" i="1" s="1"/>
  <c r="M405" i="1" s="1"/>
  <c r="K406" i="1"/>
  <c r="L406" i="1" s="1"/>
  <c r="M406" i="1" s="1"/>
  <c r="K407" i="1"/>
  <c r="L407" i="1" s="1"/>
  <c r="M407" i="1" s="1"/>
  <c r="K408" i="1"/>
  <c r="L408" i="1" s="1"/>
  <c r="M408" i="1" s="1"/>
  <c r="K409" i="1"/>
  <c r="L409" i="1" s="1"/>
  <c r="M409" i="1" s="1"/>
  <c r="K410" i="1"/>
  <c r="L410" i="1" s="1"/>
  <c r="M410" i="1" s="1"/>
  <c r="K411" i="1"/>
  <c r="L411" i="1" s="1"/>
  <c r="M411" i="1" s="1"/>
  <c r="K412" i="1"/>
  <c r="L412" i="1" s="1"/>
  <c r="M412" i="1" s="1"/>
  <c r="K413" i="1"/>
  <c r="L413" i="1" s="1"/>
  <c r="M413" i="1" s="1"/>
  <c r="K414" i="1"/>
  <c r="L414" i="1" s="1"/>
  <c r="M414" i="1" s="1"/>
  <c r="K415" i="1"/>
  <c r="L415" i="1" s="1"/>
  <c r="M415" i="1" s="1"/>
  <c r="K416" i="1"/>
  <c r="L416" i="1" s="1"/>
  <c r="M416" i="1" s="1"/>
  <c r="K417" i="1"/>
  <c r="L417" i="1" s="1"/>
  <c r="M417" i="1" s="1"/>
  <c r="K418" i="1"/>
  <c r="K419" i="1"/>
  <c r="L419" i="1" s="1"/>
  <c r="M419" i="1" s="1"/>
  <c r="K420" i="1"/>
  <c r="L420" i="1" s="1"/>
  <c r="M420" i="1" s="1"/>
  <c r="K421" i="1"/>
  <c r="L421" i="1" s="1"/>
  <c r="M421" i="1" s="1"/>
  <c r="K422" i="1"/>
  <c r="K423" i="1"/>
  <c r="L423" i="1" s="1"/>
  <c r="M423" i="1" s="1"/>
  <c r="K424" i="1"/>
  <c r="L424" i="1" s="1"/>
  <c r="M424" i="1" s="1"/>
  <c r="K425" i="1"/>
  <c r="L425" i="1" s="1"/>
  <c r="M425" i="1" s="1"/>
  <c r="K426" i="1"/>
  <c r="L426" i="1" s="1"/>
  <c r="M426" i="1" s="1"/>
  <c r="K427" i="1"/>
  <c r="L427" i="1" s="1"/>
  <c r="M427" i="1" s="1"/>
  <c r="K428" i="1"/>
  <c r="L428" i="1" s="1"/>
  <c r="M428" i="1" s="1"/>
  <c r="K429" i="1"/>
  <c r="L429" i="1" s="1"/>
  <c r="M429" i="1" s="1"/>
  <c r="K430" i="1"/>
  <c r="L430" i="1" s="1"/>
  <c r="M430" i="1" s="1"/>
  <c r="K431" i="1"/>
  <c r="L431" i="1" s="1"/>
  <c r="M431" i="1" s="1"/>
  <c r="K432" i="1"/>
  <c r="L432" i="1" s="1"/>
  <c r="M432" i="1" s="1"/>
  <c r="K433" i="1"/>
  <c r="L433" i="1" s="1"/>
  <c r="M433" i="1" s="1"/>
  <c r="K434" i="1"/>
  <c r="K435" i="1"/>
  <c r="L435" i="1" s="1"/>
  <c r="M435" i="1" s="1"/>
  <c r="K436" i="1"/>
  <c r="L436" i="1" s="1"/>
  <c r="M436" i="1" s="1"/>
  <c r="K437" i="1"/>
  <c r="L437" i="1" s="1"/>
  <c r="M437" i="1" s="1"/>
  <c r="K438" i="1"/>
  <c r="K439" i="1"/>
  <c r="L439" i="1" s="1"/>
  <c r="M439" i="1" s="1"/>
  <c r="K440" i="1"/>
  <c r="L440" i="1" s="1"/>
  <c r="M440" i="1" s="1"/>
  <c r="K441" i="1"/>
  <c r="L441" i="1" s="1"/>
  <c r="M441" i="1" s="1"/>
  <c r="K442" i="1"/>
  <c r="L442" i="1" s="1"/>
  <c r="M442" i="1" s="1"/>
  <c r="K443" i="1"/>
  <c r="K444" i="1"/>
  <c r="L444" i="1" s="1"/>
  <c r="M444" i="1" s="1"/>
  <c r="K445" i="1"/>
  <c r="L445" i="1" s="1"/>
  <c r="M445" i="1" s="1"/>
  <c r="K446" i="1"/>
  <c r="L446" i="1" s="1"/>
  <c r="M446" i="1" s="1"/>
  <c r="K447" i="1"/>
  <c r="L447" i="1" s="1"/>
  <c r="M447" i="1" s="1"/>
  <c r="K448" i="1"/>
  <c r="L448" i="1" s="1"/>
  <c r="M448" i="1" s="1"/>
  <c r="K449" i="1"/>
  <c r="L449" i="1" s="1"/>
  <c r="M449" i="1" s="1"/>
  <c r="K450" i="1"/>
  <c r="K451" i="1"/>
  <c r="L451" i="1" s="1"/>
  <c r="M451" i="1" s="1"/>
  <c r="K452" i="1"/>
  <c r="L452" i="1" s="1"/>
  <c r="M452" i="1" s="1"/>
  <c r="K453" i="1"/>
  <c r="L453" i="1" s="1"/>
  <c r="M453" i="1" s="1"/>
  <c r="K454" i="1"/>
  <c r="K455" i="1"/>
  <c r="K456" i="1"/>
  <c r="L456" i="1" s="1"/>
  <c r="M456" i="1" s="1"/>
  <c r="K457" i="1"/>
  <c r="L457" i="1" s="1"/>
  <c r="M457" i="1" s="1"/>
  <c r="K458" i="1"/>
  <c r="L458" i="1" s="1"/>
  <c r="M458" i="1" s="1"/>
  <c r="K459" i="1"/>
  <c r="L459" i="1" s="1"/>
  <c r="M459" i="1" s="1"/>
  <c r="K460" i="1"/>
  <c r="L460" i="1" s="1"/>
  <c r="M460" i="1" s="1"/>
  <c r="K461" i="1"/>
  <c r="L461" i="1" s="1"/>
  <c r="M461" i="1" s="1"/>
  <c r="K462" i="1"/>
  <c r="K463" i="1"/>
  <c r="L463" i="1" s="1"/>
  <c r="M463" i="1" s="1"/>
  <c r="K464" i="1"/>
  <c r="L464" i="1" s="1"/>
  <c r="M464" i="1" s="1"/>
  <c r="K465" i="1"/>
  <c r="L465" i="1" s="1"/>
  <c r="M465" i="1" s="1"/>
  <c r="K466" i="1"/>
  <c r="K467" i="1"/>
  <c r="L467" i="1" s="1"/>
  <c r="M467" i="1" s="1"/>
  <c r="K468" i="1"/>
  <c r="L468" i="1" s="1"/>
  <c r="M468" i="1" s="1"/>
  <c r="K469" i="1"/>
  <c r="L469" i="1" s="1"/>
  <c r="M469" i="1" s="1"/>
  <c r="K470" i="1"/>
  <c r="L470" i="1" s="1"/>
  <c r="M470" i="1" s="1"/>
  <c r="K471" i="1"/>
  <c r="L471" i="1" s="1"/>
  <c r="M471" i="1" s="1"/>
  <c r="K472" i="1"/>
  <c r="L472" i="1" s="1"/>
  <c r="M472" i="1" s="1"/>
  <c r="K473" i="1"/>
  <c r="L473" i="1" s="1"/>
  <c r="M473" i="1" s="1"/>
  <c r="K474" i="1"/>
  <c r="L474" i="1" s="1"/>
  <c r="M474" i="1" s="1"/>
  <c r="K475" i="1"/>
  <c r="L475" i="1" s="1"/>
  <c r="M475" i="1" s="1"/>
  <c r="K476" i="1"/>
  <c r="L476" i="1" s="1"/>
  <c r="M476" i="1" s="1"/>
  <c r="K477" i="1"/>
  <c r="L477" i="1" s="1"/>
  <c r="M477" i="1" s="1"/>
  <c r="K478" i="1"/>
  <c r="L478" i="1" s="1"/>
  <c r="M478" i="1" s="1"/>
  <c r="K479" i="1"/>
  <c r="L479" i="1" s="1"/>
  <c r="M479" i="1" s="1"/>
  <c r="K480" i="1"/>
  <c r="L480" i="1" s="1"/>
  <c r="M480" i="1" s="1"/>
  <c r="K481" i="1"/>
  <c r="L481" i="1" s="1"/>
  <c r="M481" i="1" s="1"/>
  <c r="K482" i="1"/>
  <c r="K483" i="1"/>
  <c r="L483" i="1" s="1"/>
  <c r="M483" i="1" s="1"/>
  <c r="K484" i="1"/>
  <c r="L484" i="1" s="1"/>
  <c r="M484" i="1" s="1"/>
  <c r="K485" i="1"/>
  <c r="L485" i="1" s="1"/>
  <c r="M485" i="1" s="1"/>
  <c r="K486" i="1"/>
  <c r="K487" i="1"/>
  <c r="L487" i="1" s="1"/>
  <c r="M487" i="1" s="1"/>
  <c r="K488" i="1"/>
  <c r="L488" i="1" s="1"/>
  <c r="M488" i="1" s="1"/>
  <c r="K489" i="1"/>
  <c r="L489" i="1" s="1"/>
  <c r="M489" i="1" s="1"/>
  <c r="K490" i="1"/>
  <c r="L490" i="1" s="1"/>
  <c r="M490" i="1" s="1"/>
  <c r="K491" i="1"/>
  <c r="L491" i="1" s="1"/>
  <c r="M491" i="1" s="1"/>
  <c r="K492" i="1"/>
  <c r="L492" i="1" s="1"/>
  <c r="M492" i="1" s="1"/>
  <c r="K493" i="1"/>
  <c r="L493" i="1" s="1"/>
  <c r="M493" i="1" s="1"/>
  <c r="K494" i="1"/>
  <c r="L494" i="1" s="1"/>
  <c r="M494" i="1" s="1"/>
  <c r="K495" i="1"/>
  <c r="L495" i="1" s="1"/>
  <c r="M495" i="1" s="1"/>
  <c r="K496" i="1"/>
  <c r="L496" i="1" s="1"/>
  <c r="M496" i="1" s="1"/>
  <c r="K497" i="1"/>
  <c r="L497" i="1" s="1"/>
  <c r="M497" i="1" s="1"/>
  <c r="K498" i="1"/>
  <c r="K499" i="1"/>
  <c r="L499" i="1" s="1"/>
  <c r="M499" i="1" s="1"/>
  <c r="K500" i="1"/>
  <c r="L500" i="1" s="1"/>
  <c r="M500" i="1" s="1"/>
  <c r="K501" i="1"/>
  <c r="L501" i="1" s="1"/>
  <c r="M501" i="1" s="1"/>
  <c r="K502" i="1"/>
  <c r="K503" i="1"/>
  <c r="K504" i="1"/>
  <c r="L504" i="1" s="1"/>
  <c r="M504" i="1" s="1"/>
  <c r="K505" i="1"/>
  <c r="L505" i="1" s="1"/>
  <c r="M505" i="1" s="1"/>
  <c r="K506" i="1"/>
  <c r="L506" i="1" s="1"/>
  <c r="M506" i="1" s="1"/>
  <c r="K507" i="1"/>
  <c r="L507" i="1" s="1"/>
  <c r="M507" i="1" s="1"/>
  <c r="K508" i="1"/>
  <c r="L508" i="1" s="1"/>
  <c r="M508" i="1" s="1"/>
  <c r="K509" i="1"/>
  <c r="L509" i="1" s="1"/>
  <c r="M509" i="1" s="1"/>
  <c r="K510" i="1"/>
  <c r="L510" i="1" s="1"/>
  <c r="M510" i="1" s="1"/>
  <c r="K511" i="1"/>
  <c r="L511" i="1" s="1"/>
  <c r="M511" i="1" s="1"/>
  <c r="K512" i="1"/>
  <c r="L512" i="1" s="1"/>
  <c r="M512" i="1" s="1"/>
  <c r="K513" i="1"/>
  <c r="L513" i="1" s="1"/>
  <c r="M513" i="1" s="1"/>
  <c r="K514" i="1"/>
  <c r="K515" i="1"/>
  <c r="L515" i="1" s="1"/>
  <c r="M515" i="1" s="1"/>
  <c r="K516" i="1"/>
  <c r="L516" i="1" s="1"/>
  <c r="M516" i="1" s="1"/>
  <c r="K517" i="1"/>
  <c r="L517" i="1" s="1"/>
  <c r="M517" i="1" s="1"/>
  <c r="K518" i="1"/>
  <c r="K519" i="1"/>
  <c r="L519" i="1" s="1"/>
  <c r="M519" i="1" s="1"/>
  <c r="K520" i="1"/>
  <c r="L520" i="1" s="1"/>
  <c r="M520" i="1" s="1"/>
  <c r="K521" i="1"/>
  <c r="L521" i="1" s="1"/>
  <c r="M521" i="1" s="1"/>
  <c r="K522" i="1"/>
  <c r="L522" i="1" s="1"/>
  <c r="M522" i="1" s="1"/>
  <c r="K523" i="1"/>
  <c r="L523" i="1" s="1"/>
  <c r="M523" i="1" s="1"/>
  <c r="K524" i="1"/>
  <c r="L524" i="1" s="1"/>
  <c r="M524" i="1" s="1"/>
  <c r="K525" i="1"/>
  <c r="L525" i="1" s="1"/>
  <c r="M525" i="1" s="1"/>
  <c r="K526" i="1"/>
  <c r="L526" i="1" s="1"/>
  <c r="M526" i="1" s="1"/>
  <c r="K527" i="1"/>
  <c r="L527" i="1" s="1"/>
  <c r="M527" i="1" s="1"/>
  <c r="K528" i="1"/>
  <c r="L528" i="1" s="1"/>
  <c r="M528" i="1" s="1"/>
  <c r="K529" i="1"/>
  <c r="L529" i="1" s="1"/>
  <c r="M529" i="1" s="1"/>
  <c r="K530" i="1"/>
  <c r="K531" i="1"/>
  <c r="L531" i="1" s="1"/>
  <c r="M531" i="1" s="1"/>
  <c r="K532" i="1"/>
  <c r="L532" i="1" s="1"/>
  <c r="M532" i="1" s="1"/>
  <c r="K533" i="1"/>
  <c r="L533" i="1" s="1"/>
  <c r="M533" i="1" s="1"/>
  <c r="K534" i="1"/>
  <c r="K535" i="1"/>
  <c r="L535" i="1" s="1"/>
  <c r="M535" i="1" s="1"/>
  <c r="K536" i="1"/>
  <c r="L536" i="1" s="1"/>
  <c r="M536" i="1" s="1"/>
  <c r="K537" i="1"/>
  <c r="L537" i="1" s="1"/>
  <c r="M537" i="1" s="1"/>
  <c r="K538" i="1"/>
  <c r="L538" i="1" s="1"/>
  <c r="M538" i="1" s="1"/>
  <c r="K539" i="1"/>
  <c r="L539" i="1" s="1"/>
  <c r="M539" i="1" s="1"/>
  <c r="K540" i="1"/>
  <c r="L540" i="1" s="1"/>
  <c r="M540" i="1" s="1"/>
  <c r="K541" i="1"/>
  <c r="L541" i="1" s="1"/>
  <c r="M541" i="1" s="1"/>
  <c r="K542" i="1"/>
  <c r="L542" i="1" s="1"/>
  <c r="M542" i="1" s="1"/>
  <c r="K543" i="1"/>
  <c r="L543" i="1" s="1"/>
  <c r="M543" i="1" s="1"/>
  <c r="K544" i="1"/>
  <c r="L544" i="1" s="1"/>
  <c r="M544" i="1" s="1"/>
  <c r="K545" i="1"/>
  <c r="L545" i="1" s="1"/>
  <c r="M545" i="1" s="1"/>
  <c r="K546" i="1"/>
  <c r="K547" i="1"/>
  <c r="L547" i="1" s="1"/>
  <c r="M547" i="1" s="1"/>
  <c r="K548" i="1"/>
  <c r="L548" i="1" s="1"/>
  <c r="M548" i="1" s="1"/>
  <c r="K549" i="1"/>
  <c r="L549" i="1" s="1"/>
  <c r="M549" i="1" s="1"/>
  <c r="K550" i="1"/>
  <c r="L550" i="1" s="1"/>
  <c r="M550" i="1" s="1"/>
  <c r="K551" i="1"/>
  <c r="L551" i="1" s="1"/>
  <c r="M551" i="1" s="1"/>
  <c r="K552" i="1"/>
  <c r="L552" i="1" s="1"/>
  <c r="M552" i="1" s="1"/>
  <c r="K553" i="1"/>
  <c r="L553" i="1" s="1"/>
  <c r="M553" i="1" s="1"/>
  <c r="K554" i="1"/>
  <c r="K555" i="1"/>
  <c r="L555" i="1" s="1"/>
  <c r="M555" i="1" s="1"/>
  <c r="K556" i="1"/>
  <c r="L556" i="1" s="1"/>
  <c r="M556" i="1" s="1"/>
  <c r="K557" i="1"/>
  <c r="L557" i="1" s="1"/>
  <c r="M557" i="1" s="1"/>
  <c r="K558" i="1"/>
  <c r="L558" i="1" s="1"/>
  <c r="K559" i="1"/>
  <c r="L559" i="1" s="1"/>
  <c r="M559" i="1" s="1"/>
  <c r="K560" i="1"/>
  <c r="L560" i="1" s="1"/>
  <c r="M560" i="1" s="1"/>
  <c r="K561" i="1"/>
  <c r="L561" i="1" s="1"/>
  <c r="M561" i="1" s="1"/>
  <c r="K562" i="1"/>
  <c r="L562" i="1" s="1"/>
  <c r="M562" i="1" s="1"/>
  <c r="K563" i="1"/>
  <c r="K564" i="1"/>
  <c r="L564" i="1" s="1"/>
  <c r="M564" i="1" s="1"/>
  <c r="K565" i="1"/>
  <c r="L565" i="1" s="1"/>
  <c r="M565" i="1" s="1"/>
  <c r="K566" i="1"/>
  <c r="K567" i="1"/>
  <c r="L567" i="1" s="1"/>
  <c r="M567" i="1" s="1"/>
  <c r="K568" i="1"/>
  <c r="L568" i="1" s="1"/>
  <c r="M568" i="1" s="1"/>
  <c r="K569" i="1"/>
  <c r="L569" i="1" s="1"/>
  <c r="M569" i="1" s="1"/>
  <c r="K570" i="1"/>
  <c r="K571" i="1"/>
  <c r="L571" i="1" s="1"/>
  <c r="M571" i="1" s="1"/>
  <c r="K572" i="1"/>
  <c r="L572" i="1" s="1"/>
  <c r="M572" i="1" s="1"/>
  <c r="K573" i="1"/>
  <c r="L573" i="1" s="1"/>
  <c r="M573" i="1" s="1"/>
  <c r="K574" i="1"/>
  <c r="L574" i="1" s="1"/>
  <c r="M574" i="1" s="1"/>
  <c r="K575" i="1"/>
  <c r="L575" i="1" s="1"/>
  <c r="M575" i="1" s="1"/>
  <c r="K576" i="1"/>
  <c r="L576" i="1" s="1"/>
  <c r="M576" i="1" s="1"/>
  <c r="K577" i="1"/>
  <c r="L577" i="1" s="1"/>
  <c r="M577" i="1" s="1"/>
  <c r="K578" i="1"/>
  <c r="L578" i="1" s="1"/>
  <c r="K579" i="1"/>
  <c r="L579" i="1" s="1"/>
  <c r="M579" i="1" s="1"/>
  <c r="K580" i="1"/>
  <c r="L580" i="1" s="1"/>
  <c r="M580" i="1" s="1"/>
  <c r="K581" i="1"/>
  <c r="L581" i="1" s="1"/>
  <c r="M581" i="1" s="1"/>
  <c r="K582" i="1"/>
  <c r="K583" i="1"/>
  <c r="L583" i="1" s="1"/>
  <c r="M583" i="1" s="1"/>
  <c r="K584" i="1"/>
  <c r="L584" i="1" s="1"/>
  <c r="M584" i="1" s="1"/>
  <c r="K585" i="1"/>
  <c r="L585" i="1" s="1"/>
  <c r="M585" i="1" s="1"/>
  <c r="K586" i="1"/>
  <c r="K587" i="1"/>
  <c r="L587" i="1" s="1"/>
  <c r="M587" i="1" s="1"/>
  <c r="K588" i="1"/>
  <c r="L588" i="1" s="1"/>
  <c r="M588" i="1" s="1"/>
  <c r="K589" i="1"/>
  <c r="L589" i="1" s="1"/>
  <c r="M589" i="1" s="1"/>
  <c r="K590" i="1"/>
  <c r="K591" i="1"/>
  <c r="L591" i="1" s="1"/>
  <c r="M591" i="1" s="1"/>
  <c r="K592" i="1"/>
  <c r="L592" i="1" s="1"/>
  <c r="M592" i="1" s="1"/>
  <c r="K593" i="1"/>
  <c r="L593" i="1" s="1"/>
  <c r="M593" i="1" s="1"/>
  <c r="K594" i="1"/>
  <c r="L594" i="1" s="1"/>
  <c r="M594" i="1" s="1"/>
  <c r="K595" i="1"/>
  <c r="L595" i="1" s="1"/>
  <c r="M595" i="1" s="1"/>
  <c r="K596" i="1"/>
  <c r="L596" i="1" s="1"/>
  <c r="M596" i="1" s="1"/>
  <c r="K597" i="1"/>
  <c r="L597" i="1" s="1"/>
  <c r="M597" i="1" s="1"/>
  <c r="K598" i="1"/>
  <c r="L598" i="1" s="1"/>
  <c r="K599" i="1"/>
  <c r="L599" i="1" s="1"/>
  <c r="M599" i="1" s="1"/>
  <c r="K600" i="1"/>
  <c r="L600" i="1" s="1"/>
  <c r="M600" i="1" s="1"/>
  <c r="K601" i="1"/>
  <c r="L601" i="1" s="1"/>
  <c r="M601" i="1" s="1"/>
  <c r="K602" i="1"/>
  <c r="K603" i="1"/>
  <c r="L603" i="1" s="1"/>
  <c r="M603" i="1" s="1"/>
  <c r="K604" i="1"/>
  <c r="L604" i="1" s="1"/>
  <c r="M604" i="1" s="1"/>
  <c r="K605" i="1"/>
  <c r="L605" i="1" s="1"/>
  <c r="M605" i="1" s="1"/>
  <c r="K606" i="1"/>
  <c r="K607" i="1"/>
  <c r="L607" i="1" s="1"/>
  <c r="M607" i="1" s="1"/>
  <c r="K608" i="1"/>
  <c r="L608" i="1" s="1"/>
  <c r="M608" i="1" s="1"/>
  <c r="K609" i="1"/>
  <c r="L609" i="1" s="1"/>
  <c r="M609" i="1" s="1"/>
  <c r="K610" i="1"/>
  <c r="L610" i="1" s="1"/>
  <c r="K611" i="1"/>
  <c r="K612" i="1"/>
  <c r="L612" i="1" s="1"/>
  <c r="M612" i="1" s="1"/>
  <c r="K613" i="1"/>
  <c r="L613" i="1" s="1"/>
  <c r="M613" i="1" s="1"/>
  <c r="K614" i="1"/>
  <c r="L614" i="1" s="1"/>
  <c r="K615" i="1"/>
  <c r="L615" i="1" s="1"/>
  <c r="M615" i="1" s="1"/>
  <c r="K616" i="1"/>
  <c r="L616" i="1" s="1"/>
  <c r="M616" i="1" s="1"/>
  <c r="K617" i="1"/>
  <c r="L617" i="1" s="1"/>
  <c r="M617" i="1" s="1"/>
  <c r="K618" i="1"/>
  <c r="L618" i="1" s="1"/>
  <c r="M618" i="1" s="1"/>
  <c r="K619" i="1"/>
  <c r="L619" i="1" s="1"/>
  <c r="M619" i="1" s="1"/>
  <c r="K620" i="1"/>
  <c r="L620" i="1" s="1"/>
  <c r="M620" i="1" s="1"/>
  <c r="K621" i="1"/>
  <c r="L621" i="1" s="1"/>
  <c r="M621" i="1" s="1"/>
  <c r="K622" i="1"/>
  <c r="K623" i="1"/>
  <c r="L623" i="1" s="1"/>
  <c r="M623" i="1" s="1"/>
  <c r="K624" i="1"/>
  <c r="L624" i="1" s="1"/>
  <c r="M624" i="1" s="1"/>
  <c r="K625" i="1"/>
  <c r="L625" i="1" s="1"/>
  <c r="M625" i="1" s="1"/>
  <c r="K626" i="1"/>
  <c r="L626" i="1" s="1"/>
  <c r="K627" i="1"/>
  <c r="K628" i="1"/>
  <c r="L628" i="1" s="1"/>
  <c r="M628" i="1" s="1"/>
  <c r="K629" i="1"/>
  <c r="L629" i="1" s="1"/>
  <c r="M629" i="1" s="1"/>
  <c r="K630" i="1"/>
  <c r="K631" i="1"/>
  <c r="K632" i="1"/>
  <c r="L632" i="1" s="1"/>
  <c r="M632" i="1" s="1"/>
  <c r="K633" i="1"/>
  <c r="L633" i="1" s="1"/>
  <c r="M633" i="1" s="1"/>
  <c r="K634" i="1"/>
  <c r="L634" i="1" s="1"/>
  <c r="K635" i="1"/>
  <c r="L635" i="1" s="1"/>
  <c r="M635" i="1" s="1"/>
  <c r="K636" i="1"/>
  <c r="L636" i="1" s="1"/>
  <c r="M636" i="1" s="1"/>
  <c r="K637" i="1"/>
  <c r="L637" i="1" s="1"/>
  <c r="M637" i="1" s="1"/>
  <c r="K638" i="1"/>
  <c r="L638" i="1" s="1"/>
  <c r="K639" i="1"/>
  <c r="L639" i="1" s="1"/>
  <c r="M639" i="1" s="1"/>
  <c r="K640" i="1"/>
  <c r="L640" i="1" s="1"/>
  <c r="M640" i="1" s="1"/>
  <c r="K641" i="1"/>
  <c r="L641" i="1" s="1"/>
  <c r="M641" i="1" s="1"/>
  <c r="K642" i="1"/>
  <c r="K643" i="1"/>
  <c r="L643" i="1" s="1"/>
  <c r="M643" i="1" s="1"/>
  <c r="K644" i="1"/>
  <c r="L644" i="1" s="1"/>
  <c r="M644" i="1" s="1"/>
  <c r="K645" i="1"/>
  <c r="L645" i="1" s="1"/>
  <c r="M645" i="1" s="1"/>
  <c r="K646" i="1"/>
  <c r="K647" i="1"/>
  <c r="L647" i="1" s="1"/>
  <c r="M647" i="1" s="1"/>
  <c r="K648" i="1"/>
  <c r="L648" i="1" s="1"/>
  <c r="M648" i="1" s="1"/>
  <c r="K649" i="1"/>
  <c r="L649" i="1" s="1"/>
  <c r="M649" i="1" s="1"/>
  <c r="K650" i="1"/>
  <c r="L650" i="1" s="1"/>
  <c r="K651" i="1"/>
  <c r="L651" i="1" s="1"/>
  <c r="M651" i="1" s="1"/>
  <c r="K652" i="1"/>
  <c r="L652" i="1" s="1"/>
  <c r="M652" i="1" s="1"/>
  <c r="K653" i="1"/>
  <c r="L653" i="1" s="1"/>
  <c r="M653" i="1" s="1"/>
  <c r="K654" i="1"/>
  <c r="L654" i="1" s="1"/>
  <c r="M654" i="1" s="1"/>
  <c r="K655" i="1"/>
  <c r="L655" i="1" s="1"/>
  <c r="M655" i="1" s="1"/>
  <c r="K656" i="1"/>
  <c r="L656" i="1" s="1"/>
  <c r="M656" i="1" s="1"/>
  <c r="K657" i="1"/>
  <c r="L657" i="1" s="1"/>
  <c r="M657" i="1" s="1"/>
  <c r="K658" i="1"/>
  <c r="K659" i="1"/>
  <c r="L659" i="1" s="1"/>
  <c r="M659" i="1" s="1"/>
  <c r="K660" i="1"/>
  <c r="L660" i="1" s="1"/>
  <c r="M660" i="1" s="1"/>
  <c r="K661" i="1"/>
  <c r="L661" i="1" s="1"/>
  <c r="M661" i="1" s="1"/>
  <c r="K662" i="1"/>
  <c r="K663" i="1"/>
  <c r="L663" i="1" s="1"/>
  <c r="M663" i="1" s="1"/>
  <c r="K664" i="1"/>
  <c r="L664" i="1" s="1"/>
  <c r="M664" i="1" s="1"/>
  <c r="K665" i="1"/>
  <c r="L665" i="1" s="1"/>
  <c r="M665" i="1" s="1"/>
  <c r="K666" i="1"/>
  <c r="K667" i="1"/>
  <c r="L667" i="1" s="1"/>
  <c r="M667" i="1" s="1"/>
  <c r="K668" i="1"/>
  <c r="L668" i="1" s="1"/>
  <c r="M668" i="1" s="1"/>
  <c r="K669" i="1"/>
  <c r="L669" i="1" s="1"/>
  <c r="M669" i="1" s="1"/>
  <c r="K670" i="1"/>
  <c r="L670" i="1" s="1"/>
  <c r="M670" i="1" s="1"/>
  <c r="K671" i="1"/>
  <c r="L671" i="1" s="1"/>
  <c r="M671" i="1" s="1"/>
  <c r="K672" i="1"/>
  <c r="L672" i="1" s="1"/>
  <c r="M672" i="1" s="1"/>
  <c r="K673" i="1"/>
  <c r="L673" i="1" s="1"/>
  <c r="M673" i="1" s="1"/>
  <c r="K674" i="1"/>
  <c r="L674" i="1" s="1"/>
  <c r="K675" i="1"/>
  <c r="L675" i="1" s="1"/>
  <c r="M675" i="1" s="1"/>
  <c r="K676" i="1"/>
  <c r="L676" i="1" s="1"/>
  <c r="M676" i="1" s="1"/>
  <c r="K677" i="1"/>
  <c r="L677" i="1" s="1"/>
  <c r="M677" i="1" s="1"/>
  <c r="K678" i="1"/>
  <c r="L678" i="1" s="1"/>
  <c r="M678" i="1" s="1"/>
  <c r="K679" i="1"/>
  <c r="L679" i="1" s="1"/>
  <c r="M679" i="1" s="1"/>
  <c r="K680" i="1"/>
  <c r="L680" i="1" s="1"/>
  <c r="M680" i="1" s="1"/>
  <c r="K681" i="1"/>
  <c r="L681" i="1" s="1"/>
  <c r="M681" i="1" s="1"/>
  <c r="K682" i="1"/>
  <c r="K683" i="1"/>
  <c r="K684" i="1"/>
  <c r="L684" i="1" s="1"/>
  <c r="M684" i="1" s="1"/>
  <c r="K685" i="1"/>
  <c r="L685" i="1" s="1"/>
  <c r="M685" i="1" s="1"/>
  <c r="K686" i="1"/>
  <c r="L686" i="1" s="1"/>
  <c r="K687" i="1"/>
  <c r="L687" i="1" s="1"/>
  <c r="M687" i="1" s="1"/>
  <c r="K688" i="1"/>
  <c r="L688" i="1" s="1"/>
  <c r="M688" i="1" s="1"/>
  <c r="K689" i="1"/>
  <c r="L689" i="1" s="1"/>
  <c r="M689" i="1" s="1"/>
  <c r="K690" i="1"/>
  <c r="L690" i="1" s="1"/>
  <c r="K691" i="1"/>
  <c r="L691" i="1" s="1"/>
  <c r="M691" i="1" s="1"/>
  <c r="K692" i="1"/>
  <c r="L692" i="1" s="1"/>
  <c r="M692" i="1" s="1"/>
  <c r="K693" i="1"/>
  <c r="L693" i="1" s="1"/>
  <c r="M693" i="1" s="1"/>
  <c r="K694" i="1"/>
  <c r="L694" i="1" s="1"/>
  <c r="M694" i="1" s="1"/>
  <c r="K695" i="1"/>
  <c r="K696" i="1"/>
  <c r="L696" i="1" s="1"/>
  <c r="M696" i="1" s="1"/>
  <c r="K697" i="1"/>
  <c r="L697" i="1" s="1"/>
  <c r="M697" i="1" s="1"/>
  <c r="K698" i="1"/>
  <c r="K699" i="1"/>
  <c r="L699" i="1" s="1"/>
  <c r="M699" i="1" s="1"/>
  <c r="K700" i="1"/>
  <c r="L700" i="1" s="1"/>
  <c r="M700" i="1" s="1"/>
  <c r="K701" i="1"/>
  <c r="L701" i="1" s="1"/>
  <c r="M701" i="1" s="1"/>
  <c r="K702" i="1"/>
  <c r="K703" i="1"/>
  <c r="L703" i="1" s="1"/>
  <c r="M703" i="1" s="1"/>
  <c r="K704" i="1"/>
  <c r="L704" i="1" s="1"/>
  <c r="M704" i="1" s="1"/>
  <c r="K705" i="1"/>
  <c r="L705" i="1" s="1"/>
  <c r="M705" i="1" s="1"/>
  <c r="K706" i="1"/>
  <c r="K707" i="1"/>
  <c r="L707" i="1" s="1"/>
  <c r="M707" i="1" s="1"/>
  <c r="K708" i="1"/>
  <c r="L708" i="1" s="1"/>
  <c r="M708" i="1" s="1"/>
  <c r="K709" i="1"/>
  <c r="L709" i="1" s="1"/>
  <c r="M709" i="1" s="1"/>
  <c r="K710" i="1"/>
  <c r="L710" i="1" s="1"/>
  <c r="M710" i="1" s="1"/>
  <c r="K711" i="1"/>
  <c r="L711" i="1" s="1"/>
  <c r="M711" i="1" s="1"/>
  <c r="K712" i="1"/>
  <c r="L712" i="1" s="1"/>
  <c r="M712" i="1" s="1"/>
  <c r="K713" i="1"/>
  <c r="L713" i="1" s="1"/>
  <c r="M713" i="1" s="1"/>
  <c r="K714" i="1"/>
  <c r="L714" i="1" s="1"/>
  <c r="K715" i="1"/>
  <c r="L715" i="1" s="1"/>
  <c r="M715" i="1" s="1"/>
  <c r="K716" i="1"/>
  <c r="L716" i="1" s="1"/>
  <c r="M716" i="1" s="1"/>
  <c r="K717" i="1"/>
  <c r="L717" i="1" s="1"/>
  <c r="M717" i="1" s="1"/>
  <c r="K718" i="1"/>
  <c r="K719" i="1"/>
  <c r="L719" i="1" s="1"/>
  <c r="M719" i="1" s="1"/>
  <c r="K720" i="1"/>
  <c r="L720" i="1" s="1"/>
  <c r="M720" i="1" s="1"/>
  <c r="K721" i="1"/>
  <c r="L721" i="1" s="1"/>
  <c r="M721" i="1" s="1"/>
  <c r="K722" i="1"/>
  <c r="K723" i="1"/>
  <c r="L723" i="1" s="1"/>
  <c r="M723" i="1" s="1"/>
  <c r="K724" i="1"/>
  <c r="L724" i="1" s="1"/>
  <c r="M724" i="1" s="1"/>
  <c r="K725" i="1"/>
  <c r="L725" i="1" s="1"/>
  <c r="M725" i="1" s="1"/>
  <c r="K726" i="1"/>
  <c r="K727" i="1"/>
  <c r="L727" i="1" s="1"/>
  <c r="M727" i="1" s="1"/>
  <c r="K728" i="1"/>
  <c r="L728" i="1" s="1"/>
  <c r="M728" i="1" s="1"/>
  <c r="K729" i="1"/>
  <c r="L729" i="1" s="1"/>
  <c r="M729" i="1" s="1"/>
  <c r="K730" i="1"/>
  <c r="L730" i="1" s="1"/>
  <c r="K731" i="1"/>
  <c r="L731" i="1" s="1"/>
  <c r="M731" i="1" s="1"/>
  <c r="K732" i="1"/>
  <c r="L732" i="1" s="1"/>
  <c r="M732" i="1" s="1"/>
  <c r="K733" i="1"/>
  <c r="L733" i="1" s="1"/>
  <c r="M733" i="1" s="1"/>
  <c r="K734" i="1"/>
  <c r="L734" i="1" s="1"/>
  <c r="K735" i="1"/>
  <c r="L735" i="1" s="1"/>
  <c r="M735" i="1" s="1"/>
  <c r="K736" i="1"/>
  <c r="L736" i="1" s="1"/>
  <c r="M736" i="1" s="1"/>
  <c r="K737" i="1"/>
  <c r="L737" i="1" s="1"/>
  <c r="M737" i="1" s="1"/>
  <c r="K738" i="1"/>
  <c r="L738" i="1" s="1"/>
  <c r="K739" i="1"/>
  <c r="L739" i="1" s="1"/>
  <c r="M739" i="1" s="1"/>
  <c r="K740" i="1"/>
  <c r="L740" i="1" s="1"/>
  <c r="M740" i="1" s="1"/>
  <c r="K741" i="1"/>
  <c r="L741" i="1" s="1"/>
  <c r="M741" i="1" s="1"/>
  <c r="K742" i="1"/>
  <c r="K743" i="1"/>
  <c r="L743" i="1" s="1"/>
  <c r="M743" i="1" s="1"/>
  <c r="K744" i="1"/>
  <c r="L744" i="1" s="1"/>
  <c r="M744" i="1" s="1"/>
  <c r="K745" i="1"/>
  <c r="L745" i="1" s="1"/>
  <c r="M745" i="1" s="1"/>
  <c r="K746" i="1"/>
  <c r="K747" i="1"/>
  <c r="L747" i="1" s="1"/>
  <c r="M747" i="1" s="1"/>
  <c r="K748" i="1"/>
  <c r="L748" i="1" s="1"/>
  <c r="M748" i="1" s="1"/>
  <c r="K749" i="1"/>
  <c r="L749" i="1" s="1"/>
  <c r="M749" i="1" s="1"/>
  <c r="K750" i="1"/>
  <c r="L750" i="1" s="1"/>
  <c r="K751" i="1"/>
  <c r="L751" i="1" s="1"/>
  <c r="M751" i="1" s="1"/>
  <c r="K752" i="1"/>
  <c r="L752" i="1" s="1"/>
  <c r="M752" i="1" s="1"/>
  <c r="K753" i="1"/>
  <c r="L753" i="1" s="1"/>
  <c r="M753" i="1" s="1"/>
  <c r="K754" i="1"/>
  <c r="L754" i="1" s="1"/>
  <c r="K755" i="1"/>
  <c r="L755" i="1" s="1"/>
  <c r="M755" i="1" s="1"/>
  <c r="K756" i="1"/>
  <c r="L756" i="1" s="1"/>
  <c r="M756" i="1" s="1"/>
  <c r="K757" i="1"/>
  <c r="L757" i="1" s="1"/>
  <c r="M757" i="1" s="1"/>
  <c r="K758" i="1"/>
  <c r="L758" i="1" s="1"/>
  <c r="K759" i="1"/>
  <c r="K760" i="1"/>
  <c r="L760" i="1" s="1"/>
  <c r="M760" i="1" s="1"/>
  <c r="K761" i="1"/>
  <c r="L761" i="1" s="1"/>
  <c r="M761" i="1" s="1"/>
  <c r="K762" i="1"/>
  <c r="K763" i="1"/>
  <c r="L763" i="1" s="1"/>
  <c r="M763" i="1" s="1"/>
  <c r="K764" i="1"/>
  <c r="L764" i="1" s="1"/>
  <c r="M764" i="1" s="1"/>
  <c r="K765" i="1"/>
  <c r="L765" i="1" s="1"/>
  <c r="M765" i="1" s="1"/>
  <c r="K766" i="1"/>
  <c r="K767" i="1"/>
  <c r="L767" i="1" s="1"/>
  <c r="M767" i="1" s="1"/>
  <c r="K768" i="1"/>
  <c r="L768" i="1" s="1"/>
  <c r="M768" i="1" s="1"/>
  <c r="K769" i="1"/>
  <c r="L769" i="1" s="1"/>
  <c r="M769" i="1" s="1"/>
  <c r="K770" i="1"/>
  <c r="L770" i="1" s="1"/>
  <c r="M770" i="1" s="1"/>
  <c r="K771" i="1"/>
  <c r="L771" i="1" s="1"/>
  <c r="M771" i="1" s="1"/>
  <c r="K772" i="1"/>
  <c r="L772" i="1" s="1"/>
  <c r="M772" i="1" s="1"/>
  <c r="K773" i="1"/>
  <c r="L773" i="1" s="1"/>
  <c r="M773" i="1" s="1"/>
  <c r="K774" i="1"/>
  <c r="L774" i="1" s="1"/>
  <c r="K775" i="1"/>
  <c r="L775" i="1" s="1"/>
  <c r="M775" i="1" s="1"/>
  <c r="K776" i="1"/>
  <c r="L776" i="1" s="1"/>
  <c r="M776" i="1" s="1"/>
  <c r="K777" i="1"/>
  <c r="L777" i="1" s="1"/>
  <c r="M777" i="1" s="1"/>
  <c r="K778" i="1"/>
  <c r="L778" i="1" s="1"/>
  <c r="K779" i="1"/>
  <c r="L779" i="1" s="1"/>
  <c r="M779" i="1" s="1"/>
  <c r="K780" i="1"/>
  <c r="L780" i="1" s="1"/>
  <c r="M780" i="1" s="1"/>
  <c r="K781" i="1"/>
  <c r="L781" i="1" s="1"/>
  <c r="M781" i="1" s="1"/>
  <c r="K782" i="1"/>
  <c r="K783" i="1"/>
  <c r="L783" i="1" s="1"/>
  <c r="M783" i="1" s="1"/>
  <c r="K784" i="1"/>
  <c r="L784" i="1" s="1"/>
  <c r="M784" i="1" s="1"/>
  <c r="K785" i="1"/>
  <c r="L785" i="1" s="1"/>
  <c r="M785" i="1" s="1"/>
  <c r="K786" i="1"/>
  <c r="L786" i="1" s="1"/>
  <c r="K787" i="1"/>
  <c r="L787" i="1" s="1"/>
  <c r="M787" i="1" s="1"/>
  <c r="K788" i="1"/>
  <c r="K789" i="1"/>
  <c r="L789" i="1" s="1"/>
  <c r="M789" i="1" s="1"/>
  <c r="K790" i="1"/>
  <c r="L790" i="1" s="1"/>
  <c r="M790" i="1" s="1"/>
  <c r="K791" i="1"/>
  <c r="L791" i="1" s="1"/>
  <c r="M791" i="1" s="1"/>
  <c r="K792" i="1"/>
  <c r="L792" i="1" s="1"/>
  <c r="M792" i="1" s="1"/>
  <c r="K793" i="1"/>
  <c r="L793" i="1" s="1"/>
  <c r="M793" i="1" s="1"/>
  <c r="K794" i="1"/>
  <c r="L794" i="1" s="1"/>
  <c r="M794" i="1" s="1"/>
  <c r="K795" i="1"/>
  <c r="L795" i="1" s="1"/>
  <c r="M795" i="1" s="1"/>
  <c r="K796" i="1"/>
  <c r="L796" i="1" s="1"/>
  <c r="M796" i="1" s="1"/>
  <c r="K797" i="1"/>
  <c r="L797" i="1" s="1"/>
  <c r="M797" i="1" s="1"/>
  <c r="K798" i="1"/>
  <c r="L798" i="1" s="1"/>
  <c r="K799" i="1"/>
  <c r="L799" i="1" s="1"/>
  <c r="M799" i="1" s="1"/>
  <c r="K800" i="1"/>
  <c r="L800" i="1" s="1"/>
  <c r="M800" i="1" s="1"/>
  <c r="K801" i="1"/>
  <c r="L801" i="1" s="1"/>
  <c r="M801" i="1" s="1"/>
  <c r="K802" i="1"/>
  <c r="L802" i="1" s="1"/>
  <c r="M802" i="1" s="1"/>
  <c r="K803" i="1"/>
  <c r="L803" i="1" s="1"/>
  <c r="M803" i="1" s="1"/>
  <c r="K804" i="1"/>
  <c r="L804" i="1" s="1"/>
  <c r="M804" i="1" s="1"/>
  <c r="K805" i="1"/>
  <c r="L805" i="1" s="1"/>
  <c r="M805" i="1" s="1"/>
  <c r="K806" i="1"/>
  <c r="L806" i="1" s="1"/>
  <c r="K807" i="1"/>
  <c r="L807" i="1" s="1"/>
  <c r="M807" i="1" s="1"/>
  <c r="K808" i="1"/>
  <c r="L808" i="1" s="1"/>
  <c r="M808" i="1" s="1"/>
  <c r="K809" i="1"/>
  <c r="L809" i="1" s="1"/>
  <c r="M809" i="1" s="1"/>
  <c r="K810" i="1"/>
  <c r="L810" i="1" s="1"/>
  <c r="K811" i="1"/>
  <c r="L811" i="1" s="1"/>
  <c r="M811" i="1" s="1"/>
  <c r="K812" i="1"/>
  <c r="L812" i="1" s="1"/>
  <c r="M812" i="1" s="1"/>
  <c r="K813" i="1"/>
  <c r="L813" i="1" s="1"/>
  <c r="M813" i="1" s="1"/>
  <c r="K814" i="1"/>
  <c r="L814" i="1" s="1"/>
  <c r="K815" i="1"/>
  <c r="L815" i="1" s="1"/>
  <c r="M815" i="1" s="1"/>
  <c r="K816" i="1"/>
  <c r="L816" i="1" s="1"/>
  <c r="M816" i="1" s="1"/>
  <c r="K817" i="1"/>
  <c r="L817" i="1" s="1"/>
  <c r="M817" i="1" s="1"/>
  <c r="K818" i="1"/>
  <c r="L818" i="1" s="1"/>
  <c r="M818" i="1" s="1"/>
  <c r="K819" i="1"/>
  <c r="L819" i="1" s="1"/>
  <c r="M819" i="1" s="1"/>
  <c r="K820" i="1"/>
  <c r="L820" i="1" s="1"/>
  <c r="M820" i="1" s="1"/>
  <c r="K821" i="1"/>
  <c r="L821" i="1" s="1"/>
  <c r="M821" i="1" s="1"/>
  <c r="K822" i="1"/>
  <c r="K823" i="1"/>
  <c r="L823" i="1" s="1"/>
  <c r="M823" i="1" s="1"/>
  <c r="K824" i="1"/>
  <c r="L824" i="1" s="1"/>
  <c r="M824" i="1" s="1"/>
  <c r="K825" i="1"/>
  <c r="L825" i="1" s="1"/>
  <c r="M825" i="1" s="1"/>
  <c r="K826" i="1"/>
  <c r="L826" i="1" s="1"/>
  <c r="K827" i="1"/>
  <c r="L827" i="1" s="1"/>
  <c r="M827" i="1" s="1"/>
  <c r="K828" i="1"/>
  <c r="L828" i="1" s="1"/>
  <c r="M828" i="1" s="1"/>
  <c r="K829" i="1"/>
  <c r="L829" i="1" s="1"/>
  <c r="M829" i="1" s="1"/>
  <c r="K830" i="1"/>
  <c r="L830" i="1" s="1"/>
  <c r="M830" i="1" s="1"/>
  <c r="K831" i="1"/>
  <c r="L831" i="1" s="1"/>
  <c r="M831" i="1" s="1"/>
  <c r="K832" i="1"/>
  <c r="L832" i="1" s="1"/>
  <c r="M832" i="1" s="1"/>
  <c r="K833" i="1"/>
  <c r="L833" i="1" s="1"/>
  <c r="M833" i="1" s="1"/>
  <c r="K834" i="1"/>
  <c r="L834" i="1" s="1"/>
  <c r="M834" i="1" s="1"/>
  <c r="K835" i="1"/>
  <c r="L835" i="1" s="1"/>
  <c r="M835" i="1" s="1"/>
  <c r="K836" i="1"/>
  <c r="L836" i="1" s="1"/>
  <c r="M836" i="1" s="1"/>
  <c r="K837" i="1"/>
  <c r="L837" i="1" s="1"/>
  <c r="M837" i="1" s="1"/>
  <c r="K838" i="1"/>
  <c r="L838" i="1" s="1"/>
  <c r="K839" i="1"/>
  <c r="K840" i="1"/>
  <c r="L840" i="1" s="1"/>
  <c r="M840" i="1" s="1"/>
  <c r="K841" i="1"/>
  <c r="L841" i="1" s="1"/>
  <c r="M841" i="1" s="1"/>
  <c r="K842" i="1"/>
  <c r="L842" i="1" s="1"/>
  <c r="M842" i="1" s="1"/>
  <c r="K843" i="1"/>
  <c r="L843" i="1" s="1"/>
  <c r="M843" i="1" s="1"/>
  <c r="K844" i="1"/>
  <c r="L844" i="1" s="1"/>
  <c r="M844" i="1" s="1"/>
  <c r="K845" i="1"/>
  <c r="L845" i="1" s="1"/>
  <c r="M845" i="1" s="1"/>
  <c r="K846" i="1"/>
  <c r="L846" i="1" s="1"/>
  <c r="K847" i="1"/>
  <c r="L847" i="1" s="1"/>
  <c r="M847" i="1" s="1"/>
  <c r="K848" i="1"/>
  <c r="L848" i="1" s="1"/>
  <c r="M848" i="1" s="1"/>
  <c r="K849" i="1"/>
  <c r="L849" i="1" s="1"/>
  <c r="M849" i="1" s="1"/>
  <c r="K850" i="1"/>
  <c r="K851" i="1"/>
  <c r="L851" i="1" s="1"/>
  <c r="M851" i="1" s="1"/>
  <c r="K852" i="1"/>
  <c r="L852" i="1" s="1"/>
  <c r="M852" i="1" s="1"/>
  <c r="K853" i="1"/>
  <c r="L853" i="1" s="1"/>
  <c r="M853" i="1" s="1"/>
  <c r="K854" i="1"/>
  <c r="L854" i="1" s="1"/>
  <c r="M854" i="1" s="1"/>
  <c r="K855" i="1"/>
  <c r="L855" i="1" s="1"/>
  <c r="M855" i="1" s="1"/>
  <c r="K856" i="1"/>
  <c r="L856" i="1" s="1"/>
  <c r="M856" i="1" s="1"/>
  <c r="K857" i="1"/>
  <c r="L857" i="1" s="1"/>
  <c r="M857" i="1" s="1"/>
  <c r="K858" i="1"/>
  <c r="L858" i="1" s="1"/>
  <c r="K859" i="1"/>
  <c r="L859" i="1" s="1"/>
  <c r="M859" i="1" s="1"/>
  <c r="K860" i="1"/>
  <c r="L860" i="1" s="1"/>
  <c r="M860" i="1" s="1"/>
  <c r="K861" i="1"/>
  <c r="L861" i="1" s="1"/>
  <c r="M861" i="1" s="1"/>
  <c r="K862" i="1"/>
  <c r="L862" i="1" s="1"/>
  <c r="M862" i="1" s="1"/>
  <c r="K863" i="1"/>
  <c r="L863" i="1" s="1"/>
  <c r="M863" i="1" s="1"/>
  <c r="K864" i="1"/>
  <c r="L864" i="1" s="1"/>
  <c r="M864" i="1" s="1"/>
  <c r="K865" i="1"/>
  <c r="L865" i="1" s="1"/>
  <c r="M865" i="1" s="1"/>
  <c r="K866" i="1"/>
  <c r="L866" i="1" s="1"/>
  <c r="K867" i="1"/>
  <c r="L867" i="1" s="1"/>
  <c r="M867" i="1" s="1"/>
  <c r="K868" i="1"/>
  <c r="L868" i="1" s="1"/>
  <c r="M868" i="1" s="1"/>
  <c r="K869" i="1"/>
  <c r="L869" i="1" s="1"/>
  <c r="M869" i="1" s="1"/>
  <c r="K870" i="1"/>
  <c r="K871" i="1"/>
  <c r="K872" i="1"/>
  <c r="L872" i="1" s="1"/>
  <c r="M872" i="1" s="1"/>
  <c r="K873" i="1"/>
  <c r="L873" i="1" s="1"/>
  <c r="M873" i="1" s="1"/>
  <c r="K874" i="1"/>
  <c r="L874" i="1" s="1"/>
  <c r="K875" i="1"/>
  <c r="L875" i="1" s="1"/>
  <c r="M875" i="1" s="1"/>
  <c r="K876" i="1"/>
  <c r="L876" i="1" s="1"/>
  <c r="M876" i="1" s="1"/>
  <c r="K877" i="1"/>
  <c r="L877" i="1" s="1"/>
  <c r="M877" i="1" s="1"/>
  <c r="K878" i="1"/>
  <c r="L878" i="1" s="1"/>
  <c r="K879" i="1"/>
  <c r="L879" i="1" s="1"/>
  <c r="M879" i="1" s="1"/>
  <c r="K880" i="1"/>
  <c r="L880" i="1" s="1"/>
  <c r="M880" i="1" s="1"/>
  <c r="K881" i="1"/>
  <c r="L881" i="1" s="1"/>
  <c r="M881" i="1" s="1"/>
  <c r="K882" i="1"/>
  <c r="L882" i="1" s="1"/>
  <c r="K883" i="1"/>
  <c r="L883" i="1" s="1"/>
  <c r="M883" i="1" s="1"/>
  <c r="K884" i="1"/>
  <c r="L884" i="1" s="1"/>
  <c r="M884" i="1" s="1"/>
  <c r="K885" i="1"/>
  <c r="L885" i="1" s="1"/>
  <c r="M885" i="1" s="1"/>
  <c r="K886" i="1"/>
  <c r="L886" i="1" s="1"/>
  <c r="M886" i="1" s="1"/>
  <c r="K887" i="1"/>
  <c r="L887" i="1" s="1"/>
  <c r="M887" i="1" s="1"/>
  <c r="K888" i="1"/>
  <c r="L888" i="1" s="1"/>
  <c r="M888" i="1" s="1"/>
  <c r="K889" i="1"/>
  <c r="L889" i="1" s="1"/>
  <c r="M889" i="1" s="1"/>
  <c r="K890" i="1"/>
  <c r="L890" i="1" s="1"/>
  <c r="K891" i="1"/>
  <c r="L891" i="1" s="1"/>
  <c r="M891" i="1" s="1"/>
  <c r="K892" i="1"/>
  <c r="L892" i="1" s="1"/>
  <c r="M892" i="1" s="1"/>
  <c r="K893" i="1"/>
  <c r="L893" i="1" s="1"/>
  <c r="M893" i="1" s="1"/>
  <c r="K894" i="1"/>
  <c r="L894" i="1" s="1"/>
  <c r="K895" i="1"/>
  <c r="L895" i="1" s="1"/>
  <c r="M895" i="1" s="1"/>
  <c r="K896" i="1"/>
  <c r="L896" i="1" s="1"/>
  <c r="M896" i="1" s="1"/>
  <c r="K897" i="1"/>
  <c r="L897" i="1" s="1"/>
  <c r="M897" i="1" s="1"/>
  <c r="K898" i="1"/>
  <c r="L898" i="1" s="1"/>
  <c r="M898" i="1" s="1"/>
  <c r="K899" i="1"/>
  <c r="L899" i="1" s="1"/>
  <c r="M899" i="1" s="1"/>
  <c r="K900" i="1"/>
  <c r="L900" i="1" s="1"/>
  <c r="M900" i="1" s="1"/>
  <c r="K901" i="1"/>
  <c r="L901" i="1" s="1"/>
  <c r="M901" i="1" s="1"/>
  <c r="K902" i="1"/>
  <c r="K903" i="1"/>
  <c r="L903" i="1" s="1"/>
  <c r="M903" i="1" s="1"/>
  <c r="K904" i="1"/>
  <c r="L904" i="1" s="1"/>
  <c r="M904" i="1" s="1"/>
  <c r="K905" i="1"/>
  <c r="L905" i="1" s="1"/>
  <c r="M905" i="1" s="1"/>
  <c r="K906" i="1"/>
  <c r="L906" i="1" s="1"/>
  <c r="M906" i="1" s="1"/>
  <c r="K907" i="1"/>
  <c r="L907" i="1" s="1"/>
  <c r="M907" i="1" s="1"/>
  <c r="K908" i="1"/>
  <c r="L908" i="1" s="1"/>
  <c r="M908" i="1" s="1"/>
  <c r="K909" i="1"/>
  <c r="L909" i="1" s="1"/>
  <c r="M909" i="1" s="1"/>
  <c r="K910" i="1"/>
  <c r="L910" i="1" s="1"/>
  <c r="K911" i="1"/>
  <c r="L911" i="1" s="1"/>
  <c r="M911" i="1" s="1"/>
  <c r="K912" i="1"/>
  <c r="L912" i="1" s="1"/>
  <c r="M912" i="1" s="1"/>
  <c r="K913" i="1"/>
  <c r="L913" i="1" s="1"/>
  <c r="M913" i="1" s="1"/>
  <c r="K914" i="1"/>
  <c r="K915" i="1"/>
  <c r="L915" i="1" s="1"/>
  <c r="M915" i="1" s="1"/>
  <c r="K916" i="1"/>
  <c r="L916" i="1" s="1"/>
  <c r="M916" i="1" s="1"/>
  <c r="K917" i="1"/>
  <c r="L917" i="1" s="1"/>
  <c r="M917" i="1" s="1"/>
  <c r="K918" i="1"/>
  <c r="L918" i="1" s="1"/>
  <c r="M918" i="1" s="1"/>
  <c r="K919" i="1"/>
  <c r="L919" i="1" s="1"/>
  <c r="M919" i="1" s="1"/>
  <c r="K920" i="1"/>
  <c r="L920" i="1" s="1"/>
  <c r="M920" i="1" s="1"/>
  <c r="K921" i="1"/>
  <c r="L921" i="1" s="1"/>
  <c r="M921" i="1" s="1"/>
  <c r="K922" i="1"/>
  <c r="L922" i="1" s="1"/>
  <c r="K923" i="1"/>
  <c r="L923" i="1" s="1"/>
  <c r="M923" i="1" s="1"/>
  <c r="K924" i="1"/>
  <c r="L924" i="1" s="1"/>
  <c r="M924" i="1" s="1"/>
  <c r="K925" i="1"/>
  <c r="L925" i="1" s="1"/>
  <c r="M925" i="1" s="1"/>
  <c r="K926" i="1"/>
  <c r="L926" i="1" s="1"/>
  <c r="M926" i="1" s="1"/>
  <c r="K927" i="1"/>
  <c r="L927" i="1" s="1"/>
  <c r="M927" i="1" s="1"/>
  <c r="K928" i="1"/>
  <c r="L928" i="1" s="1"/>
  <c r="M928" i="1" s="1"/>
  <c r="K929" i="1"/>
  <c r="L929" i="1" s="1"/>
  <c r="M929" i="1" s="1"/>
  <c r="K930" i="1"/>
  <c r="L930" i="1" s="1"/>
  <c r="M930" i="1" s="1"/>
  <c r="K931" i="1"/>
  <c r="L931" i="1" s="1"/>
  <c r="M931" i="1" s="1"/>
  <c r="K932" i="1"/>
  <c r="L932" i="1" s="1"/>
  <c r="M932" i="1" s="1"/>
  <c r="K933" i="1"/>
  <c r="L933" i="1" s="1"/>
  <c r="M933" i="1" s="1"/>
  <c r="K934" i="1"/>
  <c r="L934" i="1" s="1"/>
  <c r="K935" i="1"/>
  <c r="L935" i="1" s="1"/>
  <c r="M935" i="1" s="1"/>
  <c r="K936" i="1"/>
  <c r="L936" i="1" s="1"/>
  <c r="M936" i="1" s="1"/>
  <c r="K937" i="1"/>
  <c r="L937" i="1" s="1"/>
  <c r="M937" i="1" s="1"/>
  <c r="K938" i="1"/>
  <c r="L938" i="1" s="1"/>
  <c r="M938" i="1" s="1"/>
  <c r="K939" i="1"/>
  <c r="L939" i="1" s="1"/>
  <c r="M939" i="1" s="1"/>
  <c r="K940" i="1"/>
  <c r="L940" i="1" s="1"/>
  <c r="M940" i="1" s="1"/>
  <c r="K941" i="1"/>
  <c r="L941" i="1" s="1"/>
  <c r="M941" i="1" s="1"/>
  <c r="K942" i="1"/>
  <c r="L942" i="1" s="1"/>
  <c r="K943" i="1"/>
  <c r="L943" i="1" s="1"/>
  <c r="M943" i="1" s="1"/>
  <c r="K944" i="1"/>
  <c r="L944" i="1" s="1"/>
  <c r="M944" i="1" s="1"/>
  <c r="K945" i="1"/>
  <c r="L945" i="1" s="1"/>
  <c r="M945" i="1" s="1"/>
  <c r="K946" i="1"/>
  <c r="K947" i="1"/>
  <c r="L947" i="1" s="1"/>
  <c r="M947" i="1" s="1"/>
  <c r="K948" i="1"/>
  <c r="L948" i="1" s="1"/>
  <c r="M948" i="1" s="1"/>
  <c r="K949" i="1"/>
  <c r="L949" i="1" s="1"/>
  <c r="M949" i="1" s="1"/>
  <c r="K950" i="1"/>
  <c r="L950" i="1" s="1"/>
  <c r="M950" i="1" s="1"/>
  <c r="K951" i="1"/>
  <c r="L951" i="1" s="1"/>
  <c r="M951" i="1" s="1"/>
  <c r="K952" i="1"/>
  <c r="L952" i="1" s="1"/>
  <c r="M952" i="1" s="1"/>
  <c r="K953" i="1"/>
  <c r="L953" i="1" s="1"/>
  <c r="M953" i="1" s="1"/>
  <c r="K954" i="1"/>
  <c r="K955" i="1"/>
  <c r="L955" i="1" s="1"/>
  <c r="M955" i="1" s="1"/>
  <c r="K956" i="1"/>
  <c r="L956" i="1" s="1"/>
  <c r="M956" i="1" s="1"/>
  <c r="K957" i="1"/>
  <c r="L957" i="1" s="1"/>
  <c r="M957" i="1" s="1"/>
  <c r="K958" i="1"/>
  <c r="L958" i="1" s="1"/>
  <c r="K959" i="1"/>
  <c r="L959" i="1" s="1"/>
  <c r="M959" i="1" s="1"/>
  <c r="K960" i="1"/>
  <c r="L960" i="1" s="1"/>
  <c r="M960" i="1" s="1"/>
  <c r="K961" i="1"/>
  <c r="L961" i="1" s="1"/>
  <c r="M961" i="1" s="1"/>
  <c r="K962" i="1"/>
  <c r="L962" i="1" s="1"/>
  <c r="M962" i="1" s="1"/>
  <c r="K963" i="1"/>
  <c r="L963" i="1" s="1"/>
  <c r="M963" i="1" s="1"/>
  <c r="K964" i="1"/>
  <c r="L964" i="1" s="1"/>
  <c r="M964" i="1" s="1"/>
  <c r="K965" i="1"/>
  <c r="L965" i="1" s="1"/>
  <c r="M965" i="1" s="1"/>
  <c r="K966" i="1"/>
  <c r="L966" i="1" s="1"/>
  <c r="M966" i="1" s="1"/>
  <c r="K967" i="1"/>
  <c r="L967" i="1" s="1"/>
  <c r="M967" i="1" s="1"/>
  <c r="K968" i="1"/>
  <c r="L968" i="1" s="1"/>
  <c r="M968" i="1" s="1"/>
  <c r="K969" i="1"/>
  <c r="L969" i="1" s="1"/>
  <c r="M969" i="1" s="1"/>
  <c r="K970" i="1"/>
  <c r="L970" i="1" s="1"/>
  <c r="K971" i="1"/>
  <c r="L971" i="1" s="1"/>
  <c r="M971" i="1" s="1"/>
  <c r="K972" i="1"/>
  <c r="L972" i="1" s="1"/>
  <c r="M972" i="1" s="1"/>
  <c r="K973" i="1"/>
  <c r="L973" i="1" s="1"/>
  <c r="M973" i="1" s="1"/>
  <c r="K974" i="1"/>
  <c r="L974" i="1" s="1"/>
  <c r="M974" i="1" s="1"/>
  <c r="K975" i="1"/>
  <c r="L975" i="1" s="1"/>
  <c r="M975" i="1" s="1"/>
  <c r="K976" i="1"/>
  <c r="L976" i="1" s="1"/>
  <c r="M976" i="1" s="1"/>
  <c r="K977" i="1"/>
  <c r="L977" i="1" s="1"/>
  <c r="M977" i="1" s="1"/>
  <c r="K978" i="1"/>
  <c r="L978" i="1" s="1"/>
  <c r="K979" i="1"/>
  <c r="L979" i="1" s="1"/>
  <c r="M979" i="1" s="1"/>
  <c r="K980" i="1"/>
  <c r="L980" i="1" s="1"/>
  <c r="M980" i="1" s="1"/>
  <c r="K981" i="1"/>
  <c r="L981" i="1" s="1"/>
  <c r="M981" i="1" s="1"/>
  <c r="K982" i="1"/>
  <c r="L982" i="1" s="1"/>
  <c r="K983" i="1"/>
  <c r="L983" i="1" s="1"/>
  <c r="M983" i="1" s="1"/>
  <c r="K984" i="1"/>
  <c r="L984" i="1" s="1"/>
  <c r="M984" i="1" s="1"/>
  <c r="K985" i="1"/>
  <c r="L985" i="1" s="1"/>
  <c r="M985" i="1" s="1"/>
  <c r="K986" i="1"/>
  <c r="K987" i="1"/>
  <c r="L987" i="1" s="1"/>
  <c r="M987" i="1" s="1"/>
  <c r="K988" i="1"/>
  <c r="L988" i="1" s="1"/>
  <c r="M988" i="1" s="1"/>
  <c r="K989" i="1"/>
  <c r="L989" i="1" s="1"/>
  <c r="M989" i="1" s="1"/>
  <c r="K990" i="1"/>
  <c r="L990" i="1" s="1"/>
  <c r="K991" i="1"/>
  <c r="L991" i="1" s="1"/>
  <c r="M991" i="1" s="1"/>
  <c r="K992" i="1"/>
  <c r="L992" i="1" s="1"/>
  <c r="M992" i="1" s="1"/>
  <c r="K993" i="1"/>
  <c r="L993" i="1" s="1"/>
  <c r="M993" i="1" s="1"/>
  <c r="K994" i="1"/>
  <c r="L994" i="1" s="1"/>
  <c r="M994" i="1" s="1"/>
  <c r="K995" i="1"/>
  <c r="L995" i="1" s="1"/>
  <c r="M995" i="1" s="1"/>
  <c r="K996" i="1"/>
  <c r="L996" i="1" s="1"/>
  <c r="M996" i="1" s="1"/>
  <c r="L9" i="1"/>
  <c r="M9" i="1" s="1"/>
  <c r="L26" i="1"/>
  <c r="M26" i="1" s="1"/>
  <c r="L40" i="1"/>
  <c r="M40" i="1" s="1"/>
  <c r="L87" i="1"/>
  <c r="M87" i="1" s="1"/>
  <c r="L144" i="1"/>
  <c r="M144" i="1" s="1"/>
  <c r="L171" i="1"/>
  <c r="M171" i="1" s="1"/>
  <c r="L271" i="1"/>
  <c r="M271" i="1" s="1"/>
  <c r="L303" i="1"/>
  <c r="M303" i="1" s="1"/>
  <c r="L379" i="1"/>
  <c r="M379" i="1" s="1"/>
  <c r="L443" i="1"/>
  <c r="M443" i="1" s="1"/>
  <c r="L503" i="1"/>
  <c r="M503" i="1" s="1"/>
  <c r="L563" i="1"/>
  <c r="M563" i="1" s="1"/>
  <c r="L631" i="1"/>
  <c r="M631" i="1" s="1"/>
  <c r="L695" i="1"/>
  <c r="M695" i="1" s="1"/>
  <c r="L759" i="1"/>
  <c r="M759" i="1" s="1"/>
  <c r="L158" i="1"/>
  <c r="M158" i="1" s="1"/>
  <c r="L234" i="1"/>
  <c r="M234" i="1" s="1"/>
  <c r="L398" i="1"/>
  <c r="M398" i="1" s="1"/>
  <c r="L590" i="1"/>
  <c r="L611" i="1"/>
  <c r="M611" i="1" s="1"/>
  <c r="L627" i="1"/>
  <c r="M627" i="1" s="1"/>
  <c r="L658" i="1"/>
  <c r="M658" i="1" s="1"/>
  <c r="L706" i="1"/>
  <c r="M706" i="1" s="1"/>
  <c r="L722" i="1"/>
  <c r="M722" i="1" s="1"/>
  <c r="L850" i="1"/>
  <c r="L3" i="1"/>
  <c r="M3" i="1" s="1"/>
  <c r="L11" i="1"/>
  <c r="M11" i="1" s="1"/>
  <c r="L14" i="1"/>
  <c r="M14" i="1" s="1"/>
  <c r="L24" i="1"/>
  <c r="M24" i="1" s="1"/>
  <c r="L36" i="1"/>
  <c r="M36" i="1" s="1"/>
  <c r="L44" i="1"/>
  <c r="M44" i="1" s="1"/>
  <c r="L46" i="1"/>
  <c r="M46" i="1" s="1"/>
  <c r="L50" i="1"/>
  <c r="M50" i="1" s="1"/>
  <c r="L62" i="1"/>
  <c r="M62" i="1" s="1"/>
  <c r="L66" i="1"/>
  <c r="M66" i="1" s="1"/>
  <c r="L78" i="1"/>
  <c r="M78" i="1" s="1"/>
  <c r="L82" i="1"/>
  <c r="M82" i="1" s="1"/>
  <c r="L94" i="1"/>
  <c r="M94" i="1" s="1"/>
  <c r="L98" i="1"/>
  <c r="M98" i="1" s="1"/>
  <c r="L110" i="1"/>
  <c r="M110" i="1" s="1"/>
  <c r="L114" i="1"/>
  <c r="M114" i="1" s="1"/>
  <c r="L126" i="1"/>
  <c r="M126" i="1" s="1"/>
  <c r="L130" i="1"/>
  <c r="M130" i="1" s="1"/>
  <c r="L142" i="1"/>
  <c r="M142" i="1" s="1"/>
  <c r="L146" i="1"/>
  <c r="M146" i="1" s="1"/>
  <c r="L162" i="1"/>
  <c r="M162" i="1" s="1"/>
  <c r="L166" i="1"/>
  <c r="M166" i="1" s="1"/>
  <c r="L178" i="1"/>
  <c r="M178" i="1" s="1"/>
  <c r="L182" i="1"/>
  <c r="M182" i="1" s="1"/>
  <c r="L194" i="1"/>
  <c r="M194" i="1" s="1"/>
  <c r="L198" i="1"/>
  <c r="M198" i="1" s="1"/>
  <c r="L210" i="1"/>
  <c r="M210" i="1" s="1"/>
  <c r="L214" i="1"/>
  <c r="M214" i="1" s="1"/>
  <c r="L226" i="1"/>
  <c r="M226" i="1" s="1"/>
  <c r="L230" i="1"/>
  <c r="M230" i="1" s="1"/>
  <c r="L246" i="1"/>
  <c r="M246" i="1" s="1"/>
  <c r="L250" i="1"/>
  <c r="M250" i="1" s="1"/>
  <c r="L266" i="1"/>
  <c r="M266" i="1" s="1"/>
  <c r="L270" i="1"/>
  <c r="M270" i="1" s="1"/>
  <c r="L282" i="1"/>
  <c r="M282" i="1" s="1"/>
  <c r="L286" i="1"/>
  <c r="M286" i="1" s="1"/>
  <c r="L298" i="1"/>
  <c r="M298" i="1" s="1"/>
  <c r="L302" i="1"/>
  <c r="M302" i="1" s="1"/>
  <c r="L314" i="1"/>
  <c r="M314" i="1" s="1"/>
  <c r="L318" i="1"/>
  <c r="M318" i="1" s="1"/>
  <c r="L330" i="1"/>
  <c r="M330" i="1" s="1"/>
  <c r="L331" i="1"/>
  <c r="M331" i="1" s="1"/>
  <c r="L342" i="1"/>
  <c r="M342" i="1" s="1"/>
  <c r="L350" i="1"/>
  <c r="M350" i="1" s="1"/>
  <c r="L362" i="1"/>
  <c r="M362" i="1" s="1"/>
  <c r="L366" i="1"/>
  <c r="M366" i="1" s="1"/>
  <c r="L378" i="1"/>
  <c r="M378" i="1" s="1"/>
  <c r="L382" i="1"/>
  <c r="M382" i="1" s="1"/>
  <c r="L394" i="1"/>
  <c r="M394" i="1" s="1"/>
  <c r="L402" i="1"/>
  <c r="M402" i="1" s="1"/>
  <c r="L418" i="1"/>
  <c r="M418" i="1" s="1"/>
  <c r="L422" i="1"/>
  <c r="M422" i="1" s="1"/>
  <c r="L434" i="1"/>
  <c r="M434" i="1" s="1"/>
  <c r="L438" i="1"/>
  <c r="M438" i="1" s="1"/>
  <c r="L450" i="1"/>
  <c r="M450" i="1" s="1"/>
  <c r="L454" i="1"/>
  <c r="M454" i="1" s="1"/>
  <c r="L455" i="1"/>
  <c r="M455" i="1" s="1"/>
  <c r="L462" i="1"/>
  <c r="M462" i="1" s="1"/>
  <c r="L466" i="1"/>
  <c r="M466" i="1" s="1"/>
  <c r="L482" i="1"/>
  <c r="M482" i="1" s="1"/>
  <c r="L486" i="1"/>
  <c r="M486" i="1" s="1"/>
  <c r="L498" i="1"/>
  <c r="M498" i="1" s="1"/>
  <c r="L502" i="1"/>
  <c r="M502" i="1" s="1"/>
  <c r="L514" i="1"/>
  <c r="M514" i="1" s="1"/>
  <c r="L518" i="1"/>
  <c r="M518" i="1" s="1"/>
  <c r="L530" i="1"/>
  <c r="L534" i="1"/>
  <c r="L546" i="1"/>
  <c r="L554" i="1"/>
  <c r="M554" i="1" s="1"/>
  <c r="L566" i="1"/>
  <c r="L570" i="1"/>
  <c r="L582" i="1"/>
  <c r="M582" i="1" s="1"/>
  <c r="L586" i="1"/>
  <c r="M586" i="1" s="1"/>
  <c r="L602" i="1"/>
  <c r="M602" i="1" s="1"/>
  <c r="L606" i="1"/>
  <c r="L622" i="1"/>
  <c r="M622" i="1" s="1"/>
  <c r="L630" i="1"/>
  <c r="M630" i="1" s="1"/>
  <c r="L642" i="1"/>
  <c r="L646" i="1"/>
  <c r="L662" i="1"/>
  <c r="M662" i="1" s="1"/>
  <c r="L666" i="1"/>
  <c r="L682" i="1"/>
  <c r="L683" i="1"/>
  <c r="M683" i="1" s="1"/>
  <c r="L698" i="1"/>
  <c r="M698" i="1" s="1"/>
  <c r="L702" i="1"/>
  <c r="L718" i="1"/>
  <c r="M718" i="1" s="1"/>
  <c r="L726" i="1"/>
  <c r="M726" i="1" s="1"/>
  <c r="L742" i="1"/>
  <c r="M742" i="1" s="1"/>
  <c r="L746" i="1"/>
  <c r="M746" i="1" s="1"/>
  <c r="L762" i="1"/>
  <c r="M762" i="1" s="1"/>
  <c r="L766" i="1"/>
  <c r="L782" i="1"/>
  <c r="M782" i="1" s="1"/>
  <c r="L788" i="1"/>
  <c r="M788" i="1" s="1"/>
  <c r="L822" i="1"/>
  <c r="M822" i="1" s="1"/>
  <c r="L839" i="1"/>
  <c r="M839" i="1" s="1"/>
  <c r="L870" i="1"/>
  <c r="M870" i="1" s="1"/>
  <c r="L871" i="1"/>
  <c r="M871" i="1" s="1"/>
  <c r="L902" i="1"/>
  <c r="M902" i="1" s="1"/>
  <c r="L914" i="1"/>
  <c r="M914" i="1" s="1"/>
  <c r="L946" i="1"/>
  <c r="L954" i="1"/>
  <c r="M954" i="1" s="1"/>
  <c r="L986" i="1"/>
  <c r="M986" i="1" s="1"/>
  <c r="L2" i="1"/>
  <c r="M2" i="1" s="1"/>
  <c r="N790" i="6" l="1"/>
  <c r="N595" i="6"/>
  <c r="M916" i="6"/>
  <c r="N916" i="6" s="1"/>
  <c r="N667" i="6"/>
  <c r="N28" i="6"/>
  <c r="N35" i="6"/>
  <c r="M368" i="6"/>
  <c r="N368" i="6" s="1"/>
  <c r="M420" i="6"/>
  <c r="N420" i="6" s="1"/>
  <c r="N611" i="6"/>
  <c r="N691" i="6"/>
  <c r="N799" i="6"/>
  <c r="N826" i="6"/>
  <c r="M980" i="6"/>
  <c r="N980" i="6" s="1"/>
  <c r="N396" i="6"/>
  <c r="N537" i="6"/>
  <c r="N868" i="6"/>
  <c r="N498" i="6"/>
  <c r="N932" i="6"/>
  <c r="N7" i="6"/>
  <c r="M46" i="6"/>
  <c r="N46" i="6" s="1"/>
  <c r="N217" i="6"/>
  <c r="N281" i="6"/>
  <c r="M400" i="6"/>
  <c r="N400" i="6" s="1"/>
  <c r="M543" i="6"/>
  <c r="N543" i="6" s="1"/>
  <c r="M838" i="6"/>
  <c r="N838" i="6" s="1"/>
  <c r="M960" i="6"/>
  <c r="N960" i="6" s="1"/>
  <c r="M245" i="6"/>
  <c r="N245" i="6" s="1"/>
  <c r="M261" i="6"/>
  <c r="N261" i="6" s="1"/>
  <c r="M434" i="6"/>
  <c r="N434" i="6" s="1"/>
  <c r="M545" i="6"/>
  <c r="N545" i="6" s="1"/>
  <c r="M561" i="6"/>
  <c r="N561" i="6" s="1"/>
  <c r="N79" i="6"/>
  <c r="M111" i="6"/>
  <c r="N111" i="6" s="1"/>
  <c r="M221" i="6"/>
  <c r="N221" i="6" s="1"/>
  <c r="M237" i="6"/>
  <c r="N237" i="6" s="1"/>
  <c r="M253" i="6"/>
  <c r="N253" i="6" s="1"/>
  <c r="M530" i="6"/>
  <c r="N530" i="6" s="1"/>
  <c r="M549" i="6"/>
  <c r="N549" i="6" s="1"/>
  <c r="M557" i="6"/>
  <c r="N557" i="6" s="1"/>
  <c r="M565" i="6"/>
  <c r="N565" i="6" s="1"/>
  <c r="M794" i="6"/>
  <c r="N794" i="6" s="1"/>
  <c r="M87" i="6"/>
  <c r="N87" i="6" s="1"/>
  <c r="M213" i="6"/>
  <c r="N213" i="6" s="1"/>
  <c r="M229" i="6"/>
  <c r="N229" i="6" s="1"/>
  <c r="M348" i="6"/>
  <c r="N348" i="6" s="1"/>
  <c r="M553" i="6"/>
  <c r="N553" i="6" s="1"/>
  <c r="M896" i="6"/>
  <c r="N896" i="6" s="1"/>
  <c r="M948" i="6"/>
  <c r="N948" i="6" s="1"/>
  <c r="N233" i="6"/>
  <c r="N249" i="6"/>
  <c r="N265" i="6"/>
  <c r="N297" i="6"/>
  <c r="N313" i="6"/>
  <c r="M352" i="6"/>
  <c r="N352" i="6" s="1"/>
  <c r="N364" i="6"/>
  <c r="M442" i="6"/>
  <c r="N442" i="6" s="1"/>
  <c r="M551" i="6"/>
  <c r="N551" i="6" s="1"/>
  <c r="M559" i="6"/>
  <c r="N559" i="6" s="1"/>
  <c r="M635" i="6"/>
  <c r="N635" i="6" s="1"/>
  <c r="N58" i="6"/>
  <c r="N119" i="6"/>
  <c r="N209" i="6"/>
  <c r="N225" i="6"/>
  <c r="N241" i="6"/>
  <c r="N257" i="6"/>
  <c r="N273" i="6"/>
  <c r="N289" i="6"/>
  <c r="N305" i="6"/>
  <c r="M336" i="6"/>
  <c r="N336" i="6" s="1"/>
  <c r="M535" i="6"/>
  <c r="N535" i="6" s="1"/>
  <c r="M547" i="6"/>
  <c r="N547" i="6" s="1"/>
  <c r="M555" i="6"/>
  <c r="N555" i="6" s="1"/>
  <c r="M563" i="6"/>
  <c r="N563" i="6" s="1"/>
  <c r="M599" i="6"/>
  <c r="N599" i="6" s="1"/>
  <c r="M884" i="6"/>
  <c r="N884" i="6" s="1"/>
  <c r="N269" i="6"/>
  <c r="N277" i="6"/>
  <c r="N285" i="6"/>
  <c r="N293" i="6"/>
  <c r="N301" i="6"/>
  <c r="N309" i="6"/>
  <c r="N583" i="6"/>
  <c r="N699" i="6"/>
  <c r="M848" i="6"/>
  <c r="N848" i="6" s="1"/>
  <c r="M912" i="6"/>
  <c r="N912" i="6" s="1"/>
  <c r="M976" i="6"/>
  <c r="N976" i="6" s="1"/>
  <c r="B7" i="7"/>
  <c r="M95" i="6"/>
  <c r="N95" i="6" s="1"/>
  <c r="M356" i="6"/>
  <c r="N356" i="6" s="1"/>
  <c r="M388" i="6"/>
  <c r="N388" i="6" s="1"/>
  <c r="M404" i="6"/>
  <c r="N404" i="6" s="1"/>
  <c r="M426" i="6"/>
  <c r="N426" i="6" s="1"/>
  <c r="M441" i="6"/>
  <c r="N441" i="6" s="1"/>
  <c r="M715" i="6"/>
  <c r="N715" i="6" s="1"/>
  <c r="M892" i="6"/>
  <c r="N892" i="6" s="1"/>
  <c r="M956" i="6"/>
  <c r="N956" i="6" s="1"/>
  <c r="M32" i="6"/>
  <c r="N32" i="6" s="1"/>
  <c r="M62" i="6"/>
  <c r="N62" i="6" s="1"/>
  <c r="M411" i="6"/>
  <c r="N411" i="6" s="1"/>
  <c r="M419" i="6"/>
  <c r="N419" i="6" s="1"/>
  <c r="M482" i="6"/>
  <c r="N482" i="6" s="1"/>
  <c r="M579" i="6"/>
  <c r="N579" i="6" s="1"/>
  <c r="M588" i="6"/>
  <c r="N588" i="6" s="1"/>
  <c r="M620" i="6"/>
  <c r="N620" i="6" s="1"/>
  <c r="M627" i="6"/>
  <c r="N627" i="6" s="1"/>
  <c r="M651" i="6"/>
  <c r="N651" i="6" s="1"/>
  <c r="M795" i="6"/>
  <c r="N795" i="6" s="1"/>
  <c r="M822" i="6"/>
  <c r="N822" i="6" s="1"/>
  <c r="N14" i="6"/>
  <c r="M25" i="6"/>
  <c r="N25" i="6" s="1"/>
  <c r="N42" i="6"/>
  <c r="M54" i="6"/>
  <c r="N54" i="6" s="1"/>
  <c r="N103" i="6"/>
  <c r="M328" i="6"/>
  <c r="N328" i="6" s="1"/>
  <c r="M344" i="6"/>
  <c r="N344" i="6" s="1"/>
  <c r="M392" i="6"/>
  <c r="N392" i="6" s="1"/>
  <c r="M408" i="6"/>
  <c r="N408" i="6" s="1"/>
  <c r="N412" i="6"/>
  <c r="M417" i="6"/>
  <c r="N417" i="6" s="1"/>
  <c r="N450" i="6"/>
  <c r="M458" i="6"/>
  <c r="N458" i="6" s="1"/>
  <c r="N465" i="6"/>
  <c r="M473" i="6"/>
  <c r="N473" i="6" s="1"/>
  <c r="N514" i="6"/>
  <c r="M522" i="6"/>
  <c r="N522" i="6" s="1"/>
  <c r="M538" i="6"/>
  <c r="N538" i="6" s="1"/>
  <c r="N544" i="6"/>
  <c r="N548" i="6"/>
  <c r="N552" i="6"/>
  <c r="N556" i="6"/>
  <c r="N560" i="6"/>
  <c r="N564" i="6"/>
  <c r="M571" i="6"/>
  <c r="N571" i="6" s="1"/>
  <c r="M577" i="6"/>
  <c r="N577" i="6" s="1"/>
  <c r="M580" i="6"/>
  <c r="N580" i="6" s="1"/>
  <c r="M612" i="6"/>
  <c r="N612" i="6" s="1"/>
  <c r="N659" i="6"/>
  <c r="M818" i="6"/>
  <c r="N818" i="6" s="1"/>
  <c r="M324" i="6"/>
  <c r="N324" i="6" s="1"/>
  <c r="M340" i="6"/>
  <c r="N340" i="6" s="1"/>
  <c r="M372" i="6"/>
  <c r="N372" i="6" s="1"/>
  <c r="M490" i="6"/>
  <c r="N490" i="6" s="1"/>
  <c r="M604" i="6"/>
  <c r="N604" i="6" s="1"/>
  <c r="M791" i="6"/>
  <c r="N791" i="6" s="1"/>
  <c r="N21" i="6"/>
  <c r="N50" i="6"/>
  <c r="N71" i="6"/>
  <c r="N360" i="6"/>
  <c r="N376" i="6"/>
  <c r="M433" i="6"/>
  <c r="N433" i="6" s="1"/>
  <c r="N319" i="6"/>
  <c r="N335" i="6"/>
  <c r="N351" i="6"/>
  <c r="N367" i="6"/>
  <c r="N383" i="6"/>
  <c r="N399" i="6"/>
  <c r="M569" i="6"/>
  <c r="N569" i="6" s="1"/>
  <c r="M572" i="6"/>
  <c r="N572" i="6" s="1"/>
  <c r="M600" i="6"/>
  <c r="N600" i="6" s="1"/>
  <c r="N807" i="6"/>
  <c r="M813" i="6"/>
  <c r="N813" i="6" s="1"/>
  <c r="M844" i="6"/>
  <c r="N844" i="6" s="1"/>
  <c r="M908" i="6"/>
  <c r="N908" i="6" s="1"/>
  <c r="M972" i="6"/>
  <c r="N972" i="6" s="1"/>
  <c r="M567" i="6"/>
  <c r="N567" i="6" s="1"/>
  <c r="M575" i="6"/>
  <c r="N575" i="6" s="1"/>
  <c r="M591" i="6"/>
  <c r="N591" i="6" s="1"/>
  <c r="M615" i="6"/>
  <c r="N615" i="6" s="1"/>
  <c r="M683" i="6"/>
  <c r="N683" i="6" s="1"/>
  <c r="M783" i="6"/>
  <c r="N783" i="6" s="1"/>
  <c r="M825" i="6"/>
  <c r="N825" i="6" s="1"/>
  <c r="M832" i="6"/>
  <c r="N832" i="6" s="1"/>
  <c r="M842" i="6"/>
  <c r="N842" i="6" s="1"/>
  <c r="M860" i="6"/>
  <c r="N860" i="6" s="1"/>
  <c r="N864" i="6"/>
  <c r="M924" i="6"/>
  <c r="N924" i="6" s="1"/>
  <c r="N928" i="6"/>
  <c r="M988" i="6"/>
  <c r="N988" i="6" s="1"/>
  <c r="N323" i="6"/>
  <c r="N339" i="6"/>
  <c r="N355" i="6"/>
  <c r="N371" i="6"/>
  <c r="N387" i="6"/>
  <c r="N403" i="6"/>
  <c r="N425" i="6"/>
  <c r="N457" i="6"/>
  <c r="N568" i="6"/>
  <c r="M573" i="6"/>
  <c r="N573" i="6" s="1"/>
  <c r="N576" i="6"/>
  <c r="N592" i="6"/>
  <c r="M608" i="6"/>
  <c r="N608" i="6" s="1"/>
  <c r="N616" i="6"/>
  <c r="M643" i="6"/>
  <c r="N643" i="6" s="1"/>
  <c r="M787" i="6"/>
  <c r="N787" i="6" s="1"/>
  <c r="M797" i="6"/>
  <c r="N797" i="6" s="1"/>
  <c r="N802" i="6"/>
  <c r="M806" i="6"/>
  <c r="N806" i="6" s="1"/>
  <c r="N809" i="6"/>
  <c r="M811" i="6"/>
  <c r="N811" i="6" s="1"/>
  <c r="M830" i="6"/>
  <c r="N830" i="6" s="1"/>
  <c r="M837" i="6"/>
  <c r="N837" i="6" s="1"/>
  <c r="M876" i="6"/>
  <c r="N876" i="6" s="1"/>
  <c r="N880" i="6"/>
  <c r="M940" i="6"/>
  <c r="N940" i="6" s="1"/>
  <c r="N944" i="6"/>
  <c r="N584" i="6"/>
  <c r="N596" i="6"/>
  <c r="N675" i="6"/>
  <c r="N707" i="6"/>
  <c r="N805" i="6"/>
  <c r="N821" i="6"/>
  <c r="N834" i="6"/>
  <c r="N939" i="6"/>
  <c r="N955" i="6"/>
  <c r="N971" i="6"/>
  <c r="N987" i="6"/>
  <c r="N840" i="6"/>
  <c r="M350" i="6"/>
  <c r="N350" i="6" s="1"/>
  <c r="M382" i="6"/>
  <c r="N382" i="6" s="1"/>
  <c r="M113" i="6"/>
  <c r="N113" i="6" s="1"/>
  <c r="M121" i="6"/>
  <c r="N121" i="6" s="1"/>
  <c r="M129" i="6"/>
  <c r="N129" i="6" s="1"/>
  <c r="M137" i="6"/>
  <c r="N137" i="6" s="1"/>
  <c r="M145" i="6"/>
  <c r="N145" i="6" s="1"/>
  <c r="M153" i="6"/>
  <c r="N153" i="6" s="1"/>
  <c r="M161" i="6"/>
  <c r="N161" i="6" s="1"/>
  <c r="M169" i="6"/>
  <c r="N169" i="6" s="1"/>
  <c r="M177" i="6"/>
  <c r="N177" i="6" s="1"/>
  <c r="M185" i="6"/>
  <c r="N185" i="6" s="1"/>
  <c r="M193" i="6"/>
  <c r="N193" i="6" s="1"/>
  <c r="M201" i="6"/>
  <c r="N201" i="6" s="1"/>
  <c r="M318" i="6"/>
  <c r="N318" i="6" s="1"/>
  <c r="M366" i="6"/>
  <c r="N366" i="6" s="1"/>
  <c r="M418" i="6"/>
  <c r="N418" i="6" s="1"/>
  <c r="M439" i="6"/>
  <c r="N439" i="6" s="1"/>
  <c r="M503" i="6"/>
  <c r="N503" i="6" s="1"/>
  <c r="M525" i="6"/>
  <c r="N525" i="6" s="1"/>
  <c r="M17" i="6"/>
  <c r="N17" i="6" s="1"/>
  <c r="M34" i="6"/>
  <c r="N34" i="6" s="1"/>
  <c r="M38" i="6"/>
  <c r="N38" i="6" s="1"/>
  <c r="M49" i="6"/>
  <c r="N49" i="6" s="1"/>
  <c r="M57" i="6"/>
  <c r="N57" i="6" s="1"/>
  <c r="M61" i="6"/>
  <c r="N61" i="6" s="1"/>
  <c r="M73" i="6"/>
  <c r="N73" i="6" s="1"/>
  <c r="M81" i="6"/>
  <c r="N81" i="6" s="1"/>
  <c r="M89" i="6"/>
  <c r="N89" i="6" s="1"/>
  <c r="M97" i="6"/>
  <c r="N97" i="6" s="1"/>
  <c r="M105" i="6"/>
  <c r="N105" i="6" s="1"/>
  <c r="M4" i="6"/>
  <c r="N4" i="6" s="1"/>
  <c r="N5" i="6"/>
  <c r="N8" i="6"/>
  <c r="N13" i="6"/>
  <c r="N31" i="6"/>
  <c r="N45" i="6"/>
  <c r="N53" i="6"/>
  <c r="N65" i="6"/>
  <c r="M334" i="6"/>
  <c r="N334" i="6" s="1"/>
  <c r="M398" i="6"/>
  <c r="N398" i="6" s="1"/>
  <c r="M413" i="6"/>
  <c r="N413" i="6" s="1"/>
  <c r="M429" i="6"/>
  <c r="N429" i="6" s="1"/>
  <c r="M461" i="6"/>
  <c r="N461" i="6" s="1"/>
  <c r="M471" i="6"/>
  <c r="N471" i="6" s="1"/>
  <c r="M493" i="6"/>
  <c r="N493" i="6" s="1"/>
  <c r="M732" i="6"/>
  <c r="N732" i="6" s="1"/>
  <c r="M748" i="6"/>
  <c r="N748" i="6" s="1"/>
  <c r="M764" i="6"/>
  <c r="N764" i="6" s="1"/>
  <c r="M808" i="6"/>
  <c r="N808" i="6" s="1"/>
  <c r="M934" i="6"/>
  <c r="N934" i="6" s="1"/>
  <c r="M950" i="6"/>
  <c r="N950" i="6" s="1"/>
  <c r="M966" i="6"/>
  <c r="N966" i="6" s="1"/>
  <c r="M982" i="6"/>
  <c r="N982" i="6" s="1"/>
  <c r="M20" i="6"/>
  <c r="N20" i="6" s="1"/>
  <c r="M24" i="6"/>
  <c r="N24" i="6" s="1"/>
  <c r="M27" i="6"/>
  <c r="N27" i="6" s="1"/>
  <c r="M9" i="6"/>
  <c r="N9" i="6" s="1"/>
  <c r="M12" i="6"/>
  <c r="N12" i="6" s="1"/>
  <c r="M16" i="6"/>
  <c r="N16" i="6" s="1"/>
  <c r="M19" i="6"/>
  <c r="N19" i="6" s="1"/>
  <c r="M23" i="6"/>
  <c r="N23" i="6" s="1"/>
  <c r="M26" i="6"/>
  <c r="N26" i="6" s="1"/>
  <c r="M30" i="6"/>
  <c r="N30" i="6" s="1"/>
  <c r="M37" i="6"/>
  <c r="N37" i="6" s="1"/>
  <c r="M41" i="6"/>
  <c r="N41" i="6" s="1"/>
  <c r="M44" i="6"/>
  <c r="N44" i="6" s="1"/>
  <c r="M48" i="6"/>
  <c r="N48" i="6" s="1"/>
  <c r="M52" i="6"/>
  <c r="N52" i="6" s="1"/>
  <c r="M56" i="6"/>
  <c r="N56" i="6" s="1"/>
  <c r="M60" i="6"/>
  <c r="N60" i="6" s="1"/>
  <c r="M64" i="6"/>
  <c r="N64" i="6" s="1"/>
  <c r="M69" i="6"/>
  <c r="N69" i="6" s="1"/>
  <c r="M77" i="6"/>
  <c r="N77" i="6" s="1"/>
  <c r="M85" i="6"/>
  <c r="N85" i="6" s="1"/>
  <c r="M93" i="6"/>
  <c r="N93" i="6" s="1"/>
  <c r="M101" i="6"/>
  <c r="N101" i="6" s="1"/>
  <c r="M109" i="6"/>
  <c r="N109" i="6" s="1"/>
  <c r="M117" i="6"/>
  <c r="N117" i="6" s="1"/>
  <c r="M125" i="6"/>
  <c r="N125" i="6" s="1"/>
  <c r="M133" i="6"/>
  <c r="N133" i="6" s="1"/>
  <c r="M141" i="6"/>
  <c r="N141" i="6" s="1"/>
  <c r="M149" i="6"/>
  <c r="N149" i="6" s="1"/>
  <c r="M157" i="6"/>
  <c r="N157" i="6" s="1"/>
  <c r="M165" i="6"/>
  <c r="N165" i="6" s="1"/>
  <c r="M173" i="6"/>
  <c r="N173" i="6" s="1"/>
  <c r="M181" i="6"/>
  <c r="N181" i="6" s="1"/>
  <c r="M189" i="6"/>
  <c r="N189" i="6" s="1"/>
  <c r="M197" i="6"/>
  <c r="N197" i="6" s="1"/>
  <c r="M205" i="6"/>
  <c r="N205" i="6" s="1"/>
  <c r="M210" i="6"/>
  <c r="N210" i="6" s="1"/>
  <c r="M214" i="6"/>
  <c r="N214" i="6" s="1"/>
  <c r="M218" i="6"/>
  <c r="N218" i="6" s="1"/>
  <c r="M222" i="6"/>
  <c r="N222" i="6" s="1"/>
  <c r="M226" i="6"/>
  <c r="N226" i="6" s="1"/>
  <c r="M230" i="6"/>
  <c r="N230" i="6" s="1"/>
  <c r="M234" i="6"/>
  <c r="N234" i="6" s="1"/>
  <c r="M238" i="6"/>
  <c r="N238" i="6" s="1"/>
  <c r="M242" i="6"/>
  <c r="N242" i="6" s="1"/>
  <c r="M246" i="6"/>
  <c r="N246" i="6" s="1"/>
  <c r="M250" i="6"/>
  <c r="N250" i="6" s="1"/>
  <c r="M254" i="6"/>
  <c r="N254" i="6" s="1"/>
  <c r="M258" i="6"/>
  <c r="N258" i="6" s="1"/>
  <c r="M262" i="6"/>
  <c r="N262" i="6" s="1"/>
  <c r="M266" i="6"/>
  <c r="N266" i="6" s="1"/>
  <c r="M270" i="6"/>
  <c r="N270" i="6" s="1"/>
  <c r="M274" i="6"/>
  <c r="N274" i="6" s="1"/>
  <c r="M278" i="6"/>
  <c r="N278" i="6" s="1"/>
  <c r="M282" i="6"/>
  <c r="N282" i="6" s="1"/>
  <c r="M286" i="6"/>
  <c r="N286" i="6" s="1"/>
  <c r="M290" i="6"/>
  <c r="N290" i="6" s="1"/>
  <c r="M294" i="6"/>
  <c r="N294" i="6" s="1"/>
  <c r="M298" i="6"/>
  <c r="N298" i="6" s="1"/>
  <c r="M302" i="6"/>
  <c r="N302" i="6" s="1"/>
  <c r="M306" i="6"/>
  <c r="N306" i="6" s="1"/>
  <c r="M310" i="6"/>
  <c r="N310" i="6" s="1"/>
  <c r="M314" i="6"/>
  <c r="N314" i="6" s="1"/>
  <c r="M330" i="6"/>
  <c r="N330" i="6" s="1"/>
  <c r="M346" i="6"/>
  <c r="N346" i="6" s="1"/>
  <c r="M362" i="6"/>
  <c r="N362" i="6" s="1"/>
  <c r="M378" i="6"/>
  <c r="N378" i="6" s="1"/>
  <c r="M394" i="6"/>
  <c r="N394" i="6" s="1"/>
  <c r="M410" i="6"/>
  <c r="N410" i="6" s="1"/>
  <c r="M437" i="6"/>
  <c r="N437" i="6" s="1"/>
  <c r="M447" i="6"/>
  <c r="N447" i="6" s="1"/>
  <c r="M469" i="6"/>
  <c r="N469" i="6" s="1"/>
  <c r="M479" i="6"/>
  <c r="N479" i="6" s="1"/>
  <c r="M501" i="6"/>
  <c r="N501" i="6" s="1"/>
  <c r="M511" i="6"/>
  <c r="N511" i="6" s="1"/>
  <c r="M533" i="6"/>
  <c r="N533" i="6" s="1"/>
  <c r="M539" i="6"/>
  <c r="N539" i="6" s="1"/>
  <c r="M68" i="6"/>
  <c r="N68" i="6" s="1"/>
  <c r="M72" i="6"/>
  <c r="N72" i="6" s="1"/>
  <c r="M76" i="6"/>
  <c r="N76" i="6" s="1"/>
  <c r="M80" i="6"/>
  <c r="N80" i="6" s="1"/>
  <c r="M84" i="6"/>
  <c r="N84" i="6" s="1"/>
  <c r="M88" i="6"/>
  <c r="N88" i="6" s="1"/>
  <c r="M92" i="6"/>
  <c r="N92" i="6" s="1"/>
  <c r="M96" i="6"/>
  <c r="N96" i="6" s="1"/>
  <c r="M100" i="6"/>
  <c r="N100" i="6" s="1"/>
  <c r="M104" i="6"/>
  <c r="N104" i="6" s="1"/>
  <c r="M108" i="6"/>
  <c r="N108" i="6" s="1"/>
  <c r="M112" i="6"/>
  <c r="N112" i="6" s="1"/>
  <c r="M116" i="6"/>
  <c r="N116" i="6" s="1"/>
  <c r="M120" i="6"/>
  <c r="N120" i="6" s="1"/>
  <c r="M124" i="6"/>
  <c r="N124" i="6" s="1"/>
  <c r="M128" i="6"/>
  <c r="N128" i="6" s="1"/>
  <c r="M132" i="6"/>
  <c r="N132" i="6" s="1"/>
  <c r="M136" i="6"/>
  <c r="N136" i="6" s="1"/>
  <c r="M140" i="6"/>
  <c r="N140" i="6" s="1"/>
  <c r="M144" i="6"/>
  <c r="N144" i="6" s="1"/>
  <c r="M148" i="6"/>
  <c r="N148" i="6" s="1"/>
  <c r="M152" i="6"/>
  <c r="N152" i="6" s="1"/>
  <c r="M156" i="6"/>
  <c r="N156" i="6" s="1"/>
  <c r="M160" i="6"/>
  <c r="N160" i="6" s="1"/>
  <c r="M164" i="6"/>
  <c r="N164" i="6" s="1"/>
  <c r="M168" i="6"/>
  <c r="N168" i="6" s="1"/>
  <c r="M172" i="6"/>
  <c r="N172" i="6" s="1"/>
  <c r="M176" i="6"/>
  <c r="N176" i="6" s="1"/>
  <c r="M180" i="6"/>
  <c r="N180" i="6" s="1"/>
  <c r="M184" i="6"/>
  <c r="N184" i="6" s="1"/>
  <c r="M188" i="6"/>
  <c r="N188" i="6" s="1"/>
  <c r="M192" i="6"/>
  <c r="N192" i="6" s="1"/>
  <c r="M196" i="6"/>
  <c r="N196" i="6" s="1"/>
  <c r="M200" i="6"/>
  <c r="N200" i="6" s="1"/>
  <c r="M204" i="6"/>
  <c r="N204" i="6" s="1"/>
  <c r="M207" i="6"/>
  <c r="N207" i="6" s="1"/>
  <c r="M326" i="6"/>
  <c r="N326" i="6" s="1"/>
  <c r="N331" i="6"/>
  <c r="M342" i="6"/>
  <c r="N342" i="6" s="1"/>
  <c r="N347" i="6"/>
  <c r="M358" i="6"/>
  <c r="N358" i="6" s="1"/>
  <c r="N363" i="6"/>
  <c r="M374" i="6"/>
  <c r="N374" i="6" s="1"/>
  <c r="N379" i="6"/>
  <c r="M390" i="6"/>
  <c r="N390" i="6" s="1"/>
  <c r="N395" i="6"/>
  <c r="M406" i="6"/>
  <c r="N406" i="6" s="1"/>
  <c r="M423" i="6"/>
  <c r="N423" i="6" s="1"/>
  <c r="M445" i="6"/>
  <c r="N445" i="6" s="1"/>
  <c r="M455" i="6"/>
  <c r="N455" i="6" s="1"/>
  <c r="M477" i="6"/>
  <c r="N477" i="6" s="1"/>
  <c r="M487" i="6"/>
  <c r="N487" i="6" s="1"/>
  <c r="M509" i="6"/>
  <c r="N509" i="6" s="1"/>
  <c r="M519" i="6"/>
  <c r="N519" i="6" s="1"/>
  <c r="N206" i="6"/>
  <c r="M211" i="6"/>
  <c r="N211" i="6" s="1"/>
  <c r="M215" i="6"/>
  <c r="N215" i="6" s="1"/>
  <c r="M219" i="6"/>
  <c r="N219" i="6" s="1"/>
  <c r="M223" i="6"/>
  <c r="N223" i="6" s="1"/>
  <c r="M227" i="6"/>
  <c r="N227" i="6" s="1"/>
  <c r="M231" i="6"/>
  <c r="N231" i="6" s="1"/>
  <c r="M235" i="6"/>
  <c r="N235" i="6" s="1"/>
  <c r="M239" i="6"/>
  <c r="N239" i="6" s="1"/>
  <c r="M243" i="6"/>
  <c r="N243" i="6" s="1"/>
  <c r="M247" i="6"/>
  <c r="N247" i="6" s="1"/>
  <c r="M251" i="6"/>
  <c r="N251" i="6" s="1"/>
  <c r="M255" i="6"/>
  <c r="N255" i="6" s="1"/>
  <c r="M259" i="6"/>
  <c r="N259" i="6" s="1"/>
  <c r="M263" i="6"/>
  <c r="N263" i="6" s="1"/>
  <c r="M267" i="6"/>
  <c r="N267" i="6" s="1"/>
  <c r="M271" i="6"/>
  <c r="N271" i="6" s="1"/>
  <c r="M275" i="6"/>
  <c r="N275" i="6" s="1"/>
  <c r="M279" i="6"/>
  <c r="N279" i="6" s="1"/>
  <c r="M283" i="6"/>
  <c r="N283" i="6" s="1"/>
  <c r="M287" i="6"/>
  <c r="N287" i="6" s="1"/>
  <c r="M291" i="6"/>
  <c r="N291" i="6" s="1"/>
  <c r="M295" i="6"/>
  <c r="N295" i="6" s="1"/>
  <c r="M299" i="6"/>
  <c r="N299" i="6" s="1"/>
  <c r="M303" i="6"/>
  <c r="N303" i="6" s="1"/>
  <c r="M307" i="6"/>
  <c r="N307" i="6" s="1"/>
  <c r="M311" i="6"/>
  <c r="N311" i="6" s="1"/>
  <c r="M315" i="6"/>
  <c r="N315" i="6" s="1"/>
  <c r="M322" i="6"/>
  <c r="N322" i="6" s="1"/>
  <c r="N327" i="6"/>
  <c r="M338" i="6"/>
  <c r="N338" i="6" s="1"/>
  <c r="N343" i="6"/>
  <c r="M354" i="6"/>
  <c r="N354" i="6" s="1"/>
  <c r="N359" i="6"/>
  <c r="M370" i="6"/>
  <c r="N370" i="6" s="1"/>
  <c r="N375" i="6"/>
  <c r="M386" i="6"/>
  <c r="N386" i="6" s="1"/>
  <c r="N391" i="6"/>
  <c r="M402" i="6"/>
  <c r="N402" i="6" s="1"/>
  <c r="N407" i="6"/>
  <c r="M415" i="6"/>
  <c r="N415" i="6" s="1"/>
  <c r="M421" i="6"/>
  <c r="N421" i="6" s="1"/>
  <c r="M431" i="6"/>
  <c r="N431" i="6" s="1"/>
  <c r="N449" i="6"/>
  <c r="M453" i="6"/>
  <c r="N453" i="6" s="1"/>
  <c r="M463" i="6"/>
  <c r="N463" i="6" s="1"/>
  <c r="N481" i="6"/>
  <c r="M485" i="6"/>
  <c r="N485" i="6" s="1"/>
  <c r="M495" i="6"/>
  <c r="N495" i="6" s="1"/>
  <c r="M517" i="6"/>
  <c r="N517" i="6" s="1"/>
  <c r="M527" i="6"/>
  <c r="N527" i="6" s="1"/>
  <c r="M427" i="6"/>
  <c r="N427" i="6" s="1"/>
  <c r="M435" i="6"/>
  <c r="N435" i="6" s="1"/>
  <c r="M443" i="6"/>
  <c r="N443" i="6" s="1"/>
  <c r="M451" i="6"/>
  <c r="N451" i="6" s="1"/>
  <c r="M459" i="6"/>
  <c r="N459" i="6" s="1"/>
  <c r="M467" i="6"/>
  <c r="N467" i="6" s="1"/>
  <c r="M475" i="6"/>
  <c r="N475" i="6" s="1"/>
  <c r="M483" i="6"/>
  <c r="N483" i="6" s="1"/>
  <c r="M491" i="6"/>
  <c r="N491" i="6" s="1"/>
  <c r="M499" i="6"/>
  <c r="N499" i="6" s="1"/>
  <c r="M507" i="6"/>
  <c r="N507" i="6" s="1"/>
  <c r="M515" i="6"/>
  <c r="N515" i="6" s="1"/>
  <c r="M523" i="6"/>
  <c r="N523" i="6" s="1"/>
  <c r="M531" i="6"/>
  <c r="N531" i="6" s="1"/>
  <c r="M536" i="6"/>
  <c r="N536" i="6" s="1"/>
  <c r="M609" i="6"/>
  <c r="N609" i="6" s="1"/>
  <c r="M621" i="6"/>
  <c r="N621" i="6" s="1"/>
  <c r="M629" i="6"/>
  <c r="N629" i="6" s="1"/>
  <c r="M637" i="6"/>
  <c r="N637" i="6" s="1"/>
  <c r="M645" i="6"/>
  <c r="N645" i="6" s="1"/>
  <c r="M653" i="6"/>
  <c r="N653" i="6" s="1"/>
  <c r="M661" i="6"/>
  <c r="N661" i="6" s="1"/>
  <c r="M669" i="6"/>
  <c r="N669" i="6" s="1"/>
  <c r="M677" i="6"/>
  <c r="N677" i="6" s="1"/>
  <c r="M685" i="6"/>
  <c r="N685" i="6" s="1"/>
  <c r="M693" i="6"/>
  <c r="N693" i="6" s="1"/>
  <c r="M701" i="6"/>
  <c r="N701" i="6" s="1"/>
  <c r="M709" i="6"/>
  <c r="N709" i="6" s="1"/>
  <c r="M717" i="6"/>
  <c r="N717" i="6" s="1"/>
  <c r="M720" i="6"/>
  <c r="N720" i="6" s="1"/>
  <c r="M736" i="6"/>
  <c r="N736" i="6" s="1"/>
  <c r="M752" i="6"/>
  <c r="N752" i="6" s="1"/>
  <c r="M768" i="6"/>
  <c r="N768" i="6" s="1"/>
  <c r="N414" i="6"/>
  <c r="N422" i="6"/>
  <c r="M424" i="6"/>
  <c r="N424" i="6" s="1"/>
  <c r="N428" i="6"/>
  <c r="M432" i="6"/>
  <c r="N432" i="6" s="1"/>
  <c r="N436" i="6"/>
  <c r="M440" i="6"/>
  <c r="N440" i="6" s="1"/>
  <c r="N444" i="6"/>
  <c r="M448" i="6"/>
  <c r="N448" i="6" s="1"/>
  <c r="N452" i="6"/>
  <c r="M456" i="6"/>
  <c r="N456" i="6" s="1"/>
  <c r="N460" i="6"/>
  <c r="M464" i="6"/>
  <c r="N464" i="6" s="1"/>
  <c r="N468" i="6"/>
  <c r="M472" i="6"/>
  <c r="N472" i="6" s="1"/>
  <c r="N476" i="6"/>
  <c r="M480" i="6"/>
  <c r="N480" i="6" s="1"/>
  <c r="N484" i="6"/>
  <c r="M488" i="6"/>
  <c r="N488" i="6" s="1"/>
  <c r="N492" i="6"/>
  <c r="M496" i="6"/>
  <c r="N496" i="6" s="1"/>
  <c r="N500" i="6"/>
  <c r="M504" i="6"/>
  <c r="N504" i="6" s="1"/>
  <c r="N508" i="6"/>
  <c r="M512" i="6"/>
  <c r="N512" i="6" s="1"/>
  <c r="N516" i="6"/>
  <c r="M520" i="6"/>
  <c r="N520" i="6" s="1"/>
  <c r="N524" i="6"/>
  <c r="M528" i="6"/>
  <c r="N528" i="6" s="1"/>
  <c r="M593" i="6"/>
  <c r="N593" i="6" s="1"/>
  <c r="M605" i="6"/>
  <c r="N605" i="6" s="1"/>
  <c r="M541" i="6"/>
  <c r="N541" i="6" s="1"/>
  <c r="M589" i="6"/>
  <c r="N589" i="6" s="1"/>
  <c r="M792" i="6"/>
  <c r="N792" i="6" s="1"/>
  <c r="M585" i="6"/>
  <c r="N585" i="6" s="1"/>
  <c r="M601" i="6"/>
  <c r="N601" i="6" s="1"/>
  <c r="M617" i="6"/>
  <c r="N617" i="6" s="1"/>
  <c r="M724" i="6"/>
  <c r="N724" i="6" s="1"/>
  <c r="M740" i="6"/>
  <c r="N740" i="6" s="1"/>
  <c r="M756" i="6"/>
  <c r="N756" i="6" s="1"/>
  <c r="M772" i="6"/>
  <c r="N772" i="6" s="1"/>
  <c r="M789" i="6"/>
  <c r="N789" i="6" s="1"/>
  <c r="N532" i="6"/>
  <c r="N540" i="6"/>
  <c r="M581" i="6"/>
  <c r="N581" i="6" s="1"/>
  <c r="M597" i="6"/>
  <c r="N597" i="6" s="1"/>
  <c r="M613" i="6"/>
  <c r="N613" i="6" s="1"/>
  <c r="M625" i="6"/>
  <c r="N625" i="6" s="1"/>
  <c r="M633" i="6"/>
  <c r="N633" i="6" s="1"/>
  <c r="M641" i="6"/>
  <c r="N641" i="6" s="1"/>
  <c r="M649" i="6"/>
  <c r="N649" i="6" s="1"/>
  <c r="M657" i="6"/>
  <c r="N657" i="6" s="1"/>
  <c r="M665" i="6"/>
  <c r="N665" i="6" s="1"/>
  <c r="M673" i="6"/>
  <c r="N673" i="6" s="1"/>
  <c r="M681" i="6"/>
  <c r="N681" i="6" s="1"/>
  <c r="M689" i="6"/>
  <c r="N689" i="6" s="1"/>
  <c r="M697" i="6"/>
  <c r="N697" i="6" s="1"/>
  <c r="M705" i="6"/>
  <c r="N705" i="6" s="1"/>
  <c r="M713" i="6"/>
  <c r="N713" i="6" s="1"/>
  <c r="M728" i="6"/>
  <c r="N728" i="6" s="1"/>
  <c r="M744" i="6"/>
  <c r="N744" i="6" s="1"/>
  <c r="M760" i="6"/>
  <c r="N760" i="6" s="1"/>
  <c r="M776" i="6"/>
  <c r="N776" i="6" s="1"/>
  <c r="M780" i="6"/>
  <c r="N780" i="6" s="1"/>
  <c r="M796" i="6"/>
  <c r="N796" i="6" s="1"/>
  <c r="M812" i="6"/>
  <c r="N812" i="6" s="1"/>
  <c r="M624" i="6"/>
  <c r="N624" i="6" s="1"/>
  <c r="M628" i="6"/>
  <c r="N628" i="6" s="1"/>
  <c r="M632" i="6"/>
  <c r="N632" i="6" s="1"/>
  <c r="M636" i="6"/>
  <c r="N636" i="6" s="1"/>
  <c r="M640" i="6"/>
  <c r="N640" i="6" s="1"/>
  <c r="M644" i="6"/>
  <c r="N644" i="6" s="1"/>
  <c r="M648" i="6"/>
  <c r="N648" i="6" s="1"/>
  <c r="M652" i="6"/>
  <c r="N652" i="6" s="1"/>
  <c r="M656" i="6"/>
  <c r="N656" i="6" s="1"/>
  <c r="M660" i="6"/>
  <c r="N660" i="6" s="1"/>
  <c r="M664" i="6"/>
  <c r="N664" i="6" s="1"/>
  <c r="M668" i="6"/>
  <c r="N668" i="6" s="1"/>
  <c r="M672" i="6"/>
  <c r="N672" i="6" s="1"/>
  <c r="M676" i="6"/>
  <c r="N676" i="6" s="1"/>
  <c r="M680" i="6"/>
  <c r="N680" i="6" s="1"/>
  <c r="M684" i="6"/>
  <c r="N684" i="6" s="1"/>
  <c r="M688" i="6"/>
  <c r="N688" i="6" s="1"/>
  <c r="M692" i="6"/>
  <c r="N692" i="6" s="1"/>
  <c r="M696" i="6"/>
  <c r="N696" i="6" s="1"/>
  <c r="M700" i="6"/>
  <c r="N700" i="6" s="1"/>
  <c r="M704" i="6"/>
  <c r="N704" i="6" s="1"/>
  <c r="M708" i="6"/>
  <c r="N708" i="6" s="1"/>
  <c r="M712" i="6"/>
  <c r="N712" i="6" s="1"/>
  <c r="M716" i="6"/>
  <c r="N716" i="6" s="1"/>
  <c r="M721" i="6"/>
  <c r="N721" i="6" s="1"/>
  <c r="M725" i="6"/>
  <c r="N725" i="6" s="1"/>
  <c r="M729" i="6"/>
  <c r="N729" i="6" s="1"/>
  <c r="M733" i="6"/>
  <c r="N733" i="6" s="1"/>
  <c r="M737" i="6"/>
  <c r="N737" i="6" s="1"/>
  <c r="M741" i="6"/>
  <c r="N741" i="6" s="1"/>
  <c r="M745" i="6"/>
  <c r="N745" i="6" s="1"/>
  <c r="M749" i="6"/>
  <c r="N749" i="6" s="1"/>
  <c r="M753" i="6"/>
  <c r="N753" i="6" s="1"/>
  <c r="M757" i="6"/>
  <c r="N757" i="6" s="1"/>
  <c r="M761" i="6"/>
  <c r="N761" i="6" s="1"/>
  <c r="M765" i="6"/>
  <c r="N765" i="6" s="1"/>
  <c r="M769" i="6"/>
  <c r="N769" i="6" s="1"/>
  <c r="M773" i="6"/>
  <c r="N773" i="6" s="1"/>
  <c r="M777" i="6"/>
  <c r="N777" i="6" s="1"/>
  <c r="M784" i="6"/>
  <c r="N784" i="6" s="1"/>
  <c r="M793" i="6"/>
  <c r="N793" i="6" s="1"/>
  <c r="M800" i="6"/>
  <c r="N800" i="6" s="1"/>
  <c r="M816" i="6"/>
  <c r="N816" i="6" s="1"/>
  <c r="N719" i="6"/>
  <c r="M781" i="6"/>
  <c r="N781" i="6" s="1"/>
  <c r="N785" i="6"/>
  <c r="M788" i="6"/>
  <c r="N788" i="6" s="1"/>
  <c r="N801" i="6"/>
  <c r="M804" i="6"/>
  <c r="N804" i="6" s="1"/>
  <c r="N817" i="6"/>
  <c r="M820" i="6"/>
  <c r="N820" i="6" s="1"/>
  <c r="N824" i="6"/>
  <c r="N823" i="6"/>
  <c r="N831" i="6"/>
  <c r="N839" i="6"/>
  <c r="M930" i="6"/>
  <c r="N930" i="6" s="1"/>
  <c r="N935" i="6"/>
  <c r="M946" i="6"/>
  <c r="N946" i="6" s="1"/>
  <c r="N951" i="6"/>
  <c r="M962" i="6"/>
  <c r="N962" i="6" s="1"/>
  <c r="N967" i="6"/>
  <c r="M978" i="6"/>
  <c r="N978" i="6" s="1"/>
  <c r="N983" i="6"/>
  <c r="M990" i="6"/>
  <c r="N990" i="6" s="1"/>
  <c r="M846" i="6"/>
  <c r="N846" i="6" s="1"/>
  <c r="M850" i="6"/>
  <c r="N850" i="6" s="1"/>
  <c r="M854" i="6"/>
  <c r="N854" i="6" s="1"/>
  <c r="M858" i="6"/>
  <c r="N858" i="6" s="1"/>
  <c r="M862" i="6"/>
  <c r="N862" i="6" s="1"/>
  <c r="M866" i="6"/>
  <c r="N866" i="6" s="1"/>
  <c r="M870" i="6"/>
  <c r="N870" i="6" s="1"/>
  <c r="M874" i="6"/>
  <c r="N874" i="6" s="1"/>
  <c r="M878" i="6"/>
  <c r="N878" i="6" s="1"/>
  <c r="M882" i="6"/>
  <c r="N882" i="6" s="1"/>
  <c r="M886" i="6"/>
  <c r="N886" i="6" s="1"/>
  <c r="M890" i="6"/>
  <c r="N890" i="6" s="1"/>
  <c r="M894" i="6"/>
  <c r="N894" i="6" s="1"/>
  <c r="M898" i="6"/>
  <c r="N898" i="6" s="1"/>
  <c r="M902" i="6"/>
  <c r="N902" i="6" s="1"/>
  <c r="M906" i="6"/>
  <c r="N906" i="6" s="1"/>
  <c r="M910" i="6"/>
  <c r="N910" i="6" s="1"/>
  <c r="M914" i="6"/>
  <c r="N914" i="6" s="1"/>
  <c r="M918" i="6"/>
  <c r="N918" i="6" s="1"/>
  <c r="M922" i="6"/>
  <c r="N922" i="6" s="1"/>
  <c r="M926" i="6"/>
  <c r="N926" i="6" s="1"/>
  <c r="N931" i="6"/>
  <c r="M942" i="6"/>
  <c r="N942" i="6" s="1"/>
  <c r="N947" i="6"/>
  <c r="M958" i="6"/>
  <c r="N958" i="6" s="1"/>
  <c r="N963" i="6"/>
  <c r="M974" i="6"/>
  <c r="N974" i="6" s="1"/>
  <c r="N979" i="6"/>
  <c r="N991" i="6"/>
  <c r="N827" i="6"/>
  <c r="N835" i="6"/>
  <c r="N843" i="6"/>
  <c r="N847" i="6"/>
  <c r="N851" i="6"/>
  <c r="N855" i="6"/>
  <c r="N859" i="6"/>
  <c r="N863" i="6"/>
  <c r="N867" i="6"/>
  <c r="N871" i="6"/>
  <c r="N875" i="6"/>
  <c r="N879" i="6"/>
  <c r="N883" i="6"/>
  <c r="N887" i="6"/>
  <c r="N891" i="6"/>
  <c r="N895" i="6"/>
  <c r="N899" i="6"/>
  <c r="N903" i="6"/>
  <c r="N907" i="6"/>
  <c r="N911" i="6"/>
  <c r="N915" i="6"/>
  <c r="N919" i="6"/>
  <c r="N923" i="6"/>
  <c r="N927" i="6"/>
  <c r="M938" i="6"/>
  <c r="N938" i="6" s="1"/>
  <c r="N943" i="6"/>
  <c r="M954" i="6"/>
  <c r="N954" i="6" s="1"/>
  <c r="N959" i="6"/>
  <c r="M970" i="6"/>
  <c r="N970" i="6" s="1"/>
  <c r="N975" i="6"/>
  <c r="M986" i="6"/>
  <c r="N986" i="6" s="1"/>
  <c r="M989" i="6"/>
  <c r="N989" i="6" s="1"/>
  <c r="M878" i="1"/>
  <c r="M754" i="1"/>
  <c r="M638" i="1"/>
  <c r="M982" i="1"/>
  <c r="M942" i="1"/>
  <c r="M890" i="1"/>
  <c r="M850" i="1"/>
  <c r="M810" i="1"/>
  <c r="M774" i="1"/>
  <c r="M734" i="1"/>
  <c r="M686" i="1"/>
  <c r="M646" i="1"/>
  <c r="M610" i="1"/>
  <c r="M570" i="1"/>
  <c r="M530" i="1"/>
  <c r="M308" i="1"/>
  <c r="M990" i="1"/>
  <c r="M978" i="1"/>
  <c r="M970" i="1"/>
  <c r="M958" i="1"/>
  <c r="M946" i="1"/>
  <c r="M934" i="1"/>
  <c r="M922" i="1"/>
  <c r="M910" i="1"/>
  <c r="M894" i="1"/>
  <c r="M882" i="1"/>
  <c r="M874" i="1"/>
  <c r="M866" i="1"/>
  <c r="M858" i="1"/>
  <c r="M846" i="1"/>
  <c r="M838" i="1"/>
  <c r="M826" i="1"/>
  <c r="M814" i="1"/>
  <c r="M806" i="1"/>
  <c r="M798" i="1"/>
  <c r="M786" i="1"/>
  <c r="M778" i="1"/>
  <c r="M766" i="1"/>
  <c r="M758" i="1"/>
  <c r="M750" i="1"/>
  <c r="M738" i="1"/>
  <c r="M730" i="1"/>
  <c r="M714" i="1"/>
  <c r="M702" i="1"/>
  <c r="M690" i="1"/>
  <c r="M682" i="1"/>
  <c r="M674" i="1"/>
  <c r="M666" i="1"/>
  <c r="M650" i="1"/>
  <c r="M642" i="1"/>
  <c r="M634" i="1"/>
  <c r="M626" i="1"/>
  <c r="M614" i="1"/>
  <c r="M606" i="1"/>
  <c r="M598" i="1"/>
  <c r="M590" i="1"/>
  <c r="M578" i="1"/>
  <c r="M566" i="1"/>
  <c r="M558" i="1"/>
  <c r="M546" i="1"/>
  <c r="M534" i="1"/>
  <c r="B1" i="7" l="1"/>
</calcChain>
</file>

<file path=xl/sharedStrings.xml><?xml version="1.0" encoding="utf-8"?>
<sst xmlns="http://schemas.openxmlformats.org/spreadsheetml/2006/main" count="19600" uniqueCount="1390">
  <si>
    <t>Order_ID</t>
  </si>
  <si>
    <t>City</t>
  </si>
  <si>
    <t>Region</t>
  </si>
  <si>
    <t>Category</t>
  </si>
  <si>
    <t>Product</t>
  </si>
  <si>
    <t>Unit_Price</t>
  </si>
  <si>
    <t>Quantity</t>
  </si>
  <si>
    <t>Discount_%</t>
  </si>
  <si>
    <t>Payment_Method</t>
  </si>
  <si>
    <t>Order_Status</t>
  </si>
  <si>
    <t>Sales_Rep</t>
  </si>
  <si>
    <t>ORD-1000</t>
  </si>
  <si>
    <t>Dhanushka Silva</t>
  </si>
  <si>
    <t>Colombo</t>
  </si>
  <si>
    <t>Western</t>
  </si>
  <si>
    <t>Books</t>
  </si>
  <si>
    <t>Cook Book</t>
  </si>
  <si>
    <t>Mobile Payment</t>
  </si>
  <si>
    <t>Completed</t>
  </si>
  <si>
    <t>Thilini Bandara</t>
  </si>
  <si>
    <t>ORD-1001</t>
  </si>
  <si>
    <t>Nimali Perera</t>
  </si>
  <si>
    <t>Kandy</t>
  </si>
  <si>
    <t>Central</t>
  </si>
  <si>
    <t>Clothing</t>
  </si>
  <si>
    <t>Jeans</t>
  </si>
  <si>
    <t>Credit Card</t>
  </si>
  <si>
    <t>Cancelled</t>
  </si>
  <si>
    <t>ORD-1002</t>
  </si>
  <si>
    <t>Trincomalee</t>
  </si>
  <si>
    <t>Eastern</t>
  </si>
  <si>
    <t>Food &amp; Beverage</t>
  </si>
  <si>
    <t>Rice 5kg</t>
  </si>
  <si>
    <t>Online Transfer</t>
  </si>
  <si>
    <t>Kavya Fernando</t>
  </si>
  <si>
    <t>ORD-1003</t>
  </si>
  <si>
    <t>Electronics</t>
  </si>
  <si>
    <t>Headphones</t>
  </si>
  <si>
    <t>Debit Card</t>
  </si>
  <si>
    <t>Refunded</t>
  </si>
  <si>
    <t>Amara Perera</t>
  </si>
  <si>
    <t>ORD-1004</t>
  </si>
  <si>
    <t>Saman Bandara</t>
  </si>
  <si>
    <t>Home &amp; Garden</t>
  </si>
  <si>
    <t>Pillow Set</t>
  </si>
  <si>
    <t>ORD-1005</t>
  </si>
  <si>
    <t>Thilini Jayasuriya</t>
  </si>
  <si>
    <t>Jaffna</t>
  </si>
  <si>
    <t>Northern</t>
  </si>
  <si>
    <t>Laptop</t>
  </si>
  <si>
    <t>ORD-1006</t>
  </si>
  <si>
    <t>Negombo</t>
  </si>
  <si>
    <t>Pending</t>
  </si>
  <si>
    <t>Dinesh Silva</t>
  </si>
  <si>
    <t>ORD-1007</t>
  </si>
  <si>
    <t>Saman Dissanayake</t>
  </si>
  <si>
    <t>History Book</t>
  </si>
  <si>
    <t>ORD-1008</t>
  </si>
  <si>
    <t>Bandara Wickramasinghe</t>
  </si>
  <si>
    <t>Dress</t>
  </si>
  <si>
    <t>Ruwan Jayasuriya</t>
  </si>
  <si>
    <t>ORD-1009</t>
  </si>
  <si>
    <t>Pradeep Fernando</t>
  </si>
  <si>
    <t>ORD-1011</t>
  </si>
  <si>
    <t>Kamal Dissanayake</t>
  </si>
  <si>
    <t>Kurunegala</t>
  </si>
  <si>
    <t>North Western</t>
  </si>
  <si>
    <t>Gym Bag</t>
  </si>
  <si>
    <t>Cash</t>
  </si>
  <si>
    <t>ORD-1012</t>
  </si>
  <si>
    <t>Spices Pack</t>
  </si>
  <si>
    <t>ORD-1013</t>
  </si>
  <si>
    <t>Health &amp; Beauty</t>
  </si>
  <si>
    <t>Toothpaste</t>
  </si>
  <si>
    <t>ORD-1014</t>
  </si>
  <si>
    <t>Nadeesha Rajapaksa</t>
  </si>
  <si>
    <t>Badulla</t>
  </si>
  <si>
    <t>Uva</t>
  </si>
  <si>
    <t>Smartphone</t>
  </si>
  <si>
    <t>ORD-1015</t>
  </si>
  <si>
    <t>Kamal Kumara</t>
  </si>
  <si>
    <t>Face Cream</t>
  </si>
  <si>
    <t>ORD-1016</t>
  </si>
  <si>
    <t>Ratnapura</t>
  </si>
  <si>
    <t>Sabaragamuwa</t>
  </si>
  <si>
    <t>ORD-1017</t>
  </si>
  <si>
    <t>Thilini Pathirana</t>
  </si>
  <si>
    <t>Matara</t>
  </si>
  <si>
    <t>Southern</t>
  </si>
  <si>
    <t>Lamp</t>
  </si>
  <si>
    <t>ORD-1018</t>
  </si>
  <si>
    <t>Hasini Jayasuriya</t>
  </si>
  <si>
    <t>T-Shirt</t>
  </si>
  <si>
    <t>ORD-1019</t>
  </si>
  <si>
    <t>Dinesh Jayasuriya</t>
  </si>
  <si>
    <t>Self Help</t>
  </si>
  <si>
    <t>ORD-1021</t>
  </si>
  <si>
    <t>Dhanushka Pathirana</t>
  </si>
  <si>
    <t>electronics</t>
  </si>
  <si>
    <t>ORD-1022</t>
  </si>
  <si>
    <t>Galle</t>
  </si>
  <si>
    <t>ORD-1023</t>
  </si>
  <si>
    <t>Shampoo</t>
  </si>
  <si>
    <t>ORD-1024</t>
  </si>
  <si>
    <t>Sanduni Dissanayake</t>
  </si>
  <si>
    <t>Garden Hose</t>
  </si>
  <si>
    <t>ORD-1025</t>
  </si>
  <si>
    <t>Asela Gunasekara</t>
  </si>
  <si>
    <t>Saree</t>
  </si>
  <si>
    <t>ORD-1026</t>
  </si>
  <si>
    <t>Sports</t>
  </si>
  <si>
    <t>Running Shoes</t>
  </si>
  <si>
    <t>ORD-1027</t>
  </si>
  <si>
    <t>Smart TV</t>
  </si>
  <si>
    <t>ORD-1028</t>
  </si>
  <si>
    <t>Rajith Senanayake</t>
  </si>
  <si>
    <t>Coffee 250g</t>
  </si>
  <si>
    <t>ORD-1029</t>
  </si>
  <si>
    <t>Dhanushka Wickramasinghe</t>
  </si>
  <si>
    <t>ORD-1031</t>
  </si>
  <si>
    <t>Malika Senanayake</t>
  </si>
  <si>
    <t>Camera</t>
  </si>
  <si>
    <t>ORD-1032</t>
  </si>
  <si>
    <t>ORD-1033</t>
  </si>
  <si>
    <t>ORD-1034</t>
  </si>
  <si>
    <t>ORD-1035</t>
  </si>
  <si>
    <t>Rajith Bandara</t>
  </si>
  <si>
    <t>Curtains</t>
  </si>
  <si>
    <t>ORD-1036</t>
  </si>
  <si>
    <t>Sunscreen</t>
  </si>
  <si>
    <t>ORD-1037</t>
  </si>
  <si>
    <t>Kasun Fernando</t>
  </si>
  <si>
    <t>ORD-1038</t>
  </si>
  <si>
    <t>Nimali Gunasekara</t>
  </si>
  <si>
    <t>Shirt</t>
  </si>
  <si>
    <t>ORD-1039</t>
  </si>
  <si>
    <t>Thilak Wickramasinghe</t>
  </si>
  <si>
    <t>Vitamins</t>
  </si>
  <si>
    <t>ORD-1041</t>
  </si>
  <si>
    <t>Dilini Dissanayake</t>
  </si>
  <si>
    <t>ORD-1042</t>
  </si>
  <si>
    <t>ORD-1043</t>
  </si>
  <si>
    <t>ORD-1044</t>
  </si>
  <si>
    <t>Bandara Pathirana</t>
  </si>
  <si>
    <t>ORD-1045</t>
  </si>
  <si>
    <t>Cookware Set</t>
  </si>
  <si>
    <t>ORD-1046</t>
  </si>
  <si>
    <t>ORD-1047</t>
  </si>
  <si>
    <t>Kasun Perera</t>
  </si>
  <si>
    <t>ORD-1048</t>
  </si>
  <si>
    <t>Asela Kumara</t>
  </si>
  <si>
    <t>ORD-1049</t>
  </si>
  <si>
    <t>Dinesh Gunasekara</t>
  </si>
  <si>
    <t>Football</t>
  </si>
  <si>
    <t>ORD-1051</t>
  </si>
  <si>
    <t>Roshani Gunasekara</t>
  </si>
  <si>
    <t>ORD-1052</t>
  </si>
  <si>
    <t>ORD-1053</t>
  </si>
  <si>
    <t>ORD-1054</t>
  </si>
  <si>
    <t>Bandara Senanayake</t>
  </si>
  <si>
    <t>ORD-1055</t>
  </si>
  <si>
    <t>Hasini Kumara</t>
  </si>
  <si>
    <t>ORD-1056</t>
  </si>
  <si>
    <t>Textbook</t>
  </si>
  <si>
    <t>ORD-1057</t>
  </si>
  <si>
    <t>Rajith Pathirana</t>
  </si>
  <si>
    <t>ORD-1058</t>
  </si>
  <si>
    <t>Chamara Gunasekara</t>
  </si>
  <si>
    <t>ORD-1059</t>
  </si>
  <si>
    <t>Hasini Perera</t>
  </si>
  <si>
    <t>Shorts</t>
  </si>
  <si>
    <t>ORD-1060</t>
  </si>
  <si>
    <t>ORD-1061</t>
  </si>
  <si>
    <t>Nadeesha Senanayake</t>
  </si>
  <si>
    <t>ORD-1062</t>
  </si>
  <si>
    <t>ORD-1063</t>
  </si>
  <si>
    <t>ORD-1064</t>
  </si>
  <si>
    <t>ORD-1065</t>
  </si>
  <si>
    <t>Hasini Gunasekara</t>
  </si>
  <si>
    <t>ORD-1066</t>
  </si>
  <si>
    <t>ORD-1067</t>
  </si>
  <si>
    <t>ORD-1068</t>
  </si>
  <si>
    <t>ORD-1069</t>
  </si>
  <si>
    <t>Ishara Wickramasinghe</t>
  </si>
  <si>
    <t>ORD-1070</t>
  </si>
  <si>
    <t>Saman Wickramasinghe</t>
  </si>
  <si>
    <t>Tea 500g</t>
  </si>
  <si>
    <t>ORD-1071</t>
  </si>
  <si>
    <t>Sanduni Jayasuriya</t>
  </si>
  <si>
    <t>ORD-1072</t>
  </si>
  <si>
    <t>ORD-1073</t>
  </si>
  <si>
    <t>ORD-1074</t>
  </si>
  <si>
    <t>Thilak Fernando</t>
  </si>
  <si>
    <t>ORD-1075</t>
  </si>
  <si>
    <t>Thilini Perera</t>
  </si>
  <si>
    <t>ORD-1076</t>
  </si>
  <si>
    <t>ORD-1077</t>
  </si>
  <si>
    <t>Nadeesha Perera</t>
  </si>
  <si>
    <t>Novel</t>
  </si>
  <si>
    <t>ORD-1078</t>
  </si>
  <si>
    <t>Ishara Fernando</t>
  </si>
  <si>
    <t>ORD-1079</t>
  </si>
  <si>
    <t>ORD-1080</t>
  </si>
  <si>
    <t>Dilini Bandara</t>
  </si>
  <si>
    <t>ORD-1081</t>
  </si>
  <si>
    <t>Kavindi Senanayake</t>
  </si>
  <si>
    <t>ORD-1082</t>
  </si>
  <si>
    <t>Cricket Bat</t>
  </si>
  <si>
    <t>ORD-1083</t>
  </si>
  <si>
    <t>ORD-1084</t>
  </si>
  <si>
    <t>ORD-1085</t>
  </si>
  <si>
    <t>Thilak Pathirana</t>
  </si>
  <si>
    <t>ORD-1086</t>
  </si>
  <si>
    <t>ORD-1087</t>
  </si>
  <si>
    <t>Kumari Perera</t>
  </si>
  <si>
    <t>Yoga Mat</t>
  </si>
  <si>
    <t>ORD-1088</t>
  </si>
  <si>
    <t>Pradeep Bandara</t>
  </si>
  <si>
    <t>ORD-1089</t>
  </si>
  <si>
    <t>Asela Fernando</t>
  </si>
  <si>
    <t>ORD-1090</t>
  </si>
  <si>
    <t>Ruwan Gunasekara</t>
  </si>
  <si>
    <t>ORD-1091</t>
  </si>
  <si>
    <t>Bandara Jayasuriya</t>
  </si>
  <si>
    <t>ORD-1092</t>
  </si>
  <si>
    <t>ORD-1093</t>
  </si>
  <si>
    <t>ORD-1094</t>
  </si>
  <si>
    <t>ORD-1095</t>
  </si>
  <si>
    <t>Dinesh Senanayake</t>
  </si>
  <si>
    <t>ORD-1096</t>
  </si>
  <si>
    <t>ORD-1097</t>
  </si>
  <si>
    <t>Kamal Rajapaksa</t>
  </si>
  <si>
    <t>ORD-1098</t>
  </si>
  <si>
    <t>ORD-1099</t>
  </si>
  <si>
    <t>Malika Perera</t>
  </si>
  <si>
    <t>ORD-1100</t>
  </si>
  <si>
    <t>ORD-1101</t>
  </si>
  <si>
    <t>Ishara Gunasekara</t>
  </si>
  <si>
    <t>ORD-1102</t>
  </si>
  <si>
    <t>Anusha Senanayake</t>
  </si>
  <si>
    <t>ORD-1103</t>
  </si>
  <si>
    <t>Ishara Dissanayake</t>
  </si>
  <si>
    <t>Coconut Oil</t>
  </si>
  <si>
    <t>ORD-1104</t>
  </si>
  <si>
    <t>Thilini Kumara</t>
  </si>
  <si>
    <t>ORD-1105</t>
  </si>
  <si>
    <t>Dhanushka Jayasuriya</t>
  </si>
  <si>
    <t>ORD-1106</t>
  </si>
  <si>
    <t>Kavindi Fernando</t>
  </si>
  <si>
    <t>ORD-1107</t>
  </si>
  <si>
    <t>Dinesh Bandara</t>
  </si>
  <si>
    <t>ORD-1108</t>
  </si>
  <si>
    <t>Kamal Fernando</t>
  </si>
  <si>
    <t>ORD-1109</t>
  </si>
  <si>
    <t>ORD-1110</t>
  </si>
  <si>
    <t>ORD-1111</t>
  </si>
  <si>
    <t>Saman Kumara</t>
  </si>
  <si>
    <t>ORD-1112</t>
  </si>
  <si>
    <t>Ishara Bandara</t>
  </si>
  <si>
    <t>ORD-1113</t>
  </si>
  <si>
    <t>ORD-1114</t>
  </si>
  <si>
    <t>Ishara Rajapaksa</t>
  </si>
  <si>
    <t>ORD-1115</t>
  </si>
  <si>
    <t>Saman Silva</t>
  </si>
  <si>
    <t>ORD-1116</t>
  </si>
  <si>
    <t>Kamal Bandara</t>
  </si>
  <si>
    <t>ORD-1117</t>
  </si>
  <si>
    <t>ORD-1118</t>
  </si>
  <si>
    <t>Ishara Senanayake</t>
  </si>
  <si>
    <t>ORD-1119</t>
  </si>
  <si>
    <t>Saman Rajapaksa</t>
  </si>
  <si>
    <t>ORD-1120</t>
  </si>
  <si>
    <t>Saman Pathirana</t>
  </si>
  <si>
    <t>ORD-1121</t>
  </si>
  <si>
    <t>ORD-1122</t>
  </si>
  <si>
    <t>Nadeesha Bandara</t>
  </si>
  <si>
    <t>ORD-1123</t>
  </si>
  <si>
    <t>Chamara Dissanayake</t>
  </si>
  <si>
    <t>ORD-1124</t>
  </si>
  <si>
    <t>Kumari Rajapaksa</t>
  </si>
  <si>
    <t>ORD-1125</t>
  </si>
  <si>
    <t>Kumari Silva</t>
  </si>
  <si>
    <t>ORD-1126</t>
  </si>
  <si>
    <t>Anusha Pathirana</t>
  </si>
  <si>
    <t>ORD-1127</t>
  </si>
  <si>
    <t>Chamara Fernando</t>
  </si>
  <si>
    <t>ORD-1128</t>
  </si>
  <si>
    <t>ORD-1129</t>
  </si>
  <si>
    <t>Sanduni Wickramasinghe</t>
  </si>
  <si>
    <t>ORD-1130</t>
  </si>
  <si>
    <t>Dhanushka Perera</t>
  </si>
  <si>
    <t>ORD-1131</t>
  </si>
  <si>
    <t>Kavindi Rajapaksa</t>
  </si>
  <si>
    <t>ORD-1132</t>
  </si>
  <si>
    <t>ORD-1133</t>
  </si>
  <si>
    <t>Dilini Wickramasinghe</t>
  </si>
  <si>
    <t>ORD-1134</t>
  </si>
  <si>
    <t>Chamara Wickramasinghe</t>
  </si>
  <si>
    <t>ORD-1135</t>
  </si>
  <si>
    <t>Kumari Fernando</t>
  </si>
  <si>
    <t>ORD-1136</t>
  </si>
  <si>
    <t>Nimali Dissanayake</t>
  </si>
  <si>
    <t>ORD-1137</t>
  </si>
  <si>
    <t>ORD-1138</t>
  </si>
  <si>
    <t>ORD-1139</t>
  </si>
  <si>
    <t>Dinesh Pathirana</t>
  </si>
  <si>
    <t>ORD-1140</t>
  </si>
  <si>
    <t>Pradeep Jayasuriya</t>
  </si>
  <si>
    <t>ORD-1141</t>
  </si>
  <si>
    <t>ORD-1142</t>
  </si>
  <si>
    <t>ORD-1143</t>
  </si>
  <si>
    <t>Anusha Wickramasinghe</t>
  </si>
  <si>
    <t>ORD-1144</t>
  </si>
  <si>
    <t>ORD-1145</t>
  </si>
  <si>
    <t>Thilak Kumara</t>
  </si>
  <si>
    <t>ORD-1146</t>
  </si>
  <si>
    <t>Anusha Rajapaksa</t>
  </si>
  <si>
    <t>ORD-1147</t>
  </si>
  <si>
    <t>Hasini Pathirana</t>
  </si>
  <si>
    <t>ORD-1148</t>
  </si>
  <si>
    <t>Ruwan Rajapaksa</t>
  </si>
  <si>
    <t>ORD-1149</t>
  </si>
  <si>
    <t>ORD-1150</t>
  </si>
  <si>
    <t>Chamara Rajapaksa</t>
  </si>
  <si>
    <t>ORD-1151</t>
  </si>
  <si>
    <t>ORD-1152</t>
  </si>
  <si>
    <t>Sanduni Kumara</t>
  </si>
  <si>
    <t>ORD-1153</t>
  </si>
  <si>
    <t>Nadeesha Wickramasinghe</t>
  </si>
  <si>
    <t>ORD-1154</t>
  </si>
  <si>
    <t>ORD-1155</t>
  </si>
  <si>
    <t>Dhanushka Gunasekara</t>
  </si>
  <si>
    <t>ORD-1156</t>
  </si>
  <si>
    <t>ORD-1157</t>
  </si>
  <si>
    <t>Bandara Bandara</t>
  </si>
  <si>
    <t>ORD-1158</t>
  </si>
  <si>
    <t>Dhanushka Rajapaksa</t>
  </si>
  <si>
    <t>ORD-1159</t>
  </si>
  <si>
    <t>Tablet</t>
  </si>
  <si>
    <t>ORD-1160</t>
  </si>
  <si>
    <t>Malika Jayasuriya</t>
  </si>
  <si>
    <t>ORD-1161</t>
  </si>
  <si>
    <t>ORD-1162</t>
  </si>
  <si>
    <t>Rajith Dissanayake</t>
  </si>
  <si>
    <t>ORD-1163</t>
  </si>
  <si>
    <t>ORD-1164</t>
  </si>
  <si>
    <t>ORD-1165</t>
  </si>
  <si>
    <t>Dhanushka Fernando</t>
  </si>
  <si>
    <t>ORD-1166</t>
  </si>
  <si>
    <t>Nimali Jayasuriya</t>
  </si>
  <si>
    <t>ORD-1167</t>
  </si>
  <si>
    <t>Anusha Perera</t>
  </si>
  <si>
    <t>ORD-1168</t>
  </si>
  <si>
    <t>Roshani Kumara</t>
  </si>
  <si>
    <t>ORD-1169</t>
  </si>
  <si>
    <t>Hasini Wickramasinghe</t>
  </si>
  <si>
    <t>ORD-1170</t>
  </si>
  <si>
    <t>ORD-1171</t>
  </si>
  <si>
    <t>ORD-1172</t>
  </si>
  <si>
    <t>Saman Perera</t>
  </si>
  <si>
    <t>ORD-1173</t>
  </si>
  <si>
    <t>Ruwan Pathirana</t>
  </si>
  <si>
    <t>ORD-1174</t>
  </si>
  <si>
    <t>ORD-1175</t>
  </si>
  <si>
    <t>Pradeep Wickramasinghe</t>
  </si>
  <si>
    <t>ORD-1176</t>
  </si>
  <si>
    <t>ORD-1177</t>
  </si>
  <si>
    <t>ORD-1178</t>
  </si>
  <si>
    <t>ORD-1179</t>
  </si>
  <si>
    <t>Kamal Wickramasinghe</t>
  </si>
  <si>
    <t>ORD-1180</t>
  </si>
  <si>
    <t>Kamal Gunasekara</t>
  </si>
  <si>
    <t>ORD-1181</t>
  </si>
  <si>
    <t>Dinesh Perera</t>
  </si>
  <si>
    <t>ORD-1182</t>
  </si>
  <si>
    <t>ORD-1183</t>
  </si>
  <si>
    <t>Sanduni Senanayake</t>
  </si>
  <si>
    <t>ORD-1184</t>
  </si>
  <si>
    <t>Nimali Pathirana</t>
  </si>
  <si>
    <t>ORD-1185</t>
  </si>
  <si>
    <t>ORD-1186</t>
  </si>
  <si>
    <t>ORD-1187</t>
  </si>
  <si>
    <t>Hasini Silva</t>
  </si>
  <si>
    <t>ORD-1188</t>
  </si>
  <si>
    <t>ORD-1189</t>
  </si>
  <si>
    <t>ORD-1190</t>
  </si>
  <si>
    <t>ORD-1191</t>
  </si>
  <si>
    <t>Ruwan Wickramasinghe</t>
  </si>
  <si>
    <t>ORD-1192</t>
  </si>
  <si>
    <t>ORD-1193</t>
  </si>
  <si>
    <t>Ruwan Silva</t>
  </si>
  <si>
    <t>ORD-1194</t>
  </si>
  <si>
    <t>ORD-1195</t>
  </si>
  <si>
    <t>ORD-1196</t>
  </si>
  <si>
    <t>ORD-1197</t>
  </si>
  <si>
    <t>Kavindi Kumara</t>
  </si>
  <si>
    <t>ORD-1198</t>
  </si>
  <si>
    <t>Roshani Fernando</t>
  </si>
  <si>
    <t>ORD-1199</t>
  </si>
  <si>
    <t>Dilini Jayasuriya</t>
  </si>
  <si>
    <t>ORD-1200</t>
  </si>
  <si>
    <t>ORD-1201</t>
  </si>
  <si>
    <t>Sanduni Gunasekara</t>
  </si>
  <si>
    <t>ORD-1202</t>
  </si>
  <si>
    <t>ORD-1203</t>
  </si>
  <si>
    <t>ORD-1204</t>
  </si>
  <si>
    <t>Asela Silva</t>
  </si>
  <si>
    <t>ORD-1205</t>
  </si>
  <si>
    <t>ORD-1206</t>
  </si>
  <si>
    <t>ORD-1207</t>
  </si>
  <si>
    <t>ORD-1208</t>
  </si>
  <si>
    <t>Kavindi Perera</t>
  </si>
  <si>
    <t>ORD-1209</t>
  </si>
  <si>
    <t>Kasun Wickramasinghe</t>
  </si>
  <si>
    <t>ORD-1210</t>
  </si>
  <si>
    <t>ORD-1211</t>
  </si>
  <si>
    <t>Pradeep Kumara</t>
  </si>
  <si>
    <t>ORD-1212</t>
  </si>
  <si>
    <t>Bandara Dissanayake</t>
  </si>
  <si>
    <t>ORD-1213</t>
  </si>
  <si>
    <t>ORD-1214</t>
  </si>
  <si>
    <t>Pradeep Pathirana</t>
  </si>
  <si>
    <t>ORD-1215</t>
  </si>
  <si>
    <t>Dinesh Kumara</t>
  </si>
  <si>
    <t>ORD-1216</t>
  </si>
  <si>
    <t>ORD-1217</t>
  </si>
  <si>
    <t>Thilini Senanayake</t>
  </si>
  <si>
    <t>ORD-1218</t>
  </si>
  <si>
    <t>ORD-1219</t>
  </si>
  <si>
    <t>Rajith Gunasekara</t>
  </si>
  <si>
    <t>ORD-1220</t>
  </si>
  <si>
    <t>Nimali Bandara</t>
  </si>
  <si>
    <t>ORD-1221</t>
  </si>
  <si>
    <t>Kamal Perera</t>
  </si>
  <si>
    <t>ORD-1222</t>
  </si>
  <si>
    <t>Sanduni Fernando</t>
  </si>
  <si>
    <t>ORD-1223</t>
  </si>
  <si>
    <t>ORD-1224</t>
  </si>
  <si>
    <t>ORD-1225</t>
  </si>
  <si>
    <t>Chamara Kumara</t>
  </si>
  <si>
    <t>ORD-1226</t>
  </si>
  <si>
    <t>ORD-1227</t>
  </si>
  <si>
    <t>Nimali Fernando</t>
  </si>
  <si>
    <t>ORD-1228</t>
  </si>
  <si>
    <t>Malika Fernando</t>
  </si>
  <si>
    <t>ORD-1229</t>
  </si>
  <si>
    <t>Thilini Dissanayake</t>
  </si>
  <si>
    <t>ORD-1230</t>
  </si>
  <si>
    <t>ORD-1231</t>
  </si>
  <si>
    <t>Hasini Dissanayake</t>
  </si>
  <si>
    <t>ORD-1232</t>
  </si>
  <si>
    <t>Anusha Silva</t>
  </si>
  <si>
    <t>ORD-1233</t>
  </si>
  <si>
    <t>Chamara Senanayake</t>
  </si>
  <si>
    <t>ORD-1234</t>
  </si>
  <si>
    <t>Dilini Kumara</t>
  </si>
  <si>
    <t>ORD-1235</t>
  </si>
  <si>
    <t>Bandara Gunasekara</t>
  </si>
  <si>
    <t>ORD-1236</t>
  </si>
  <si>
    <t>Roshani Rajapaksa</t>
  </si>
  <si>
    <t>ORD-1237</t>
  </si>
  <si>
    <t>ORD-1238</t>
  </si>
  <si>
    <t>ORD-1239</t>
  </si>
  <si>
    <t>Ruwan Kumara</t>
  </si>
  <si>
    <t>ORD-1240</t>
  </si>
  <si>
    <t>ORD-1241</t>
  </si>
  <si>
    <t>ORD-1242</t>
  </si>
  <si>
    <t>ORD-1243</t>
  </si>
  <si>
    <t>Dilini Silva</t>
  </si>
  <si>
    <t>ORD-1244</t>
  </si>
  <si>
    <t>Anusha Dissanayake</t>
  </si>
  <si>
    <t>ORD-1245</t>
  </si>
  <si>
    <t>ORD-1246</t>
  </si>
  <si>
    <t>ORD-1247</t>
  </si>
  <si>
    <t>Pradeep Perera</t>
  </si>
  <si>
    <t>ORD-1248</t>
  </si>
  <si>
    <t>ORD-1249</t>
  </si>
  <si>
    <t>ORD-1250</t>
  </si>
  <si>
    <t>Ishara Silva</t>
  </si>
  <si>
    <t>ORD-1251</t>
  </si>
  <si>
    <t>Roshani Jayasuriya</t>
  </si>
  <si>
    <t>ORD-1252</t>
  </si>
  <si>
    <t>Ishara Kumara</t>
  </si>
  <si>
    <t>ORD-1253</t>
  </si>
  <si>
    <t>ORD-1254</t>
  </si>
  <si>
    <t>Dinesh Dissanayake</t>
  </si>
  <si>
    <t>ORD-1255</t>
  </si>
  <si>
    <t>ORD-1256</t>
  </si>
  <si>
    <t>Bandara Fernando</t>
  </si>
  <si>
    <t>ORD-1257</t>
  </si>
  <si>
    <t>Malika Gunasekara</t>
  </si>
  <si>
    <t>ORD-1258</t>
  </si>
  <si>
    <t>ORD-1259</t>
  </si>
  <si>
    <t>Nadeesha Fernando</t>
  </si>
  <si>
    <t>ORD-1260</t>
  </si>
  <si>
    <t>Malika Kumara</t>
  </si>
  <si>
    <t>ORD-1261</t>
  </si>
  <si>
    <t>ORD-1262</t>
  </si>
  <si>
    <t>ORD-1263</t>
  </si>
  <si>
    <t>ORD-1264</t>
  </si>
  <si>
    <t>Asela Bandara</t>
  </si>
  <si>
    <t>ORD-1265</t>
  </si>
  <si>
    <t>ORD-1266</t>
  </si>
  <si>
    <t>ORD-1267</t>
  </si>
  <si>
    <t>Rajith Kumara</t>
  </si>
  <si>
    <t>ORD-1268</t>
  </si>
  <si>
    <t>ORD-1269</t>
  </si>
  <si>
    <t>ORD-1270</t>
  </si>
  <si>
    <t>Unknown</t>
  </si>
  <si>
    <t>ORD-1271</t>
  </si>
  <si>
    <t>ORD-1272</t>
  </si>
  <si>
    <t>Kasun Kumara</t>
  </si>
  <si>
    <t>ORD-1273</t>
  </si>
  <si>
    <t>ORD-1274</t>
  </si>
  <si>
    <t>ORD-1275</t>
  </si>
  <si>
    <t>Thilini Fernando</t>
  </si>
  <si>
    <t>ORD-1276</t>
  </si>
  <si>
    <t>ORD-1277</t>
  </si>
  <si>
    <t>ORD-1278</t>
  </si>
  <si>
    <t>Hasini Bandara</t>
  </si>
  <si>
    <t>ORD-1279</t>
  </si>
  <si>
    <t>ORD-1280</t>
  </si>
  <si>
    <t>ORD-1281</t>
  </si>
  <si>
    <t>ORD-1282</t>
  </si>
  <si>
    <t>ORD-1283</t>
  </si>
  <si>
    <t>Chamara Jayasuriya</t>
  </si>
  <si>
    <t>ORD-1284</t>
  </si>
  <si>
    <t>Rajith Wickramasinghe</t>
  </si>
  <si>
    <t>ORD-1285</t>
  </si>
  <si>
    <t>ORD-1286</t>
  </si>
  <si>
    <t>Kumari Dissanayake</t>
  </si>
  <si>
    <t>ORD-1287</t>
  </si>
  <si>
    <t>Anusha Gunasekara</t>
  </si>
  <si>
    <t>ORD-1288</t>
  </si>
  <si>
    <t>ORD-1289</t>
  </si>
  <si>
    <t>ORD-1290</t>
  </si>
  <si>
    <t>ORD-1291</t>
  </si>
  <si>
    <t>ORD-1292</t>
  </si>
  <si>
    <t>ORD-1293</t>
  </si>
  <si>
    <t>Kumari Kumara</t>
  </si>
  <si>
    <t>ORD-1294</t>
  </si>
  <si>
    <t>Ruwan Dissanayake</t>
  </si>
  <si>
    <t>ORD-1295</t>
  </si>
  <si>
    <t>Anusha Kumara</t>
  </si>
  <si>
    <t>ORD-1296</t>
  </si>
  <si>
    <t>Dilini Fernando</t>
  </si>
  <si>
    <t>ORD-1297</t>
  </si>
  <si>
    <t>Kamal Jayasuriya</t>
  </si>
  <si>
    <t>ORD-1298</t>
  </si>
  <si>
    <t>ORD-1299</t>
  </si>
  <si>
    <t>Roshani Pathirana</t>
  </si>
  <si>
    <t>ORD-1300</t>
  </si>
  <si>
    <t>ORD-1301</t>
  </si>
  <si>
    <t>Chamara Perera</t>
  </si>
  <si>
    <t>ORD-1302</t>
  </si>
  <si>
    <t>Dhanushka Bandara</t>
  </si>
  <si>
    <t>ORD-1303</t>
  </si>
  <si>
    <t>Thilak Dissanayake</t>
  </si>
  <si>
    <t>ORD-1304</t>
  </si>
  <si>
    <t>Dilini Gunasekara</t>
  </si>
  <si>
    <t>ORD-1305</t>
  </si>
  <si>
    <t>ORD-1306</t>
  </si>
  <si>
    <t>Dilini Perera</t>
  </si>
  <si>
    <t>ORD-1307</t>
  </si>
  <si>
    <t>ORD-1308</t>
  </si>
  <si>
    <t>ORD-1309</t>
  </si>
  <si>
    <t>ORD-1310</t>
  </si>
  <si>
    <t>ORD-1311</t>
  </si>
  <si>
    <t>Bandara Silva</t>
  </si>
  <si>
    <t>ORD-1312</t>
  </si>
  <si>
    <t>Anusha Jayasuriya</t>
  </si>
  <si>
    <t>ORD-1313</t>
  </si>
  <si>
    <t>Kavindi Bandara</t>
  </si>
  <si>
    <t>ORD-1314</t>
  </si>
  <si>
    <t>Kasun Pathirana</t>
  </si>
  <si>
    <t>ORD-1315</t>
  </si>
  <si>
    <t>Asela Wickramasinghe</t>
  </si>
  <si>
    <t>ORD-1316</t>
  </si>
  <si>
    <t>ORD-1317</t>
  </si>
  <si>
    <t>Malika Wickramasinghe</t>
  </si>
  <si>
    <t>ORD-1318</t>
  </si>
  <si>
    <t>ORD-1319</t>
  </si>
  <si>
    <t>ORD-1320</t>
  </si>
  <si>
    <t>Asela Senanayake</t>
  </si>
  <si>
    <t>ORD-1321</t>
  </si>
  <si>
    <t>ORD-1322</t>
  </si>
  <si>
    <t>ORD-1323</t>
  </si>
  <si>
    <t>ORD-1324</t>
  </si>
  <si>
    <t>ORD-1325</t>
  </si>
  <si>
    <t>ORD-1326</t>
  </si>
  <si>
    <t>Kumari Bandara</t>
  </si>
  <si>
    <t>ORD-1327</t>
  </si>
  <si>
    <t>ORD-1328</t>
  </si>
  <si>
    <t>ORD-1329</t>
  </si>
  <si>
    <t>ORD-1330</t>
  </si>
  <si>
    <t>ORD-1331</t>
  </si>
  <si>
    <t>Rajith Fernando</t>
  </si>
  <si>
    <t>ORD-1332</t>
  </si>
  <si>
    <t>Nadeesha Jayasuriya</t>
  </si>
  <si>
    <t>ORD-1333</t>
  </si>
  <si>
    <t>ORD-1334</t>
  </si>
  <si>
    <t>Dilini Rajapaksa</t>
  </si>
  <si>
    <t>ORD-1335</t>
  </si>
  <si>
    <t>ORD-1336</t>
  </si>
  <si>
    <t>ORD-1337</t>
  </si>
  <si>
    <t>Ishara Pathirana</t>
  </si>
  <si>
    <t>ORD-1338</t>
  </si>
  <si>
    <t>ORD-1339</t>
  </si>
  <si>
    <t>ORD-1340</t>
  </si>
  <si>
    <t>ORD-1341</t>
  </si>
  <si>
    <t>Kasun Rajapaksa</t>
  </si>
  <si>
    <t>ORD-1342</t>
  </si>
  <si>
    <t>ORD-1343</t>
  </si>
  <si>
    <t>Thilak Jayasuriya</t>
  </si>
  <si>
    <t>ORD-1344</t>
  </si>
  <si>
    <t>ORD-1345</t>
  </si>
  <si>
    <t>Dhanushka Senanayake</t>
  </si>
  <si>
    <t>ORD-1346</t>
  </si>
  <si>
    <t>Malika Dissanayake</t>
  </si>
  <si>
    <t>ORD-1347</t>
  </si>
  <si>
    <t>ORD-1348</t>
  </si>
  <si>
    <t>Thilini Silva</t>
  </si>
  <si>
    <t>ORD-1349</t>
  </si>
  <si>
    <t>ORD-1350</t>
  </si>
  <si>
    <t>ORD-1351</t>
  </si>
  <si>
    <t>ORD-1352</t>
  </si>
  <si>
    <t>ORD-1353</t>
  </si>
  <si>
    <t>ORD-1354</t>
  </si>
  <si>
    <t>Dilini Senanayake</t>
  </si>
  <si>
    <t>ORD-1355</t>
  </si>
  <si>
    <t>Nadeesha Gunasekara</t>
  </si>
  <si>
    <t>ORD-1356</t>
  </si>
  <si>
    <t>Asela Jayasuriya</t>
  </si>
  <si>
    <t>ORD-1357</t>
  </si>
  <si>
    <t>Pradeep Gunasekara</t>
  </si>
  <si>
    <t>ORD-1358</t>
  </si>
  <si>
    <t>ORD-1359</t>
  </si>
  <si>
    <t>Dinesh Fernando</t>
  </si>
  <si>
    <t>ORD-1360</t>
  </si>
  <si>
    <t>ORD-1361</t>
  </si>
  <si>
    <t>ORD-1362</t>
  </si>
  <si>
    <t>Hasini Rajapaksa</t>
  </si>
  <si>
    <t>ORD-1363</t>
  </si>
  <si>
    <t>Rajith Jayasuriya</t>
  </si>
  <si>
    <t>ORD-1364</t>
  </si>
  <si>
    <t>Kasun Gunasekara</t>
  </si>
  <si>
    <t>ORD-1365</t>
  </si>
  <si>
    <t>Asela Pathirana</t>
  </si>
  <si>
    <t>ORD-1366</t>
  </si>
  <si>
    <t>ORD-1367</t>
  </si>
  <si>
    <t>ORD-1368</t>
  </si>
  <si>
    <t>Ruwan Bandara</t>
  </si>
  <si>
    <t>ORD-1369</t>
  </si>
  <si>
    <t>Roshani Wickramasinghe</t>
  </si>
  <si>
    <t>ORD-1370</t>
  </si>
  <si>
    <t>ORD-1371</t>
  </si>
  <si>
    <t>ORD-1372</t>
  </si>
  <si>
    <t>ORD-1373</t>
  </si>
  <si>
    <t>ORD-1374</t>
  </si>
  <si>
    <t>ORD-1375</t>
  </si>
  <si>
    <t>Saman Fernando</t>
  </si>
  <si>
    <t>ORD-1376</t>
  </si>
  <si>
    <t>ORD-1377</t>
  </si>
  <si>
    <t>Dhanushka Dissanayake</t>
  </si>
  <si>
    <t>ORD-1378</t>
  </si>
  <si>
    <t>Thilak Bandara</t>
  </si>
  <si>
    <t>ORD-1379</t>
  </si>
  <si>
    <t>ORD-1380</t>
  </si>
  <si>
    <t>Dinesh Rajapaksa</t>
  </si>
  <si>
    <t>ORD-1381</t>
  </si>
  <si>
    <t>Ishara Jayasuriya</t>
  </si>
  <si>
    <t>ORD-1382</t>
  </si>
  <si>
    <t>ORD-1383</t>
  </si>
  <si>
    <t>ORD-1384</t>
  </si>
  <si>
    <t>Kumari Pathirana</t>
  </si>
  <si>
    <t>ORD-1385</t>
  </si>
  <si>
    <t>ORD-1386</t>
  </si>
  <si>
    <t>ORD-1387</t>
  </si>
  <si>
    <t>ORD-1388</t>
  </si>
  <si>
    <t>ORD-1389</t>
  </si>
  <si>
    <t>Thilini Rajapaksa</t>
  </si>
  <si>
    <t>ORD-1390</t>
  </si>
  <si>
    <t>ORD-1391</t>
  </si>
  <si>
    <t>Pradeep Dissanayake</t>
  </si>
  <si>
    <t>ORD-1392</t>
  </si>
  <si>
    <t>ORD-1393</t>
  </si>
  <si>
    <t>ORD-1394</t>
  </si>
  <si>
    <t>Thilak Perera</t>
  </si>
  <si>
    <t>ORD-1395</t>
  </si>
  <si>
    <t>ORD-1396</t>
  </si>
  <si>
    <t>ORD-1397</t>
  </si>
  <si>
    <t>ORD-1398</t>
  </si>
  <si>
    <t>ORD-1399</t>
  </si>
  <si>
    <t>ORD-1400</t>
  </si>
  <si>
    <t>ORD-1401</t>
  </si>
  <si>
    <t>ORD-1402</t>
  </si>
  <si>
    <t>ORD-1403</t>
  </si>
  <si>
    <t>ORD-1404</t>
  </si>
  <si>
    <t>Saman Gunasekara</t>
  </si>
  <si>
    <t>ORD-1405</t>
  </si>
  <si>
    <t>Roshani Bandara</t>
  </si>
  <si>
    <t>ORD-1406</t>
  </si>
  <si>
    <t>ORD-1407</t>
  </si>
  <si>
    <t>Ruwan Fernando</t>
  </si>
  <si>
    <t>ORD-1408</t>
  </si>
  <si>
    <t>ORD-1409</t>
  </si>
  <si>
    <t>ORD-1410</t>
  </si>
  <si>
    <t>ORD-1411</t>
  </si>
  <si>
    <t>Malika Pathirana</t>
  </si>
  <si>
    <t>ORD-1412</t>
  </si>
  <si>
    <t>ORD-1413</t>
  </si>
  <si>
    <t>ORD-1414</t>
  </si>
  <si>
    <t>ORD-1415</t>
  </si>
  <si>
    <t>ORD-1416</t>
  </si>
  <si>
    <t>ORD-1417</t>
  </si>
  <si>
    <t>ORD-1418</t>
  </si>
  <si>
    <t>ORD-1419</t>
  </si>
  <si>
    <t>Chamara Pathirana</t>
  </si>
  <si>
    <t>ORD-1420</t>
  </si>
  <si>
    <t>ORD-1421</t>
  </si>
  <si>
    <t>ORD-1422</t>
  </si>
  <si>
    <t>Roshani Perera</t>
  </si>
  <si>
    <t>ORD-1423</t>
  </si>
  <si>
    <t>ORD-1424</t>
  </si>
  <si>
    <t>ORD-1425</t>
  </si>
  <si>
    <t>Kamal Silva</t>
  </si>
  <si>
    <t>ORD-1426</t>
  </si>
  <si>
    <t>ORD-1427</t>
  </si>
  <si>
    <t>ORD-1428</t>
  </si>
  <si>
    <t>ORD-1429</t>
  </si>
  <si>
    <t>Kavindi Dissanayake</t>
  </si>
  <si>
    <t>ORD-1430</t>
  </si>
  <si>
    <t>ORD-1431</t>
  </si>
  <si>
    <t>ORD-1432</t>
  </si>
  <si>
    <t>Rajith Perera</t>
  </si>
  <si>
    <t>ORD-1433</t>
  </si>
  <si>
    <t>Thilak Rajapaksa</t>
  </si>
  <si>
    <t>ORD-1434</t>
  </si>
  <si>
    <t>Thilak Senanayake</t>
  </si>
  <si>
    <t>ORD-1435</t>
  </si>
  <si>
    <t>ORD-1436</t>
  </si>
  <si>
    <t>ORD-1437</t>
  </si>
  <si>
    <t>ORD-1438</t>
  </si>
  <si>
    <t>ORD-1439</t>
  </si>
  <si>
    <t>ORD-1440</t>
  </si>
  <si>
    <t>ORD-1441</t>
  </si>
  <si>
    <t>Kavindi Gunasekara</t>
  </si>
  <si>
    <t>ORD-1442</t>
  </si>
  <si>
    <t>ORD-1443</t>
  </si>
  <si>
    <t>ORD-1444</t>
  </si>
  <si>
    <t>ORD-1445</t>
  </si>
  <si>
    <t>Roshani Senanayake</t>
  </si>
  <si>
    <t>ORD-1446</t>
  </si>
  <si>
    <t>ORD-1447</t>
  </si>
  <si>
    <t>ORD-1448</t>
  </si>
  <si>
    <t>ORD-1449</t>
  </si>
  <si>
    <t>ORD-1450</t>
  </si>
  <si>
    <t>ORD-1451</t>
  </si>
  <si>
    <t>ORD-1452</t>
  </si>
  <si>
    <t>Chamara Bandara</t>
  </si>
  <si>
    <t>ORD-1453</t>
  </si>
  <si>
    <t>ORD-1454</t>
  </si>
  <si>
    <t>ORD-1455</t>
  </si>
  <si>
    <t>ORD-1456</t>
  </si>
  <si>
    <t>Kumari Wickramasinghe</t>
  </si>
  <si>
    <t>ORD-1457</t>
  </si>
  <si>
    <t>ORD-1458</t>
  </si>
  <si>
    <t>ORD-1459</t>
  </si>
  <si>
    <t>Sanduni Rajapaksa</t>
  </si>
  <si>
    <t>ORD-1460</t>
  </si>
  <si>
    <t>ORD-1461</t>
  </si>
  <si>
    <t>Hasini Senanayake</t>
  </si>
  <si>
    <t>ORD-1462</t>
  </si>
  <si>
    <t>ORD-1463</t>
  </si>
  <si>
    <t>ORD-1464</t>
  </si>
  <si>
    <t>ORD-1465</t>
  </si>
  <si>
    <t>ORD-1466</t>
  </si>
  <si>
    <t>ORD-1467</t>
  </si>
  <si>
    <t>ORD-1468</t>
  </si>
  <si>
    <t>Dinesh Wickramasinghe</t>
  </si>
  <si>
    <t>ORD-1469</t>
  </si>
  <si>
    <t>ORD-1470</t>
  </si>
  <si>
    <t>ORD-1471</t>
  </si>
  <si>
    <t>ORD-1472</t>
  </si>
  <si>
    <t>ORD-1473</t>
  </si>
  <si>
    <t>ORD-1474</t>
  </si>
  <si>
    <t>Thilini Gunasekara</t>
  </si>
  <si>
    <t>ORD-1475</t>
  </si>
  <si>
    <t>ORD-1476</t>
  </si>
  <si>
    <t>ORD-1477</t>
  </si>
  <si>
    <t>ORD-1478</t>
  </si>
  <si>
    <t>Sanduni Bandara</t>
  </si>
  <si>
    <t>ORD-1479</t>
  </si>
  <si>
    <t>ORD-1480</t>
  </si>
  <si>
    <t>Kavindi Wickramasinghe</t>
  </si>
  <si>
    <t>ORD-1481</t>
  </si>
  <si>
    <t>Kumari Gunasekara</t>
  </si>
  <si>
    <t>ORD-1482</t>
  </si>
  <si>
    <t>ORD-1483</t>
  </si>
  <si>
    <t>ORD-1484</t>
  </si>
  <si>
    <t>ORD-1485</t>
  </si>
  <si>
    <t>ORD-1486</t>
  </si>
  <si>
    <t>ORD-1487</t>
  </si>
  <si>
    <t>ORD-1488</t>
  </si>
  <si>
    <t>ORD-1489</t>
  </si>
  <si>
    <t>ORD-1490</t>
  </si>
  <si>
    <t>ORD-1491</t>
  </si>
  <si>
    <t>ORD-1492</t>
  </si>
  <si>
    <t>Kavindi Pathirana</t>
  </si>
  <si>
    <t>ORD-1493</t>
  </si>
  <si>
    <t>ORD-1494</t>
  </si>
  <si>
    <t>ORD-1495</t>
  </si>
  <si>
    <t>ORD-1496</t>
  </si>
  <si>
    <t>ORD-1497</t>
  </si>
  <si>
    <t>Thilini Wickramasinghe</t>
  </si>
  <si>
    <t>ORD-1498</t>
  </si>
  <si>
    <t>Dilini Pathirana</t>
  </si>
  <si>
    <t>ORD-1499</t>
  </si>
  <si>
    <t>ORD-1500</t>
  </si>
  <si>
    <t>ORD-1501</t>
  </si>
  <si>
    <t>ORD-1502</t>
  </si>
  <si>
    <t>Kasun Silva</t>
  </si>
  <si>
    <t>ORD-1503</t>
  </si>
  <si>
    <t>ORD-1504</t>
  </si>
  <si>
    <t>ORD-1505</t>
  </si>
  <si>
    <t>ORD-1506</t>
  </si>
  <si>
    <t>ORD-1507</t>
  </si>
  <si>
    <t>ORD-1508</t>
  </si>
  <si>
    <t>ORD-1509</t>
  </si>
  <si>
    <t>ORD-1510</t>
  </si>
  <si>
    <t>ORD-1511</t>
  </si>
  <si>
    <t>ORD-1512</t>
  </si>
  <si>
    <t>ORD-1513</t>
  </si>
  <si>
    <t>Ruwan Senanayake</t>
  </si>
  <si>
    <t>ORD-1514</t>
  </si>
  <si>
    <t>ORD-1515</t>
  </si>
  <si>
    <t>ORD-1516</t>
  </si>
  <si>
    <t>ORD-1517</t>
  </si>
  <si>
    <t>Asela Perera</t>
  </si>
  <si>
    <t>ORD-1518</t>
  </si>
  <si>
    <t>ORD-1519</t>
  </si>
  <si>
    <t>ORD-1520</t>
  </si>
  <si>
    <t>ORD-1521</t>
  </si>
  <si>
    <t>ORD-1522</t>
  </si>
  <si>
    <t>ORD-1523</t>
  </si>
  <si>
    <t>ORD-1524</t>
  </si>
  <si>
    <t>ORD-1525</t>
  </si>
  <si>
    <t>ORD-1526</t>
  </si>
  <si>
    <t>Thilak Gunasekara</t>
  </si>
  <si>
    <t>ORD-1527</t>
  </si>
  <si>
    <t>ORD-1528</t>
  </si>
  <si>
    <t>Malika Bandara</t>
  </si>
  <si>
    <t>ORD-1529</t>
  </si>
  <si>
    <t>ORD-1530</t>
  </si>
  <si>
    <t>ORD-1531</t>
  </si>
  <si>
    <t>ORD-1532</t>
  </si>
  <si>
    <t>ORD-1533</t>
  </si>
  <si>
    <t>ORD-1534</t>
  </si>
  <si>
    <t>ORD-1535</t>
  </si>
  <si>
    <t>ORD-1536</t>
  </si>
  <si>
    <t>ORD-1537</t>
  </si>
  <si>
    <t>ORD-1538</t>
  </si>
  <si>
    <t>ORD-1539</t>
  </si>
  <si>
    <t>ORD-1540</t>
  </si>
  <si>
    <t>ORD-1541</t>
  </si>
  <si>
    <t>Malika Rajapaksa</t>
  </si>
  <si>
    <t>ORD-1542</t>
  </si>
  <si>
    <t>ORD-1543</t>
  </si>
  <si>
    <t>ORD-1544</t>
  </si>
  <si>
    <t>ORD-1545</t>
  </si>
  <si>
    <t>ORD-1546</t>
  </si>
  <si>
    <t>ORD-1547</t>
  </si>
  <si>
    <t>ORD-1548</t>
  </si>
  <si>
    <t>ORD-1549</t>
  </si>
  <si>
    <t>ORD-1550</t>
  </si>
  <si>
    <t>Ishara Perera</t>
  </si>
  <si>
    <t>ORD-1551</t>
  </si>
  <si>
    <t>ORD-1552</t>
  </si>
  <si>
    <t>ORD-1553</t>
  </si>
  <si>
    <t>ORD-1554</t>
  </si>
  <si>
    <t>ORD-1555</t>
  </si>
  <si>
    <t>ORD-1556</t>
  </si>
  <si>
    <t>ORD-1557</t>
  </si>
  <si>
    <t>ORD-1558</t>
  </si>
  <si>
    <t>ORD-1559</t>
  </si>
  <si>
    <t>ORD-1560</t>
  </si>
  <si>
    <t>ORD-1561</t>
  </si>
  <si>
    <t>ORD-1562</t>
  </si>
  <si>
    <t>ORD-1563</t>
  </si>
  <si>
    <t>ORD-1564</t>
  </si>
  <si>
    <t>Thilak Silva</t>
  </si>
  <si>
    <t>ORD-1565</t>
  </si>
  <si>
    <t>Hasini Fernando</t>
  </si>
  <si>
    <t>ORD-1566</t>
  </si>
  <si>
    <t>ORD-1567</t>
  </si>
  <si>
    <t>ORD-1568</t>
  </si>
  <si>
    <t>ORD-1569</t>
  </si>
  <si>
    <t>ORD-1570</t>
  </si>
  <si>
    <t>ORD-1571</t>
  </si>
  <si>
    <t>ORD-1572</t>
  </si>
  <si>
    <t>ORD-1573</t>
  </si>
  <si>
    <t>ORD-1574</t>
  </si>
  <si>
    <t>ORD-1575</t>
  </si>
  <si>
    <t>ORD-1576</t>
  </si>
  <si>
    <t>ORD-1577</t>
  </si>
  <si>
    <t>ORD-1578</t>
  </si>
  <si>
    <t>ORD-1579</t>
  </si>
  <si>
    <t>ORD-1580</t>
  </si>
  <si>
    <t>Bandara Kumara</t>
  </si>
  <si>
    <t>ORD-1581</t>
  </si>
  <si>
    <t>ORD-1582</t>
  </si>
  <si>
    <t>ORD-1583</t>
  </si>
  <si>
    <t>ORD-1584</t>
  </si>
  <si>
    <t>ORD-1585</t>
  </si>
  <si>
    <t>ORD-1586</t>
  </si>
  <si>
    <t>ORD-1587</t>
  </si>
  <si>
    <t>ORD-1588</t>
  </si>
  <si>
    <t>Pradeep Rajapaksa</t>
  </si>
  <si>
    <t>ORD-1589</t>
  </si>
  <si>
    <t>Roshani Silva</t>
  </si>
  <si>
    <t>ORD-1590</t>
  </si>
  <si>
    <t>ORD-1591</t>
  </si>
  <si>
    <t>ORD-1592</t>
  </si>
  <si>
    <t>Kumari Senanayake</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</si>
  <si>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</si>
  <si>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</si>
  <si>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</si>
  <si>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</si>
  <si>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</si>
  <si>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</si>
  <si>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</si>
  <si>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</si>
  <si>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</si>
  <si>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</si>
  <si>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</si>
  <si>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</si>
  <si>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</si>
  <si>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</si>
  <si>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</si>
  <si>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</si>
  <si>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</si>
  <si>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</si>
  <si>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Kavindi Silva</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</si>
  <si>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</si>
  <si>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</si>
  <si>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</si>
  <si>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</si>
  <si>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</si>
  <si>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</si>
  <si>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</si>
  <si>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</si>
  <si>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</si>
  <si>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</si>
  <si>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</si>
  <si>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</si>
  <si>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</si>
  <si>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</si>
  <si>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</si>
  <si>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</si>
  <si>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</si>
  <si>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</si>
  <si>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</si>
  <si>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</si>
  <si>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</si>
  <si>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</si>
  <si>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</si>
  <si>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Sanduni Pathirana</t>
  </si>
  <si>
    <t>ORD-1634</t>
  </si>
  <si>
    <t>ORD-1635</t>
  </si>
  <si>
    <t>ORD-1636</t>
  </si>
  <si>
    <t>ORD-1637</t>
  </si>
  <si>
    <t>ORD-1638</t>
  </si>
  <si>
    <t>ORD-1639</t>
  </si>
  <si>
    <t>ORD-1640</t>
  </si>
  <si>
    <t>ORD-1641</t>
  </si>
  <si>
    <t>ORD-1642</t>
  </si>
  <si>
    <t>ORD-1643</t>
  </si>
  <si>
    <t>ORD-1644</t>
  </si>
  <si>
    <t>ORD-1645</t>
  </si>
  <si>
    <t>ORD-1646</t>
  </si>
  <si>
    <t>ORD-1647</t>
  </si>
  <si>
    <t>Kavindi Jayasuriya</t>
  </si>
  <si>
    <t>ORD-1648</t>
  </si>
  <si>
    <t>ORD-1649</t>
  </si>
  <si>
    <t>ORD-1650</t>
  </si>
  <si>
    <t>ORD-1651</t>
  </si>
  <si>
    <t>Kasun Dissanayake</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</si>
  <si>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</si>
  <si>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</si>
  <si>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</si>
  <si>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</si>
  <si>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</si>
  <si>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</si>
  <si>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</si>
  <si>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</si>
  <si>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</si>
  <si>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</si>
  <si>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</si>
  <si>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</si>
  <si>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</si>
  <si>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</si>
  <si>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</si>
  <si>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</si>
  <si>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</si>
  <si>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</si>
  <si>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</si>
  <si>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</si>
  <si>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</si>
  <si>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</si>
  <si>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</si>
  <si>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</si>
  <si>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</si>
  <si>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</si>
  <si>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</si>
  <si>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</si>
  <si>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</si>
  <si>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</si>
  <si>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</si>
  <si>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</si>
  <si>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</si>
  <si>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</si>
  <si>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Sanduni Silva</t>
  </si>
  <si>
    <t>ORD-1686</t>
  </si>
  <si>
    <t>ORD-1687</t>
  </si>
  <si>
    <t>ORD-1688</t>
  </si>
  <si>
    <t>ORD-1689</t>
  </si>
  <si>
    <t>Asela Rajapaksa</t>
  </si>
  <si>
    <t>ORD-1690</t>
  </si>
  <si>
    <t>ORD-1691</t>
  </si>
  <si>
    <t>ORD-1692</t>
  </si>
  <si>
    <t>ORD-1693</t>
  </si>
  <si>
    <t>ORD-1694</t>
  </si>
  <si>
    <t>ORD-1695</t>
  </si>
  <si>
    <t>ORD-1696</t>
  </si>
  <si>
    <t>ORD-1697</t>
  </si>
  <si>
    <t>ORD-1698</t>
  </si>
  <si>
    <t>ORD-1699</t>
  </si>
  <si>
    <t>Saman Jayasuriya</t>
  </si>
  <si>
    <t>ORD-1700</t>
  </si>
  <si>
    <t>Anusha Fernando</t>
  </si>
  <si>
    <t>ORD-1701</t>
  </si>
  <si>
    <t>ORD-1702</t>
  </si>
  <si>
    <t>Nadeesha Dissanayake</t>
  </si>
  <si>
    <t>ORD-1703</t>
  </si>
  <si>
    <t>Bandara Rajapaksa</t>
  </si>
  <si>
    <t>ORD-1704</t>
  </si>
  <si>
    <t>ORD-1705</t>
  </si>
  <si>
    <t>ORD-1706</t>
  </si>
  <si>
    <t>Kamal Pathirana</t>
  </si>
  <si>
    <t>ORD-1707</t>
  </si>
  <si>
    <t>ORD-1708</t>
  </si>
  <si>
    <t>ORD-1709</t>
  </si>
  <si>
    <t>ORD-1710</t>
  </si>
  <si>
    <t>ORD-1711</t>
  </si>
  <si>
    <t>ORD-1712</t>
  </si>
  <si>
    <t>ORD-1713</t>
  </si>
  <si>
    <t>ORD-1714</t>
  </si>
  <si>
    <t>ORD-1715</t>
  </si>
  <si>
    <t>ORD-1716</t>
  </si>
  <si>
    <t>ORD-1717</t>
  </si>
  <si>
    <t>ORD-1718</t>
  </si>
  <si>
    <t>Rajith Silva</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</si>
  <si>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</si>
  <si>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</si>
  <si>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</si>
  <si>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</si>
  <si>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</si>
  <si>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</si>
  <si>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</si>
  <si>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</si>
  <si>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</si>
  <si>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</si>
  <si>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</si>
  <si>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</si>
  <si>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</si>
  <si>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</si>
  <si>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</si>
  <si>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</si>
  <si>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</si>
  <si>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Asela Dissanayake</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</si>
  <si>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</si>
  <si>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</si>
  <si>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</si>
  <si>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</si>
  <si>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</si>
  <si>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</si>
  <si>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</si>
  <si>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</si>
  <si>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</si>
  <si>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</si>
  <si>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</si>
  <si>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</si>
  <si>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</si>
  <si>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</si>
  <si>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</si>
  <si>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</si>
  <si>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</si>
  <si>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</si>
  <si>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</si>
  <si>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</si>
  <si>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</si>
  <si>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</si>
  <si>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</si>
  <si>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</si>
  <si>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</si>
  <si>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</si>
  <si>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</si>
  <si>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</si>
  <si>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</si>
  <si>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</si>
  <si>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</si>
  <si>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</si>
  <si>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</si>
  <si>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</si>
  <si>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</si>
  <si>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</si>
  <si>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</si>
  <si>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</si>
  <si>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Saman Senanayake</t>
  </si>
  <si>
    <t>ORD-1774</t>
  </si>
  <si>
    <t>ORD-1775</t>
  </si>
  <si>
    <t>ORD-1776</t>
  </si>
  <si>
    <t>Rajith Rajapaksa</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</si>
  <si>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</si>
  <si>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</si>
  <si>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</si>
  <si>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</si>
  <si>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</si>
  <si>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</si>
  <si>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</si>
  <si>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</si>
  <si>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</si>
  <si>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</si>
  <si>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</si>
  <si>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</si>
  <si>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</si>
  <si>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</si>
  <si>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</si>
  <si>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</si>
  <si>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</si>
  <si>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</si>
  <si>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</si>
  <si>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</si>
  <si>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</si>
  <si>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</si>
  <si>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</si>
  <si>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</si>
  <si>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</si>
  <si>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</si>
  <si>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</si>
  <si>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</si>
  <si>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</si>
  <si>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</si>
  <si>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</si>
  <si>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</si>
  <si>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Kasun Senanayake</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</si>
  <si>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</si>
  <si>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</si>
  <si>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</si>
  <si>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</si>
  <si>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</si>
  <si>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</si>
  <si>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</si>
  <si>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</si>
  <si>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</si>
  <si>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</si>
  <si>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</si>
  <si>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</si>
  <si>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</si>
  <si>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</si>
  <si>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</si>
  <si>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</si>
  <si>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</si>
  <si>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</si>
  <si>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Kamal Senanayake</t>
  </si>
  <si>
    <t>ORD-1827</t>
  </si>
  <si>
    <t>ORD-1828</t>
  </si>
  <si>
    <t>ORD-1829</t>
  </si>
  <si>
    <t>ORD-1830</t>
  </si>
  <si>
    <t>ORD-1831</t>
  </si>
  <si>
    <t>ORD-1832</t>
  </si>
  <si>
    <t>ORD-1833</t>
  </si>
  <si>
    <t>ORD-1834</t>
  </si>
  <si>
    <t>Roshani Dissanayake</t>
  </si>
  <si>
    <t>ORD-1835</t>
  </si>
  <si>
    <t>ORD-1836</t>
  </si>
  <si>
    <t>ORD-1837</t>
  </si>
  <si>
    <t>ORD-1838</t>
  </si>
  <si>
    <t>ORD-1839</t>
  </si>
  <si>
    <t>ORD-1840</t>
  </si>
  <si>
    <t>ORD-1841</t>
  </si>
  <si>
    <t>Ruwan Perera</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</si>
  <si>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</si>
  <si>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</si>
  <si>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</si>
  <si>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</si>
  <si>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</si>
  <si>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</si>
  <si>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</si>
  <si>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</si>
  <si>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</si>
  <si>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</si>
  <si>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</si>
  <si>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</si>
  <si>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</si>
  <si>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</si>
  <si>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</si>
  <si>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</si>
  <si>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</si>
  <si>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</si>
  <si>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</si>
  <si>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</si>
  <si>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</si>
  <si>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</si>
  <si>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</si>
  <si>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</si>
  <si>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</si>
  <si>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</si>
  <si>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</si>
  <si>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</si>
  <si>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</si>
  <si>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</si>
  <si>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</si>
  <si>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</si>
  <si>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</si>
  <si>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</si>
  <si>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</si>
  <si>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</si>
  <si>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</si>
  <si>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</si>
  <si>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</si>
  <si>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</si>
  <si>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</si>
  <si>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</si>
  <si>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</si>
  <si>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</si>
  <si>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</si>
  <si>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</si>
  <si>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</si>
  <si>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</si>
  <si>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Nimali Silva</t>
  </si>
  <si>
    <t>ORD-1890</t>
  </si>
  <si>
    <t>Pradeep Silva</t>
  </si>
  <si>
    <t>ORD-1891</t>
  </si>
  <si>
    <t>ORD-1892</t>
  </si>
  <si>
    <t>ORD-1893</t>
  </si>
  <si>
    <t>Nadeesha Silva</t>
  </si>
  <si>
    <t>ORD-1894</t>
  </si>
  <si>
    <t>ORD-1895</t>
  </si>
  <si>
    <t>ORD-1896</t>
  </si>
  <si>
    <t>ORD-1897</t>
  </si>
  <si>
    <t>ORD-1898</t>
  </si>
  <si>
    <t>ORD-1899</t>
  </si>
  <si>
    <t>ORD-1900</t>
  </si>
  <si>
    <t>ORD-1901</t>
  </si>
  <si>
    <t>ORD-1902</t>
  </si>
  <si>
    <t>ORD-1903</t>
  </si>
  <si>
    <t>Kasun Bandara</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</si>
  <si>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</si>
  <si>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</si>
  <si>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</si>
  <si>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</si>
  <si>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</si>
  <si>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</si>
  <si>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</si>
  <si>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</si>
  <si>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</si>
  <si>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</si>
  <si>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</si>
  <si>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</si>
  <si>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</si>
  <si>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</si>
  <si>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</si>
  <si>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</si>
  <si>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</si>
  <si>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</si>
  <si>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</si>
  <si>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</si>
  <si>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</si>
  <si>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</si>
  <si>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</si>
  <si>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</si>
  <si>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</si>
  <si>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</si>
  <si>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</si>
  <si>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</si>
  <si>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</si>
  <si>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</si>
  <si>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</si>
  <si>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</si>
  <si>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</si>
  <si>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</si>
  <si>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</si>
  <si>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</si>
  <si>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</si>
  <si>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</si>
  <si>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</si>
  <si>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</si>
  <si>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</si>
  <si>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Sanduni Perera</t>
  </si>
  <si>
    <t>ORD-1945</t>
  </si>
  <si>
    <t>ORD-1946</t>
  </si>
  <si>
    <t>ORD-1947</t>
  </si>
  <si>
    <t>ORD-1948</t>
  </si>
  <si>
    <t>ORD-1949</t>
  </si>
  <si>
    <t>ORD-1950</t>
  </si>
  <si>
    <t>Chamara Silva</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</si>
  <si>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</si>
  <si>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</si>
  <si>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</si>
  <si>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</si>
  <si>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</si>
  <si>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</si>
  <si>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</si>
  <si>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</si>
  <si>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</si>
  <si>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</si>
  <si>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</si>
  <si>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</si>
  <si>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</si>
  <si>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</si>
  <si>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</si>
  <si>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</si>
  <si>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</si>
  <si>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</si>
  <si>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</si>
  <si>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</si>
  <si>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</si>
  <si>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</si>
  <si>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</si>
  <si>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</si>
  <si>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</si>
  <si>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</si>
  <si>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Bandara Perera</t>
  </si>
  <si>
    <t>ORD-1977</t>
  </si>
  <si>
    <t>ORD-1978</t>
  </si>
  <si>
    <t>Nimali Wickramasinghe</t>
  </si>
  <si>
    <t>ORD-1979</t>
  </si>
  <si>
    <t>ORD-1980</t>
  </si>
  <si>
    <t>ORD-1981</t>
  </si>
  <si>
    <t>ORD-1982</t>
  </si>
  <si>
    <t>ORD-1983</t>
  </si>
  <si>
    <t>ORD-1984</t>
  </si>
  <si>
    <t>ORD-1985</t>
  </si>
  <si>
    <t>ORD-1986</t>
  </si>
  <si>
    <t>Nimali Kumara</t>
  </si>
  <si>
    <t>ORD-1987</t>
  </si>
  <si>
    <t>ORD-1988</t>
  </si>
  <si>
    <t>ORD-1989</t>
  </si>
  <si>
    <t>ORD-1990</t>
  </si>
  <si>
    <t>ORD-1991</t>
  </si>
  <si>
    <t>ORD-1992</t>
  </si>
  <si>
    <t>ORD-1993</t>
  </si>
  <si>
    <t>ORD-1994</t>
  </si>
  <si>
    <t>ORD-1995</t>
  </si>
  <si>
    <t>ORD-1996</t>
  </si>
  <si>
    <t>ORD-1997</t>
  </si>
  <si>
    <t>ORD-1998</t>
  </si>
  <si>
    <t>ORD-1999</t>
  </si>
  <si>
    <t>Total Revenue</t>
  </si>
  <si>
    <t>Total Orders</t>
  </si>
  <si>
    <t>clean_date</t>
  </si>
  <si>
    <t>Clean Name</t>
  </si>
  <si>
    <t>Nimali Senanayake</t>
  </si>
  <si>
    <t>Gross_Total</t>
  </si>
  <si>
    <t>Discount_Amount</t>
  </si>
  <si>
    <t>Net_Total</t>
  </si>
  <si>
    <t>Total Quantity Sold</t>
  </si>
  <si>
    <t>Completed Orders</t>
  </si>
  <si>
    <t>Cancelled Orders</t>
  </si>
  <si>
    <t>Pending Orders</t>
  </si>
  <si>
    <t>Completion Rate</t>
  </si>
  <si>
    <t>Month</t>
  </si>
  <si>
    <t>Row Labels</t>
  </si>
  <si>
    <t>Jan</t>
  </si>
  <si>
    <t>Feb</t>
  </si>
  <si>
    <t>Mar</t>
  </si>
  <si>
    <t>Apr</t>
  </si>
  <si>
    <t>May</t>
  </si>
  <si>
    <t>Jun</t>
  </si>
  <si>
    <t>Jul</t>
  </si>
  <si>
    <t>Aug</t>
  </si>
  <si>
    <t>Sep</t>
  </si>
  <si>
    <t>Oct</t>
  </si>
  <si>
    <t>Nov</t>
  </si>
  <si>
    <t>Dec</t>
  </si>
  <si>
    <t>Grand Total</t>
  </si>
  <si>
    <t>Sum of Net_Total</t>
  </si>
  <si>
    <t>Details for Sum of Net_Total - Month: Jan</t>
  </si>
  <si>
    <t>Details for Sum of Net_Total - City: Colombo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</si>
</sst>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9" x14ac:knownFonts="1">
    <font>
      <sz val="11"/>
      <color theme="1"/>
      <name val="Calibri"/>
      <family val="2"/>
      <scheme val="minor"/>
    </font>
    <font>
      <b/>
      <sz val="10"/>
      <color rgb="FFFFFFFF"/>
      <name val="Arial"/>
    </font>
    <font>
      <sz val="10"/>
      <name val="Arial"/>
    </font>
    <font>
      <sz val="11"/>
      <color theme="1"/>
      <name val="Calibri"/>
      <family val="2"/>
      <scheme val="minor"/>
    </font>
    <font>
      <b/>
      <sz val="11"/>
      <color theme="1"/>
      <name val="Calibri"/>
      <family val="2"/>
      <scheme val="minor"/>
    </font>
    <font>
      <b/>
      <sz val="10"/>
      <color rgb="FFFFFFFF"/>
      <name val="Arial"/>
      <family val="2"/>
    </font>
    <font>
      <sz val="10"/>
      <name val="Arial"/>
      <family val="2"/>
    </font>
    <font>
      <sz val="16"/>
      <color theme="1"/>
      <name val="Adobe Caslon Pro Bold"/>
      <family val="1"/>
    </font>
    <font>
      <b/>
      <sz val="12"/>
      <color theme="1"/>
      <name val="Calibri"/>
      <family val="2"/>
      <scheme val="minor"/>
    </font>
  </fonts>
  <fills count="7">
    <fill>
      <patternFill patternType="none"/>
    </fill>
    <fill>
      <patternFill patternType="gray125"/>
    </fill>
    <fill>
      <patternFill patternType="solid">
        <fgColor rgb="FF1F3864"/>
      </patternFill>
    </fill>
    <fill>
      <patternFill patternType="solid">
        <fgColor rgb="FFEBF3FB"/>
      </patternFill>
    </fill>
    <fill>
      <patternFill patternType="solid">
        <fgColor theme="8"/>
        <bgColor indexed="64"/>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xf>
    <xf numFmtId="0" fontId="2" fillId="0" borderId="0" xfId="0" applyFont="1" applyAlignment="1">
      <alignment horizontal="left" vertical="center"/>
    </xf>
    <xf numFmtId="164" fontId="2" fillId="3" borderId="0" xfId="0" applyNumberFormat="1" applyFont="1" applyFill="1" applyAlignment="1">
      <alignment horizontal="left" vertical="center"/>
    </xf>
    <xf numFmtId="0" fontId="5" fillId="2" borderId="0" xfId="0" applyFont="1" applyFill="1" applyAlignment="1">
      <alignment horizontal="center" vertical="center" wrapText="1"/>
    </xf>
    <xf numFmtId="0" fontId="6" fillId="3" borderId="0" xfId="0" applyFont="1" applyFill="1" applyAlignment="1">
      <alignment horizontal="left" vertical="center"/>
    </xf>
    <xf numFmtId="0" fontId="6" fillId="0" borderId="0" xfId="0" applyFont="1" applyAlignment="1">
      <alignment horizontal="left" vertical="center"/>
    </xf>
    <xf numFmtId="2" fontId="5" fillId="2" borderId="0" xfId="0" applyNumberFormat="1" applyFont="1" applyFill="1" applyAlignment="1">
      <alignment horizontal="center" vertical="center" wrapText="1"/>
    </xf>
    <xf numFmtId="2" fontId="2" fillId="3" borderId="0" xfId="0" applyNumberFormat="1" applyFont="1" applyFill="1" applyAlignment="1">
      <alignment horizontal="left" vertical="center"/>
    </xf>
    <xf numFmtId="2" fontId="6" fillId="3" borderId="0" xfId="0" applyNumberFormat="1" applyFont="1" applyFill="1" applyAlignment="1">
      <alignment horizontal="left" vertical="center"/>
    </xf>
    <xf numFmtId="2" fontId="0" fillId="0" borderId="0" xfId="0" applyNumberFormat="1"/>
    <xf numFmtId="0" fontId="7" fillId="4" borderId="0" xfId="0" applyFont="1" applyFill="1"/>
    <xf numFmtId="165"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0" fillId="0" borderId="1" xfId="0" applyBorder="1"/>
    <xf numFmtId="9" fontId="7" fillId="4" borderId="0" xfId="1" applyFont="1" applyFill="1" applyAlignment="1">
      <alignment horizontal="center" vertical="center"/>
    </xf>
    <xf numFmtId="9" fontId="0" fillId="0" borderId="0" xfId="1" applyFont="1"/>
    <xf numFmtId="14" fontId="0" fillId="0" borderId="0" xfId="0" applyNumberFormat="1"/>
    <xf numFmtId="0" fontId="4" fillId="0" borderId="0" xfId="0" applyFont="1"/>
    <xf numFmtId="2" fontId="8" fillId="5" borderId="0" xfId="0" applyNumberFormat="1" applyFont="1" applyFill="1"/>
    <xf numFmtId="0" fontId="8" fillId="5" borderId="0" xfId="0" applyFont="1" applyFill="1"/>
    <xf numFmtId="0" fontId="8" fillId="5" borderId="0" xfId="0" applyFont="1" applyFill="1" applyAlignment="1">
      <alignment horizontal="left"/>
    </xf>
    <xf numFmtId="0" fontId="8" fillId="5" borderId="0" xfId="0" applyFont="1" applyFill="1" applyAlignment="1">
      <alignment horizontal="center"/>
    </xf>
    <xf numFmtId="2" fontId="8" fillId="5" borderId="0" xfId="0" applyNumberFormat="1" applyFont="1" applyFill="1" applyAlignment="1">
      <alignment horizontal="center"/>
    </xf>
    <xf numFmtId="10" fontId="8" fillId="5" borderId="0" xfId="0" applyNumberFormat="1" applyFont="1" applyFill="1" applyAlignment="1">
      <alignment horizontal="center"/>
    </xf>
    <xf numFmtId="0" fontId="0" fillId="6" borderId="0" xfId="0" applyFill="1"/>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0" fillId="6" borderId="0" xfId="0" applyFill="1" applyBorder="1"/>
    <xf numFmtId="2" fontId="8" fillId="5" borderId="2" xfId="0" applyNumberFormat="1" applyFont="1" applyFill="1" applyBorder="1" applyAlignment="1">
      <alignment horizontal="center"/>
    </xf>
    <xf numFmtId="2" fontId="8" fillId="5" borderId="3" xfId="0" applyNumberFormat="1" applyFont="1" applyFill="1" applyBorder="1" applyAlignment="1">
      <alignment horizontal="center"/>
    </xf>
    <xf numFmtId="2" fontId="8" fillId="5" borderId="4" xfId="0" applyNumberFormat="1" applyFont="1" applyFill="1" applyBorder="1" applyAlignment="1">
      <alignment horizontal="center"/>
    </xf>
  </cellXfs>
  <cellStyles count="2">
    <cellStyle name="Normal" xfId="0" builtinId="0"/>
    <cellStyle name="Percent" xfId="1" builtinId="5"/>
  </cellStyles>
  <dxfs count="17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CC0099"/>
        </patternFill>
      </fill>
    </dxf>
    <dxf>
      <fill>
        <patternFill patternType="solid">
          <bgColor rgb="FFCC0099"/>
        </patternFill>
      </fill>
    </dxf>
    <dxf>
      <fill>
        <patternFill patternType="solid">
          <bgColor rgb="FFCC0099"/>
        </patternFill>
      </fill>
    </dxf>
    <dxf>
      <fill>
        <patternFill patternType="solid">
          <bgColor rgb="FFCC0099"/>
        </patternFill>
      </fill>
    </dxf>
    <dxf>
      <fill>
        <patternFill patternType="solid">
          <bgColor rgb="FFCC0099"/>
        </patternFill>
      </fill>
    </dxf>
    <dxf>
      <fill>
        <patternFill patternType="solid">
          <bgColor rgb="FFCC0099"/>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name val="Adobe Caslon Pro"/>
        <family val="1"/>
        <scheme val="none"/>
      </font>
    </dxf>
    <dxf>
      <font>
        <name val="Adobe Caslon Pro"/>
        <family val="1"/>
        <scheme val="none"/>
      </font>
    </dxf>
    <dxf>
      <font>
        <name val="Adobe Caslon Pro"/>
        <family val="1"/>
        <scheme val="none"/>
      </font>
    </dxf>
    <dxf>
      <font>
        <name val="Adobe Caslon Pro"/>
        <family val="1"/>
        <scheme val="none"/>
      </font>
    </dxf>
    <dxf>
      <font>
        <name val="Adobe Caslon Pro"/>
        <family val="1"/>
        <scheme val="none"/>
      </font>
    </dxf>
    <dxf>
      <font>
        <name val="Adobe Caslon Pro"/>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4" formatCode="0.00%"/>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9" formatCode="m/d/yyyy"/>
    </dxf>
    <dxf>
      <numFmt numFmtId="19" formatCode="m/d/yyyy"/>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rgb="FFEBF3FB"/>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fill>
        <patternFill patternType="solid">
          <fgColor indexed="64"/>
          <bgColor rgb="FFEBF3FB"/>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fill>
        <patternFill patternType="solid">
          <fgColor indexed="64"/>
          <bgColor rgb="FFEBF3FB"/>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yyyy\-mm\-dd;@"/>
      <fill>
        <patternFill patternType="solid">
          <fgColor indexed="64"/>
          <bgColor rgb="FFEBF3FB"/>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yyyy\-mm\-dd;@"/>
      <fill>
        <patternFill patternType="solid">
          <fgColor indexed="64"/>
          <bgColor rgb="FFEBF3FB"/>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s>
  <tableStyles count="0" defaultTableStyle="TableStyleMedium9" defaultPivotStyle="PivotStyleLight16"/>
  <colors>
    <mruColors>
      <color rgb="FF78E795"/>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2"/>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0.00</c:formatCode>
                <c:ptCount val="12"/>
                <c:pt idx="0">
                  <c:v>1834998.3709999996</c:v>
                </c:pt>
                <c:pt idx="1">
                  <c:v>2945804.767</c:v>
                </c:pt>
                <c:pt idx="2">
                  <c:v>2492592.7360000005</c:v>
                </c:pt>
                <c:pt idx="3">
                  <c:v>3549473.6460000006</c:v>
                </c:pt>
                <c:pt idx="4">
                  <c:v>3768683.3090000013</c:v>
                </c:pt>
                <c:pt idx="5">
                  <c:v>3839063.0834999997</c:v>
                </c:pt>
                <c:pt idx="6">
                  <c:v>5384950.5504999999</c:v>
                </c:pt>
                <c:pt idx="7">
                  <c:v>3120479.2729999986</c:v>
                </c:pt>
                <c:pt idx="8">
                  <c:v>3305933.2185</c:v>
                </c:pt>
                <c:pt idx="9">
                  <c:v>4317518.1080000009</c:v>
                </c:pt>
                <c:pt idx="10">
                  <c:v>3234209.5855</c:v>
                </c:pt>
                <c:pt idx="11">
                  <c:v>3899618.225000001</c:v>
                </c:pt>
              </c:numCache>
            </c:numRef>
          </c:val>
          <c:smooth val="0"/>
          <c:extLst>
            <c:ext xmlns:c16="http://schemas.microsoft.com/office/drawing/2014/chart" uri="{C3380CC4-5D6E-409C-BE32-E72D297353CC}">
              <c16:uniqueId val="{00000000-DFA8-4AD2-8B39-1977A08910FB}"/>
            </c:ext>
          </c:extLst>
        </c:ser>
        <c:dLbls>
          <c:showLegendKey val="0"/>
          <c:showVal val="0"/>
          <c:showCatName val="0"/>
          <c:showSerName val="0"/>
          <c:showPercent val="0"/>
          <c:showBubbleSize val="0"/>
        </c:dLbls>
        <c:smooth val="0"/>
        <c:axId val="1201985135"/>
        <c:axId val="1202000495"/>
      </c:lineChart>
      <c:catAx>
        <c:axId val="12019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00495"/>
        <c:crosses val="autoZero"/>
        <c:auto val="1"/>
        <c:lblAlgn val="ctr"/>
        <c:lblOffset val="100"/>
        <c:noMultiLvlLbl val="0"/>
      </c:catAx>
      <c:valAx>
        <c:axId val="12020004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851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2"/>
            </a:solidFill>
            <a:ln>
              <a:noFill/>
            </a:ln>
            <a:effectLst/>
          </c:spPr>
          <c:invertIfNegative val="0"/>
          <c:cat>
            <c:strRef>
              <c:f>'Pivot Tables'!$A$20:$A$30</c:f>
              <c:strCache>
                <c:ptCount val="10"/>
                <c:pt idx="0">
                  <c:v>Ratnapura</c:v>
                </c:pt>
                <c:pt idx="1">
                  <c:v>Kandy</c:v>
                </c:pt>
                <c:pt idx="2">
                  <c:v>Colombo</c:v>
                </c:pt>
                <c:pt idx="3">
                  <c:v>Negombo</c:v>
                </c:pt>
                <c:pt idx="4">
                  <c:v>Badulla</c:v>
                </c:pt>
                <c:pt idx="5">
                  <c:v>Matara</c:v>
                </c:pt>
                <c:pt idx="6">
                  <c:v>Jaffna</c:v>
                </c:pt>
                <c:pt idx="7">
                  <c:v>Trincomalee</c:v>
                </c:pt>
                <c:pt idx="8">
                  <c:v>Kurunegala</c:v>
                </c:pt>
                <c:pt idx="9">
                  <c:v>Galle</c:v>
                </c:pt>
              </c:strCache>
            </c:strRef>
          </c:cat>
          <c:val>
            <c:numRef>
              <c:f>'Pivot Tables'!$B$20:$B$30</c:f>
              <c:numCache>
                <c:formatCode>0.00</c:formatCode>
                <c:ptCount val="10"/>
                <c:pt idx="0">
                  <c:v>7527339.3765000012</c:v>
                </c:pt>
                <c:pt idx="1">
                  <c:v>6059056.1075000037</c:v>
                </c:pt>
                <c:pt idx="2">
                  <c:v>4353763.7250000006</c:v>
                </c:pt>
                <c:pt idx="3">
                  <c:v>4282421.3504999988</c:v>
                </c:pt>
                <c:pt idx="4">
                  <c:v>4063421.3739999994</c:v>
                </c:pt>
                <c:pt idx="5">
                  <c:v>3772583.2425000006</c:v>
                </c:pt>
                <c:pt idx="6">
                  <c:v>3312728.065500001</c:v>
                </c:pt>
                <c:pt idx="7">
                  <c:v>2996145.3025000021</c:v>
                </c:pt>
                <c:pt idx="8">
                  <c:v>2975030.4639999997</c:v>
                </c:pt>
                <c:pt idx="9">
                  <c:v>2350835.8650000002</c:v>
                </c:pt>
              </c:numCache>
            </c:numRef>
          </c:val>
          <c:extLst>
            <c:ext xmlns:c16="http://schemas.microsoft.com/office/drawing/2014/chart" uri="{C3380CC4-5D6E-409C-BE32-E72D297353CC}">
              <c16:uniqueId val="{00000000-C7A3-4859-BB84-9226B812B9A8}"/>
            </c:ext>
          </c:extLst>
        </c:ser>
        <c:dLbls>
          <c:dLblPos val="outEnd"/>
          <c:showLegendKey val="0"/>
          <c:showVal val="0"/>
          <c:showCatName val="0"/>
          <c:showSerName val="0"/>
          <c:showPercent val="0"/>
          <c:showBubbleSize val="0"/>
        </c:dLbls>
        <c:gapWidth val="182"/>
        <c:axId val="1182453119"/>
        <c:axId val="1182455519"/>
      </c:barChart>
      <c:catAx>
        <c:axId val="118245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55519"/>
        <c:crosses val="autoZero"/>
        <c:auto val="1"/>
        <c:lblAlgn val="ctr"/>
        <c:lblOffset val="100"/>
        <c:noMultiLvlLbl val="0"/>
      </c:catAx>
      <c:valAx>
        <c:axId val="118245551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5311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Tables'!$B$36</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Tables'!$A$37:$A$47</c:f>
              <c:strCache>
                <c:ptCount val="10"/>
                <c:pt idx="0">
                  <c:v>Laptop</c:v>
                </c:pt>
                <c:pt idx="1">
                  <c:v>Camera</c:v>
                </c:pt>
                <c:pt idx="2">
                  <c:v>Smart TV</c:v>
                </c:pt>
                <c:pt idx="3">
                  <c:v>Smartphone</c:v>
                </c:pt>
                <c:pt idx="4">
                  <c:v>Tablet</c:v>
                </c:pt>
                <c:pt idx="5">
                  <c:v>Cookware Set</c:v>
                </c:pt>
                <c:pt idx="6">
                  <c:v>Headphones</c:v>
                </c:pt>
                <c:pt idx="7">
                  <c:v>Saree</c:v>
                </c:pt>
                <c:pt idx="8">
                  <c:v>Running Shoes</c:v>
                </c:pt>
                <c:pt idx="9">
                  <c:v>Cricket Bat</c:v>
                </c:pt>
              </c:strCache>
            </c:strRef>
          </c:cat>
          <c:val>
            <c:numRef>
              <c:f>'Pivot Tables'!$B$37:$B$47</c:f>
              <c:numCache>
                <c:formatCode>0.00</c:formatCode>
                <c:ptCount val="10"/>
                <c:pt idx="0">
                  <c:v>10139254.509000001</c:v>
                </c:pt>
                <c:pt idx="1">
                  <c:v>6992425.7704999996</c:v>
                </c:pt>
                <c:pt idx="2">
                  <c:v>6915558.6069999989</c:v>
                </c:pt>
                <c:pt idx="3">
                  <c:v>5861135.5410000002</c:v>
                </c:pt>
                <c:pt idx="4">
                  <c:v>3324724.6839999999</c:v>
                </c:pt>
                <c:pt idx="5">
                  <c:v>932626.51349999988</c:v>
                </c:pt>
                <c:pt idx="6">
                  <c:v>880770.3899999999</c:v>
                </c:pt>
                <c:pt idx="7">
                  <c:v>735262.65350000013</c:v>
                </c:pt>
                <c:pt idx="8">
                  <c:v>673416.9645</c:v>
                </c:pt>
                <c:pt idx="9">
                  <c:v>445621.53150000004</c:v>
                </c:pt>
              </c:numCache>
            </c:numRef>
          </c:val>
          <c:extLst>
            <c:ext xmlns:c16="http://schemas.microsoft.com/office/drawing/2014/chart" uri="{C3380CC4-5D6E-409C-BE32-E72D297353CC}">
              <c16:uniqueId val="{00000000-DCB1-45A2-B735-0C31FEEB36F4}"/>
            </c:ext>
          </c:extLst>
        </c:ser>
        <c:dLbls>
          <c:dLblPos val="outEnd"/>
          <c:showLegendKey val="0"/>
          <c:showVal val="1"/>
          <c:showCatName val="0"/>
          <c:showSerName val="0"/>
          <c:showPercent val="0"/>
          <c:showBubbleSize val="0"/>
        </c:dLbls>
        <c:gapWidth val="444"/>
        <c:overlap val="-90"/>
        <c:axId val="1671685935"/>
        <c:axId val="1671703695"/>
      </c:barChart>
      <c:catAx>
        <c:axId val="1671685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200" b="1" i="1"/>
                  <a:t>Products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71703695"/>
        <c:crosses val="autoZero"/>
        <c:auto val="1"/>
        <c:lblAlgn val="ctr"/>
        <c:lblOffset val="100"/>
        <c:noMultiLvlLbl val="0"/>
      </c:catAx>
      <c:valAx>
        <c:axId val="1671703695"/>
        <c:scaling>
          <c:orientation val="minMax"/>
        </c:scaling>
        <c:delete val="1"/>
        <c:axPos val="l"/>
        <c:numFmt formatCode="0.00" sourceLinked="1"/>
        <c:majorTickMark val="none"/>
        <c:minorTickMark val="none"/>
        <c:tickLblPos val="nextTo"/>
        <c:crossAx val="167168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Revunue by Payment Method</a:t>
            </a:r>
          </a:p>
        </c:rich>
      </c:tx>
      <c:layout>
        <c:manualLayout>
          <c:xMode val="edge"/>
          <c:yMode val="edge"/>
          <c:x val="0.2120763342082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4B-475C-B9AC-1AA9A45169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4B-475C-B9AC-1AA9A45169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4B-475C-B9AC-1AA9A45169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4B-475C-B9AC-1AA9A45169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4B-475C-B9AC-1AA9A45169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4B-475C-B9AC-1AA9A45169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Tables'!$A$81:$A$86</c:f>
              <c:strCache>
                <c:ptCount val="5"/>
                <c:pt idx="0">
                  <c:v>Debit Card</c:v>
                </c:pt>
                <c:pt idx="1">
                  <c:v>Cash</c:v>
                </c:pt>
                <c:pt idx="2">
                  <c:v>Online Transfer</c:v>
                </c:pt>
                <c:pt idx="3">
                  <c:v>Credit Card</c:v>
                </c:pt>
                <c:pt idx="4">
                  <c:v>Mobile Payment</c:v>
                </c:pt>
              </c:strCache>
            </c:strRef>
          </c:cat>
          <c:val>
            <c:numRef>
              <c:f>'Pivot Tables'!$B$81:$B$86</c:f>
              <c:numCache>
                <c:formatCode>0.00%</c:formatCode>
                <c:ptCount val="5"/>
                <c:pt idx="0">
                  <c:v>0.26775028185162214</c:v>
                </c:pt>
                <c:pt idx="1">
                  <c:v>0.19578093008213596</c:v>
                </c:pt>
                <c:pt idx="2">
                  <c:v>0.18640142694163958</c:v>
                </c:pt>
                <c:pt idx="3">
                  <c:v>0.17782960641999956</c:v>
                </c:pt>
                <c:pt idx="4">
                  <c:v>0.17223775470460287</c:v>
                </c:pt>
              </c:numCache>
            </c:numRef>
          </c:val>
          <c:extLst>
            <c:ext xmlns:c16="http://schemas.microsoft.com/office/drawing/2014/chart" uri="{C3380CC4-5D6E-409C-BE32-E72D297353CC}">
              <c16:uniqueId val="{00000000-CF27-417E-A949-AF23E960F9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Category-wise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Tables'!$B$96</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Tables'!$A$97:$A$104</c:f>
              <c:strCache>
                <c:ptCount val="7"/>
                <c:pt idx="0">
                  <c:v>Electronics</c:v>
                </c:pt>
                <c:pt idx="1">
                  <c:v>Home &amp; Garden</c:v>
                </c:pt>
                <c:pt idx="2">
                  <c:v>Sports</c:v>
                </c:pt>
                <c:pt idx="3">
                  <c:v>Clothing</c:v>
                </c:pt>
                <c:pt idx="4">
                  <c:v>Books</c:v>
                </c:pt>
                <c:pt idx="5">
                  <c:v>Health &amp; Beauty</c:v>
                </c:pt>
                <c:pt idx="6">
                  <c:v>Food &amp; Beverage</c:v>
                </c:pt>
              </c:strCache>
            </c:strRef>
          </c:cat>
          <c:val>
            <c:numRef>
              <c:f>'Pivot Tables'!$B$97:$B$104</c:f>
              <c:numCache>
                <c:formatCode>0.00</c:formatCode>
                <c:ptCount val="7"/>
                <c:pt idx="0">
                  <c:v>34113869.501499996</c:v>
                </c:pt>
                <c:pt idx="1">
                  <c:v>2279217.5484999991</c:v>
                </c:pt>
                <c:pt idx="2">
                  <c:v>1914252.8194999993</c:v>
                </c:pt>
                <c:pt idx="3">
                  <c:v>1549904.5164999999</c:v>
                </c:pt>
                <c:pt idx="4">
                  <c:v>788187.63699999999</c:v>
                </c:pt>
                <c:pt idx="5">
                  <c:v>595974.44250000012</c:v>
                </c:pt>
                <c:pt idx="6">
                  <c:v>451918.40749999991</c:v>
                </c:pt>
              </c:numCache>
            </c:numRef>
          </c:val>
          <c:extLst>
            <c:ext xmlns:c16="http://schemas.microsoft.com/office/drawing/2014/chart" uri="{C3380CC4-5D6E-409C-BE32-E72D297353CC}">
              <c16:uniqueId val="{00000000-29E4-48E4-83C3-F82AA5492219}"/>
            </c:ext>
          </c:extLst>
        </c:ser>
        <c:dLbls>
          <c:dLblPos val="outEnd"/>
          <c:showLegendKey val="0"/>
          <c:showVal val="1"/>
          <c:showCatName val="0"/>
          <c:showSerName val="0"/>
          <c:showPercent val="0"/>
          <c:showBubbleSize val="0"/>
        </c:dLbls>
        <c:gapWidth val="444"/>
        <c:overlap val="-90"/>
        <c:axId val="1813281967"/>
        <c:axId val="1813311727"/>
      </c:barChart>
      <c:catAx>
        <c:axId val="181328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3311727"/>
        <c:crosses val="autoZero"/>
        <c:auto val="1"/>
        <c:lblAlgn val="ctr"/>
        <c:lblOffset val="100"/>
        <c:noMultiLvlLbl val="0"/>
      </c:catAx>
      <c:valAx>
        <c:axId val="1813311727"/>
        <c:scaling>
          <c:orientation val="minMax"/>
        </c:scaling>
        <c:delete val="1"/>
        <c:axPos val="l"/>
        <c:numFmt formatCode="0.00" sourceLinked="1"/>
        <c:majorTickMark val="none"/>
        <c:minorTickMark val="none"/>
        <c:tickLblPos val="nextTo"/>
        <c:crossAx val="181328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Tables!PivotTable1</c:name>
    <c:fmtId val="6"/>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2"/>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0.00</c:formatCode>
                <c:ptCount val="12"/>
                <c:pt idx="0">
                  <c:v>1834998.3709999996</c:v>
                </c:pt>
                <c:pt idx="1">
                  <c:v>2945804.767</c:v>
                </c:pt>
                <c:pt idx="2">
                  <c:v>2492592.7360000005</c:v>
                </c:pt>
                <c:pt idx="3">
                  <c:v>3549473.6460000006</c:v>
                </c:pt>
                <c:pt idx="4">
                  <c:v>3768683.3090000013</c:v>
                </c:pt>
                <c:pt idx="5">
                  <c:v>3839063.0834999997</c:v>
                </c:pt>
                <c:pt idx="6">
                  <c:v>5384950.5504999999</c:v>
                </c:pt>
                <c:pt idx="7">
                  <c:v>3120479.2729999986</c:v>
                </c:pt>
                <c:pt idx="8">
                  <c:v>3305933.2185</c:v>
                </c:pt>
                <c:pt idx="9">
                  <c:v>4317518.1080000009</c:v>
                </c:pt>
                <c:pt idx="10">
                  <c:v>3234209.5855</c:v>
                </c:pt>
                <c:pt idx="11">
                  <c:v>3899618.225000001</c:v>
                </c:pt>
              </c:numCache>
            </c:numRef>
          </c:val>
          <c:smooth val="0"/>
          <c:extLst>
            <c:ext xmlns:c16="http://schemas.microsoft.com/office/drawing/2014/chart" uri="{C3380CC4-5D6E-409C-BE32-E72D297353CC}">
              <c16:uniqueId val="{00000000-9664-4A98-8EC1-F72F9BE10A8B}"/>
            </c:ext>
          </c:extLst>
        </c:ser>
        <c:dLbls>
          <c:showLegendKey val="0"/>
          <c:showVal val="0"/>
          <c:showCatName val="0"/>
          <c:showSerName val="0"/>
          <c:showPercent val="0"/>
          <c:showBubbleSize val="0"/>
        </c:dLbls>
        <c:smooth val="0"/>
        <c:axId val="1201985135"/>
        <c:axId val="1202000495"/>
      </c:lineChart>
      <c:catAx>
        <c:axId val="12019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02000495"/>
        <c:crosses val="autoZero"/>
        <c:auto val="1"/>
        <c:lblAlgn val="ctr"/>
        <c:lblOffset val="100"/>
        <c:noMultiLvlLbl val="0"/>
      </c:catAx>
      <c:valAx>
        <c:axId val="12020004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019851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Tables!PivotTable2</c:name>
    <c:fmtId val="9"/>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2"/>
            </a:solidFill>
            <a:ln>
              <a:noFill/>
            </a:ln>
            <a:effectLst/>
          </c:spPr>
          <c:invertIfNegative val="0"/>
          <c:cat>
            <c:strRef>
              <c:f>'Pivot Tables'!$A$20:$A$30</c:f>
              <c:strCache>
                <c:ptCount val="10"/>
                <c:pt idx="0">
                  <c:v>Ratnapura</c:v>
                </c:pt>
                <c:pt idx="1">
                  <c:v>Kandy</c:v>
                </c:pt>
                <c:pt idx="2">
                  <c:v>Colombo</c:v>
                </c:pt>
                <c:pt idx="3">
                  <c:v>Negombo</c:v>
                </c:pt>
                <c:pt idx="4">
                  <c:v>Badulla</c:v>
                </c:pt>
                <c:pt idx="5">
                  <c:v>Matara</c:v>
                </c:pt>
                <c:pt idx="6">
                  <c:v>Jaffna</c:v>
                </c:pt>
                <c:pt idx="7">
                  <c:v>Trincomalee</c:v>
                </c:pt>
                <c:pt idx="8">
                  <c:v>Kurunegala</c:v>
                </c:pt>
                <c:pt idx="9">
                  <c:v>Galle</c:v>
                </c:pt>
              </c:strCache>
            </c:strRef>
          </c:cat>
          <c:val>
            <c:numRef>
              <c:f>'Pivot Tables'!$B$20:$B$30</c:f>
              <c:numCache>
                <c:formatCode>0.00</c:formatCode>
                <c:ptCount val="10"/>
                <c:pt idx="0">
                  <c:v>7527339.3765000012</c:v>
                </c:pt>
                <c:pt idx="1">
                  <c:v>6059056.1075000037</c:v>
                </c:pt>
                <c:pt idx="2">
                  <c:v>4353763.7250000006</c:v>
                </c:pt>
                <c:pt idx="3">
                  <c:v>4282421.3504999988</c:v>
                </c:pt>
                <c:pt idx="4">
                  <c:v>4063421.3739999994</c:v>
                </c:pt>
                <c:pt idx="5">
                  <c:v>3772583.2425000006</c:v>
                </c:pt>
                <c:pt idx="6">
                  <c:v>3312728.065500001</c:v>
                </c:pt>
                <c:pt idx="7">
                  <c:v>2996145.3025000021</c:v>
                </c:pt>
                <c:pt idx="8">
                  <c:v>2975030.4639999997</c:v>
                </c:pt>
                <c:pt idx="9">
                  <c:v>2350835.8650000002</c:v>
                </c:pt>
              </c:numCache>
            </c:numRef>
          </c:val>
          <c:extLst>
            <c:ext xmlns:c16="http://schemas.microsoft.com/office/drawing/2014/chart" uri="{C3380CC4-5D6E-409C-BE32-E72D297353CC}">
              <c16:uniqueId val="{00000000-A6D7-44BB-9677-4CB23829DFE0}"/>
            </c:ext>
          </c:extLst>
        </c:ser>
        <c:dLbls>
          <c:showLegendKey val="0"/>
          <c:showVal val="0"/>
          <c:showCatName val="0"/>
          <c:showSerName val="0"/>
          <c:showPercent val="0"/>
          <c:showBubbleSize val="0"/>
        </c:dLbls>
        <c:gapWidth val="182"/>
        <c:axId val="1182453119"/>
        <c:axId val="1182455519"/>
      </c:barChart>
      <c:catAx>
        <c:axId val="118245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82455519"/>
        <c:crosses val="autoZero"/>
        <c:auto val="1"/>
        <c:lblAlgn val="ctr"/>
        <c:lblOffset val="100"/>
        <c:noMultiLvlLbl val="0"/>
      </c:catAx>
      <c:valAx>
        <c:axId val="118245551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82453119"/>
        <c:crosses val="autoZero"/>
        <c:crossBetween val="between"/>
        <c:dispUnits>
          <c:builtInUnit val="millions"/>
          <c:dispUnitsLbl>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Tables!PivotTable3</c:name>
    <c:fmtId val="6"/>
  </c:pivotSource>
  <c:chart>
    <c:title>
      <c:tx>
        <c:rich>
          <a:bodyPr rot="0" spcFirstLastPara="1" vertOverflow="ellipsis" vert="horz" wrap="square" anchor="ctr" anchorCtr="1"/>
          <a:lstStyle/>
          <a:p>
            <a:pPr>
              <a:defRPr sz="1680" b="1" i="0" u="none" strike="noStrike" kern="1200" cap="all" spc="120" normalizeH="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8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Tables'!$B$36</c:f>
              <c:strCache>
                <c:ptCount val="1"/>
                <c:pt idx="0">
                  <c:v>Total</c:v>
                </c:pt>
              </c:strCache>
            </c:strRef>
          </c:tx>
          <c:spPr>
            <a:solidFill>
              <a:schemeClr val="accent2"/>
            </a:solidFill>
            <a:ln>
              <a:noFill/>
            </a:ln>
            <a:effectLst/>
          </c:spPr>
          <c:invertIfNegative val="0"/>
          <c:dLbls>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Tables'!$A$37:$A$47</c:f>
              <c:strCache>
                <c:ptCount val="10"/>
                <c:pt idx="0">
                  <c:v>Laptop</c:v>
                </c:pt>
                <c:pt idx="1">
                  <c:v>Camera</c:v>
                </c:pt>
                <c:pt idx="2">
                  <c:v>Smart TV</c:v>
                </c:pt>
                <c:pt idx="3">
                  <c:v>Smartphone</c:v>
                </c:pt>
                <c:pt idx="4">
                  <c:v>Tablet</c:v>
                </c:pt>
                <c:pt idx="5">
                  <c:v>Cookware Set</c:v>
                </c:pt>
                <c:pt idx="6">
                  <c:v>Headphones</c:v>
                </c:pt>
                <c:pt idx="7">
                  <c:v>Saree</c:v>
                </c:pt>
                <c:pt idx="8">
                  <c:v>Running Shoes</c:v>
                </c:pt>
                <c:pt idx="9">
                  <c:v>Cricket Bat</c:v>
                </c:pt>
              </c:strCache>
            </c:strRef>
          </c:cat>
          <c:val>
            <c:numRef>
              <c:f>'Pivot Tables'!$B$37:$B$47</c:f>
              <c:numCache>
                <c:formatCode>0.00</c:formatCode>
                <c:ptCount val="10"/>
                <c:pt idx="0">
                  <c:v>10139254.509000001</c:v>
                </c:pt>
                <c:pt idx="1">
                  <c:v>6992425.7704999996</c:v>
                </c:pt>
                <c:pt idx="2">
                  <c:v>6915558.6069999989</c:v>
                </c:pt>
                <c:pt idx="3">
                  <c:v>5861135.5410000002</c:v>
                </c:pt>
                <c:pt idx="4">
                  <c:v>3324724.6839999999</c:v>
                </c:pt>
                <c:pt idx="5">
                  <c:v>932626.51349999988</c:v>
                </c:pt>
                <c:pt idx="6">
                  <c:v>880770.3899999999</c:v>
                </c:pt>
                <c:pt idx="7">
                  <c:v>735262.65350000013</c:v>
                </c:pt>
                <c:pt idx="8">
                  <c:v>673416.9645</c:v>
                </c:pt>
                <c:pt idx="9">
                  <c:v>445621.53150000004</c:v>
                </c:pt>
              </c:numCache>
            </c:numRef>
          </c:val>
          <c:extLst>
            <c:ext xmlns:c16="http://schemas.microsoft.com/office/drawing/2014/chart" uri="{C3380CC4-5D6E-409C-BE32-E72D297353CC}">
              <c16:uniqueId val="{00000000-6861-4AE6-B831-5FCF462F52C2}"/>
            </c:ext>
          </c:extLst>
        </c:ser>
        <c:dLbls>
          <c:dLblPos val="outEnd"/>
          <c:showLegendKey val="0"/>
          <c:showVal val="1"/>
          <c:showCatName val="0"/>
          <c:showSerName val="0"/>
          <c:showPercent val="0"/>
          <c:showBubbleSize val="0"/>
        </c:dLbls>
        <c:gapWidth val="444"/>
        <c:axId val="1671685935"/>
        <c:axId val="1671703695"/>
      </c:barChart>
      <c:catAx>
        <c:axId val="167168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n-lt"/>
                <a:ea typeface="+mn-ea"/>
                <a:cs typeface="+mn-cs"/>
              </a:defRPr>
            </a:pPr>
            <a:endParaRPr lang="en-US"/>
          </a:p>
        </c:txPr>
        <c:crossAx val="1671703695"/>
        <c:crosses val="autoZero"/>
        <c:auto val="1"/>
        <c:lblAlgn val="ctr"/>
        <c:lblOffset val="100"/>
        <c:noMultiLvlLbl val="0"/>
      </c:catAx>
      <c:valAx>
        <c:axId val="1671703695"/>
        <c:scaling>
          <c:orientation val="minMax"/>
        </c:scaling>
        <c:delete val="1"/>
        <c:axPos val="b"/>
        <c:numFmt formatCode="0.00" sourceLinked="1"/>
        <c:majorTickMark val="none"/>
        <c:minorTickMark val="none"/>
        <c:tickLblPos val="nextTo"/>
        <c:crossAx val="167168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Tables!PivotTable5</c:name>
    <c:fmtId val="9"/>
  </c:pivotSource>
  <c:chart>
    <c:title>
      <c:tx>
        <c:rich>
          <a:bodyPr rot="0" spcFirstLastPara="1" vertOverflow="ellipsis" vert="horz" wrap="square" anchor="ctr" anchorCtr="1"/>
          <a:lstStyle/>
          <a:p>
            <a:pPr>
              <a:defRPr sz="1680" b="1" i="0" u="none" strike="noStrike" kern="1200" cap="all" spc="120" normalizeH="0" baseline="0">
                <a:solidFill>
                  <a:schemeClr val="tx1">
                    <a:lumMod val="65000"/>
                    <a:lumOff val="35000"/>
                  </a:schemeClr>
                </a:solidFill>
                <a:latin typeface="+mn-lt"/>
                <a:ea typeface="+mn-ea"/>
                <a:cs typeface="+mn-cs"/>
              </a:defRPr>
            </a:pPr>
            <a:r>
              <a:rPr lang="en-US"/>
              <a:t>Category-wise Revenue</a:t>
            </a:r>
          </a:p>
        </c:rich>
      </c:tx>
      <c:overlay val="0"/>
      <c:spPr>
        <a:noFill/>
        <a:ln>
          <a:noFill/>
        </a:ln>
        <a:effectLst/>
      </c:spPr>
      <c:txPr>
        <a:bodyPr rot="0" spcFirstLastPara="1" vertOverflow="ellipsis" vert="horz" wrap="square" anchor="ctr" anchorCtr="1"/>
        <a:lstStyle/>
        <a:p>
          <a:pPr>
            <a:defRPr sz="168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Tables'!$B$96</c:f>
              <c:strCache>
                <c:ptCount val="1"/>
                <c:pt idx="0">
                  <c:v>Total</c:v>
                </c:pt>
              </c:strCache>
            </c:strRef>
          </c:tx>
          <c:spPr>
            <a:solidFill>
              <a:schemeClr val="accent2"/>
            </a:solidFill>
            <a:ln>
              <a:noFill/>
            </a:ln>
            <a:effectLst/>
          </c:spPr>
          <c:invertIfNegative val="0"/>
          <c:dLbls>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Tables'!$A$97:$A$104</c:f>
              <c:strCache>
                <c:ptCount val="7"/>
                <c:pt idx="0">
                  <c:v>Electronics</c:v>
                </c:pt>
                <c:pt idx="1">
                  <c:v>Home &amp; Garden</c:v>
                </c:pt>
                <c:pt idx="2">
                  <c:v>Sports</c:v>
                </c:pt>
                <c:pt idx="3">
                  <c:v>Clothing</c:v>
                </c:pt>
                <c:pt idx="4">
                  <c:v>Books</c:v>
                </c:pt>
                <c:pt idx="5">
                  <c:v>Health &amp; Beauty</c:v>
                </c:pt>
                <c:pt idx="6">
                  <c:v>Food &amp; Beverage</c:v>
                </c:pt>
              </c:strCache>
            </c:strRef>
          </c:cat>
          <c:val>
            <c:numRef>
              <c:f>'Pivot Tables'!$B$97:$B$104</c:f>
              <c:numCache>
                <c:formatCode>0.00</c:formatCode>
                <c:ptCount val="7"/>
                <c:pt idx="0">
                  <c:v>34113869.501499996</c:v>
                </c:pt>
                <c:pt idx="1">
                  <c:v>2279217.5484999991</c:v>
                </c:pt>
                <c:pt idx="2">
                  <c:v>1914252.8194999993</c:v>
                </c:pt>
                <c:pt idx="3">
                  <c:v>1549904.5164999999</c:v>
                </c:pt>
                <c:pt idx="4">
                  <c:v>788187.63699999999</c:v>
                </c:pt>
                <c:pt idx="5">
                  <c:v>595974.44250000012</c:v>
                </c:pt>
                <c:pt idx="6">
                  <c:v>451918.40749999991</c:v>
                </c:pt>
              </c:numCache>
            </c:numRef>
          </c:val>
          <c:extLst>
            <c:ext xmlns:c16="http://schemas.microsoft.com/office/drawing/2014/chart" uri="{C3380CC4-5D6E-409C-BE32-E72D297353CC}">
              <c16:uniqueId val="{00000000-DBC4-4821-8CDD-366CB2CBC01D}"/>
            </c:ext>
          </c:extLst>
        </c:ser>
        <c:dLbls>
          <c:dLblPos val="outEnd"/>
          <c:showLegendKey val="0"/>
          <c:showVal val="1"/>
          <c:showCatName val="0"/>
          <c:showSerName val="0"/>
          <c:showPercent val="0"/>
          <c:showBubbleSize val="0"/>
        </c:dLbls>
        <c:gapWidth val="444"/>
        <c:overlap val="-90"/>
        <c:axId val="1813281967"/>
        <c:axId val="1813311727"/>
      </c:barChart>
      <c:catAx>
        <c:axId val="181328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n-lt"/>
                <a:ea typeface="+mn-ea"/>
                <a:cs typeface="+mn-cs"/>
              </a:defRPr>
            </a:pPr>
            <a:endParaRPr lang="en-US"/>
          </a:p>
        </c:txPr>
        <c:crossAx val="1813311727"/>
        <c:crosses val="autoZero"/>
        <c:auto val="1"/>
        <c:lblAlgn val="ctr"/>
        <c:lblOffset val="100"/>
        <c:noMultiLvlLbl val="0"/>
      </c:catAx>
      <c:valAx>
        <c:axId val="1813311727"/>
        <c:scaling>
          <c:orientation val="minMax"/>
        </c:scaling>
        <c:delete val="1"/>
        <c:axPos val="l"/>
        <c:numFmt formatCode="0.00" sourceLinked="1"/>
        <c:majorTickMark val="none"/>
        <c:minorTickMark val="none"/>
        <c:tickLblPos val="nextTo"/>
        <c:crossAx val="181328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[SriLanka_Sales_Project.xlsx]Pivot Tables!PivotTable4</c:name>
    <c:fmtId val="11"/>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 Revenue by Payment Method</a:t>
            </a:r>
          </a:p>
        </c:rich>
      </c:tx>
      <c:layout>
        <c:manualLayout>
          <c:xMode val="edge"/>
          <c:yMode val="edge"/>
          <c:x val="0.19478180308272072"/>
          <c:y val="5.1824755194407338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A4-45FA-BDE0-1C98BA9ACD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A4-45FA-BDE0-1C98BA9ACD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A4-45FA-BDE0-1C98BA9ACD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A4-45FA-BDE0-1C98BA9ACD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A4-45FA-BDE0-1C98BA9ACD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A4-45FA-BDE0-1C98BA9ACD94}"/>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Tables'!$A$81:$A$86</c:f>
              <c:strCache>
                <c:ptCount val="5"/>
                <c:pt idx="0">
                  <c:v>Debit Card</c:v>
                </c:pt>
                <c:pt idx="1">
                  <c:v>Cash</c:v>
                </c:pt>
                <c:pt idx="2">
                  <c:v>Online Transfer</c:v>
                </c:pt>
                <c:pt idx="3">
                  <c:v>Credit Card</c:v>
                </c:pt>
                <c:pt idx="4">
                  <c:v>Mobile Payment</c:v>
                </c:pt>
              </c:strCache>
            </c:strRef>
          </c:cat>
          <c:val>
            <c:numRef>
              <c:f>'Pivot Tables'!$B$81:$B$86</c:f>
              <c:numCache>
                <c:formatCode>0.00%</c:formatCode>
                <c:ptCount val="5"/>
                <c:pt idx="0">
                  <c:v>0.26775028185162214</c:v>
                </c:pt>
                <c:pt idx="1">
                  <c:v>0.19578093008213596</c:v>
                </c:pt>
                <c:pt idx="2">
                  <c:v>0.18640142694163958</c:v>
                </c:pt>
                <c:pt idx="3">
                  <c:v>0.17782960641999956</c:v>
                </c:pt>
                <c:pt idx="4">
                  <c:v>0.17223775470460287</c:v>
                </c:pt>
              </c:numCache>
            </c:numRef>
          </c:val>
          <c:extLst>
            <c:ext xmlns:c16="http://schemas.microsoft.com/office/drawing/2014/chart" uri="{C3380CC4-5D6E-409C-BE32-E72D297353CC}">
              <c16:uniqueId val="{0000000C-93A4-45FA-BDE0-1C98BA9ACD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0</xdr:rowOff>
    </xdr:from>
    <xdr:to>
      <xdr:col>9</xdr:col>
      <xdr:colOff>342900</xdr:colOff>
      <xdr:row>14</xdr:row>
      <xdr:rowOff>76200</xdr:rowOff>
    </xdr:to>
    <xdr:graphicFrame macro="">
      <xdr:nvGraphicFramePr>
        <xdr:cNvPr id="2" name="Chart 1">
          <a:extLst>
            <a:ext uri="{FF2B5EF4-FFF2-40B4-BE49-F238E27FC236}">
              <a16:creationId xmlns:a16="http://schemas.microsoft.com/office/drawing/2014/main" id="{FDD02D11-59CA-E6E1-04CF-56F666122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28574</xdr:colOff>
      <xdr:row>17</xdr:row>
      <xdr:rowOff>185736</xdr:rowOff>
    </xdr:from>
    <xdr:to>
      <xdr:col>11</xdr:col>
      <xdr:colOff>485775</xdr:colOff>
      <xdr:row>31</xdr:row>
      <xdr:rowOff>190499</xdr:rowOff>
    </xdr:to>
    <xdr:graphicFrame macro="">
      <xdr:nvGraphicFramePr>
        <xdr:cNvPr id="3" name="Chart 2">
          <a:extLst>
            <a:ext uri="{FF2B5EF4-FFF2-40B4-BE49-F238E27FC236}">
              <a16:creationId xmlns:a16="http://schemas.microsoft.com/office/drawing/2014/main" id="{62CA2299-853C-1CA3-F1D8-4FA953D88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76199</xdr:colOff>
      <xdr:row>36</xdr:row>
      <xdr:rowOff>14286</xdr:rowOff>
    </xdr:from>
    <xdr:to>
      <xdr:col>13</xdr:col>
      <xdr:colOff>9524</xdr:colOff>
      <xdr:row>54</xdr:row>
      <xdr:rowOff>171449</xdr:rowOff>
    </xdr:to>
    <xdr:graphicFrame macro="">
      <xdr:nvGraphicFramePr>
        <xdr:cNvPr id="4" name="Chart 3">
          <a:extLst>
            <a:ext uri="{FF2B5EF4-FFF2-40B4-BE49-F238E27FC236}">
              <a16:creationId xmlns:a16="http://schemas.microsoft.com/office/drawing/2014/main" id="{4344A148-51AB-DD9C-665B-58D1F532E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1171575</xdr:colOff>
      <xdr:row>77</xdr:row>
      <xdr:rowOff>166687</xdr:rowOff>
    </xdr:from>
    <xdr:to>
      <xdr:col>9</xdr:col>
      <xdr:colOff>257175</xdr:colOff>
      <xdr:row>91</xdr:row>
      <xdr:rowOff>166687</xdr:rowOff>
    </xdr:to>
    <xdr:graphicFrame macro="">
      <xdr:nvGraphicFramePr>
        <xdr:cNvPr id="6" name="Chart 5">
          <a:extLst>
            <a:ext uri="{FF2B5EF4-FFF2-40B4-BE49-F238E27FC236}">
              <a16:creationId xmlns:a16="http://schemas.microsoft.com/office/drawing/2014/main" id="{072DBE47-23A8-BC6F-44ED-BDC527279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109536</xdr:colOff>
      <xdr:row>94</xdr:row>
      <xdr:rowOff>19050</xdr:rowOff>
    </xdr:from>
    <xdr:to>
      <xdr:col>14</xdr:col>
      <xdr:colOff>104775</xdr:colOff>
      <xdr:row>109</xdr:row>
      <xdr:rowOff>14287</xdr:rowOff>
    </xdr:to>
    <xdr:graphicFrame macro="">
      <xdr:nvGraphicFramePr>
        <xdr:cNvPr id="7" name="Chart 6">
          <a:extLst>
            <a:ext uri="{FF2B5EF4-FFF2-40B4-BE49-F238E27FC236}">
              <a16:creationId xmlns:a16="http://schemas.microsoft.com/office/drawing/2014/main" id="{9E7260AF-A900-2ADD-16C3-E306F99B9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31173</xdr:colOff>
      <xdr:row>1</xdr:row>
      <xdr:rowOff>142010</xdr:rowOff>
    </xdr:from>
    <xdr:to>
      <xdr:col>14</xdr:col>
      <xdr:colOff>41563</xdr:colOff>
      <xdr:row>13</xdr:row>
      <xdr:rowOff>162792</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2D50D420-992E-0041-BE98-C5CE324CB3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32718" y="349828"/>
              <a:ext cx="1828800"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472786</xdr:colOff>
      <xdr:row>18</xdr:row>
      <xdr:rowOff>46759</xdr:rowOff>
    </xdr:from>
    <xdr:to>
      <xdr:col>15</xdr:col>
      <xdr:colOff>483177</xdr:colOff>
      <xdr:row>30</xdr:row>
      <xdr:rowOff>77066</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EFD5CC76-30BF-E86E-0AA2-E525CEA1B0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80468" y="37182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117763</xdr:colOff>
      <xdr:row>6</xdr:row>
      <xdr:rowOff>159328</xdr:rowOff>
    </xdr:from>
    <xdr:to>
      <xdr:col>19</xdr:col>
      <xdr:colOff>128154</xdr:colOff>
      <xdr:row>19</xdr:row>
      <xdr:rowOff>51089</xdr:rowOff>
    </xdr:to>
    <mc:AlternateContent xmlns:mc="http://schemas.openxmlformats.org/markup-compatibility/2006">
      <mc:Choice xmlns:a14="http://schemas.microsoft.com/office/drawing/2010/main" Requires="a14">
        <xdr:graphicFrame macro="">
          <xdr:nvGraphicFramePr>
            <xdr:cNvPr id="9" name="Order_Status">
              <a:extLst>
                <a:ext uri="{FF2B5EF4-FFF2-40B4-BE49-F238E27FC236}">
                  <a16:creationId xmlns:a16="http://schemas.microsoft.com/office/drawing/2014/main" id="{D22AF0E9-C9BA-5749-1F86-11DF9234126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2049990" y="14062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30726</xdr:rowOff>
    </xdr:from>
    <xdr:to>
      <xdr:col>37</xdr:col>
      <xdr:colOff>476250</xdr:colOff>
      <xdr:row>50</xdr:row>
      <xdr:rowOff>17971</xdr:rowOff>
    </xdr:to>
    <xdr:grpSp>
      <xdr:nvGrpSpPr>
        <xdr:cNvPr id="26" name="Group 25">
          <a:extLst>
            <a:ext uri="{FF2B5EF4-FFF2-40B4-BE49-F238E27FC236}">
              <a16:creationId xmlns:a16="http://schemas.microsoft.com/office/drawing/2014/main" id="{A83BBA7F-2C33-7AAD-480E-77F17087D5C3}"/>
            </a:ext>
          </a:extLst>
        </xdr:cNvPr>
        <xdr:cNvGrpSpPr/>
      </xdr:nvGrpSpPr>
      <xdr:grpSpPr>
        <a:xfrm>
          <a:off x="0" y="30726"/>
          <a:ext cx="22903295" cy="9512245"/>
          <a:chOff x="31537" y="24848"/>
          <a:chExt cx="16256212" cy="8590947"/>
        </a:xfrm>
      </xdr:grpSpPr>
      <xdr:graphicFrame macro="">
        <xdr:nvGraphicFramePr>
          <xdr:cNvPr id="2" name="Chart 1">
            <a:extLst>
              <a:ext uri="{FF2B5EF4-FFF2-40B4-BE49-F238E27FC236}">
                <a16:creationId xmlns:a16="http://schemas.microsoft.com/office/drawing/2014/main" id="{E52A923C-DFA8-494C-A57C-3FF6A781F2AC}"/>
              </a:ext>
            </a:extLst>
          </xdr:cNvPr>
          <xdr:cNvGraphicFramePr>
            <a:graphicFrameLocks/>
          </xdr:cNvGraphicFramePr>
        </xdr:nvGraphicFramePr>
        <xdr:xfrm>
          <a:off x="2690812" y="1665169"/>
          <a:ext cx="4637656" cy="282533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F5BE230-611F-4E2B-A122-8D89545E3F2C}"/>
              </a:ext>
            </a:extLst>
          </xdr:cNvPr>
          <xdr:cNvGraphicFramePr>
            <a:graphicFrameLocks/>
          </xdr:cNvGraphicFramePr>
        </xdr:nvGraphicFramePr>
        <xdr:xfrm>
          <a:off x="8568388" y="4515786"/>
          <a:ext cx="7644816" cy="403744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1130510F-249D-4BE4-B2BA-77C7158BD957}"/>
              </a:ext>
            </a:extLst>
          </xdr:cNvPr>
          <xdr:cNvGraphicFramePr>
            <a:graphicFrameLocks/>
          </xdr:cNvGraphicFramePr>
        </xdr:nvGraphicFramePr>
        <xdr:xfrm>
          <a:off x="2684191" y="4529232"/>
          <a:ext cx="5850889" cy="40066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C889FE3-AFDB-4D8C-98E9-FF911F2AF560}"/>
              </a:ext>
            </a:extLst>
          </xdr:cNvPr>
          <xdr:cNvGraphicFramePr>
            <a:graphicFrameLocks/>
          </xdr:cNvGraphicFramePr>
        </xdr:nvGraphicFramePr>
        <xdr:xfrm>
          <a:off x="7341862" y="1726871"/>
          <a:ext cx="5814026" cy="283952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A41CE9EB-6845-4E07-BCBA-B2B88F2BDF78}"/>
              </a:ext>
            </a:extLst>
          </xdr:cNvPr>
          <xdr:cNvGraphicFramePr>
            <a:graphicFrameLocks/>
          </xdr:cNvGraphicFramePr>
        </xdr:nvGraphicFramePr>
        <xdr:xfrm>
          <a:off x="13135183" y="1731310"/>
          <a:ext cx="3071605" cy="283508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 name="Rectangle 7">
            <a:extLst>
              <a:ext uri="{FF2B5EF4-FFF2-40B4-BE49-F238E27FC236}">
                <a16:creationId xmlns:a16="http://schemas.microsoft.com/office/drawing/2014/main" id="{BC745F25-8A89-6AD3-326C-188DFA3DD7AD}"/>
              </a:ext>
            </a:extLst>
          </xdr:cNvPr>
          <xdr:cNvSpPr/>
        </xdr:nvSpPr>
        <xdr:spPr>
          <a:xfrm>
            <a:off x="31537" y="24848"/>
            <a:ext cx="16188172" cy="64190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2400">
                <a:latin typeface="Arial Black" panose="020B0A04020102020204" pitchFamily="34" charset="0"/>
                <a:ea typeface="Adobe Fan Heiti Std B" panose="020B0700000000000000" pitchFamily="34" charset="-128"/>
              </a:rPr>
              <a:t>SALES DASHBOARD</a:t>
            </a:r>
          </a:p>
        </xdr:txBody>
      </xdr:sp>
      <xdr:sp macro="" textlink="">
        <xdr:nvSpPr>
          <xdr:cNvPr id="9" name="Rectangle: Rounded Corners 8">
            <a:extLst>
              <a:ext uri="{FF2B5EF4-FFF2-40B4-BE49-F238E27FC236}">
                <a16:creationId xmlns:a16="http://schemas.microsoft.com/office/drawing/2014/main" id="{9A06AC65-57E4-6CEB-16DD-C3B5BCF7E569}"/>
              </a:ext>
            </a:extLst>
          </xdr:cNvPr>
          <xdr:cNvSpPr/>
        </xdr:nvSpPr>
        <xdr:spPr>
          <a:xfrm>
            <a:off x="329048" y="789214"/>
            <a:ext cx="3801341" cy="750794"/>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EE6657CA-3968-45C9-BDCC-E3658AEDA4E8}"/>
              </a:ext>
            </a:extLst>
          </xdr:cNvPr>
          <xdr:cNvSpPr/>
        </xdr:nvSpPr>
        <xdr:spPr>
          <a:xfrm>
            <a:off x="4437784" y="773040"/>
            <a:ext cx="3563215" cy="778173"/>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81D02689-987B-490A-A7B0-BA0ADB6DBB87}"/>
              </a:ext>
            </a:extLst>
          </xdr:cNvPr>
          <xdr:cNvSpPr/>
        </xdr:nvSpPr>
        <xdr:spPr>
          <a:xfrm>
            <a:off x="8126306" y="775960"/>
            <a:ext cx="3433580" cy="775253"/>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BB76CFCF-30A8-4845-8C9A-7CB959ADEC21}"/>
              </a:ext>
            </a:extLst>
          </xdr:cNvPr>
          <xdr:cNvSpPr/>
        </xdr:nvSpPr>
        <xdr:spPr>
          <a:xfrm>
            <a:off x="11798010" y="759787"/>
            <a:ext cx="4489739" cy="791427"/>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69" name="Text Box 1">
            <a:extLst>
              <a:ext uri="{FF2B5EF4-FFF2-40B4-BE49-F238E27FC236}">
                <a16:creationId xmlns:a16="http://schemas.microsoft.com/office/drawing/2014/main" id="{B365B076-0ADF-32FB-A7A1-20A46AD3B94B}"/>
              </a:ext>
            </a:extLst>
          </xdr:cNvPr>
          <xdr:cNvSpPr txBox="1">
            <a:spLocks noChangeArrowheads="1"/>
          </xdr:cNvSpPr>
        </xdr:nvSpPr>
        <xdr:spPr bwMode="auto">
          <a:xfrm>
            <a:off x="450276" y="901781"/>
            <a:ext cx="3593520" cy="571500"/>
          </a:xfrm>
          <a:prstGeom prst="rect">
            <a:avLst/>
          </a:prstGeom>
          <a:solidFill>
            <a:schemeClr val="accent2"/>
          </a:solidFill>
          <a:ln w="9525">
            <a:noFill/>
            <a:miter lim="800000"/>
            <a:headEnd/>
            <a:tailEnd/>
          </a:ln>
        </xdr:spPr>
        <xdr:txBody>
          <a:bodyPr vertOverflow="clip" wrap="square" lIns="27432" tIns="27432" rIns="0" bIns="0" anchor="ctr" upright="1"/>
          <a:lstStyle/>
          <a:p>
            <a:pPr algn="ctr" rtl="0">
              <a:defRPr sz="1000"/>
            </a:pPr>
            <a:r>
              <a:rPr lang="en-US" sz="1600" b="0" i="0" u="none" strike="noStrike" baseline="0">
                <a:solidFill>
                  <a:schemeClr val="bg1"/>
                </a:solidFill>
                <a:latin typeface="Adobe Arabic" panose="02040503050201020203" pitchFamily="18" charset="-78"/>
                <a:cs typeface="Adobe Arabic" panose="02040503050201020203" pitchFamily="18" charset="-78"/>
              </a:rPr>
              <a:t>TOTAL REVENUE</a:t>
            </a:r>
          </a:p>
          <a:p>
            <a:pPr algn="ctr" rtl="0">
              <a:defRPr sz="1000"/>
            </a:pPr>
            <a:r>
              <a:rPr lang="en-US" sz="2200" b="0" i="0" u="none" strike="noStrike" baseline="0">
                <a:solidFill>
                  <a:schemeClr val="bg1"/>
                </a:solidFill>
                <a:latin typeface="Adobe Arabic" panose="02040503050201020203" pitchFamily="18" charset="-78"/>
                <a:cs typeface="Adobe Arabic" panose="02040503050201020203" pitchFamily="18" charset="-78"/>
              </a:rPr>
              <a:t>LKR 41.7M</a:t>
            </a:r>
          </a:p>
        </xdr:txBody>
      </xdr:sp>
      <xdr:sp macro="" textlink="">
        <xdr:nvSpPr>
          <xdr:cNvPr id="7170" name="Text Box 2">
            <a:extLst>
              <a:ext uri="{FF2B5EF4-FFF2-40B4-BE49-F238E27FC236}">
                <a16:creationId xmlns:a16="http://schemas.microsoft.com/office/drawing/2014/main" id="{E43B9337-3D5B-3CD6-FE74-E7F3D33F92D1}"/>
              </a:ext>
            </a:extLst>
          </xdr:cNvPr>
          <xdr:cNvSpPr txBox="1">
            <a:spLocks noChangeArrowheads="1"/>
          </xdr:cNvSpPr>
        </xdr:nvSpPr>
        <xdr:spPr bwMode="auto">
          <a:xfrm>
            <a:off x="4662920" y="902292"/>
            <a:ext cx="3355399" cy="569259"/>
          </a:xfrm>
          <a:prstGeom prst="rect">
            <a:avLst/>
          </a:prstGeom>
          <a:solidFill>
            <a:schemeClr val="accent2"/>
          </a:solidFill>
          <a:ln w="9525">
            <a:noFill/>
            <a:miter lim="800000"/>
            <a:headEnd/>
            <a:tailEnd/>
          </a:ln>
        </xdr:spPr>
        <xdr:txBody>
          <a:bodyPr vertOverflow="clip" wrap="square" lIns="27432" tIns="22860" rIns="0" bIns="0" anchor="ctr" upright="1"/>
          <a:lstStyle/>
          <a:p>
            <a:pPr algn="ctr" rtl="0">
              <a:defRPr sz="1000"/>
            </a:pPr>
            <a:r>
              <a:rPr lang="en-US" sz="1600" b="0" i="0" u="none" strike="noStrike" baseline="0">
                <a:solidFill>
                  <a:schemeClr val="bg1"/>
                </a:solidFill>
                <a:latin typeface="Adobe Arabic" panose="02040503050201020203" pitchFamily="18" charset="-78"/>
                <a:cs typeface="Adobe Arabic" panose="02040503050201020203" pitchFamily="18" charset="-78"/>
              </a:rPr>
              <a:t>TOTAL ORDERS</a:t>
            </a:r>
          </a:p>
          <a:p>
            <a:pPr algn="ctr" rtl="0">
              <a:defRPr sz="1000"/>
            </a:pPr>
            <a:r>
              <a:rPr lang="en-US" sz="2200" b="0" i="0" u="none" strike="noStrike" baseline="0">
                <a:solidFill>
                  <a:schemeClr val="bg1"/>
                </a:solidFill>
                <a:latin typeface="Adobe Arabic" panose="02040503050201020203" pitchFamily="18" charset="-78"/>
                <a:cs typeface="Adobe Arabic" panose="02040503050201020203" pitchFamily="18" charset="-78"/>
              </a:rPr>
              <a:t>990</a:t>
            </a:r>
          </a:p>
        </xdr:txBody>
      </xdr:sp>
      <xdr:sp macro="" textlink="">
        <xdr:nvSpPr>
          <xdr:cNvPr id="7171" name="Text Box 3">
            <a:extLst>
              <a:ext uri="{FF2B5EF4-FFF2-40B4-BE49-F238E27FC236}">
                <a16:creationId xmlns:a16="http://schemas.microsoft.com/office/drawing/2014/main" id="{F3DBECF6-10F9-A7A9-AE96-2A58681742F8}"/>
              </a:ext>
            </a:extLst>
          </xdr:cNvPr>
          <xdr:cNvSpPr txBox="1">
            <a:spLocks noChangeArrowheads="1"/>
          </xdr:cNvSpPr>
        </xdr:nvSpPr>
        <xdr:spPr bwMode="auto">
          <a:xfrm>
            <a:off x="8240898" y="934890"/>
            <a:ext cx="3197761" cy="549088"/>
          </a:xfrm>
          <a:prstGeom prst="rect">
            <a:avLst/>
          </a:prstGeom>
          <a:solidFill>
            <a:schemeClr val="accent2"/>
          </a:solidFill>
          <a:ln w="9525">
            <a:noFill/>
            <a:miter lim="800000"/>
            <a:headEnd/>
            <a:tailEnd/>
          </a:ln>
        </xdr:spPr>
        <xdr:txBody>
          <a:bodyPr vertOverflow="clip" wrap="square" lIns="27432" tIns="22860" rIns="0" bIns="0" anchor="ctr" upright="1"/>
          <a:lstStyle/>
          <a:p>
            <a:pPr algn="ctr" rtl="0">
              <a:lnSpc>
                <a:spcPts val="1100"/>
              </a:lnSpc>
              <a:defRPr sz="1000"/>
            </a:pPr>
            <a:r>
              <a:rPr lang="en-US" sz="1600" b="0" i="0" u="none" strike="noStrike" baseline="0">
                <a:solidFill>
                  <a:schemeClr val="bg1"/>
                </a:solidFill>
                <a:latin typeface="Adobe Arabic" panose="02040503050201020203" pitchFamily="18" charset="-78"/>
                <a:cs typeface="Adobe Arabic" panose="02040503050201020203" pitchFamily="18" charset="-78"/>
              </a:rPr>
              <a:t>COMPLETION RATE</a:t>
            </a:r>
          </a:p>
          <a:p>
            <a:pPr algn="ctr" rtl="0">
              <a:lnSpc>
                <a:spcPts val="1100"/>
              </a:lnSpc>
              <a:defRPr sz="1000"/>
            </a:pPr>
            <a:endParaRPr lang="en-US" sz="2200" b="0" i="0" u="none" strike="noStrike" baseline="0">
              <a:solidFill>
                <a:srgbClr val="78E795"/>
              </a:solidFill>
              <a:latin typeface="Adobe Arabic" panose="02040503050201020203" pitchFamily="18" charset="-78"/>
              <a:cs typeface="Adobe Arabic" panose="02040503050201020203" pitchFamily="18" charset="-78"/>
            </a:endParaRPr>
          </a:p>
          <a:p>
            <a:pPr algn="ctr" rtl="0">
              <a:lnSpc>
                <a:spcPts val="1100"/>
              </a:lnSpc>
              <a:defRPr sz="1000"/>
            </a:pPr>
            <a:r>
              <a:rPr lang="en-US" sz="2200" b="0" i="0" u="none" strike="noStrike" baseline="0">
                <a:solidFill>
                  <a:srgbClr val="78E795"/>
                </a:solidFill>
                <a:latin typeface="Adobe Arabic" panose="02040503050201020203" pitchFamily="18" charset="-78"/>
                <a:cs typeface="Adobe Arabic" panose="02040503050201020203" pitchFamily="18" charset="-78"/>
              </a:rPr>
              <a:t>56%</a:t>
            </a:r>
          </a:p>
        </xdr:txBody>
      </xdr:sp>
      <xdr:sp macro="" textlink="">
        <xdr:nvSpPr>
          <xdr:cNvPr id="7172" name="Text Box 4">
            <a:extLst>
              <a:ext uri="{FF2B5EF4-FFF2-40B4-BE49-F238E27FC236}">
                <a16:creationId xmlns:a16="http://schemas.microsoft.com/office/drawing/2014/main" id="{012843ED-1606-4EEC-E884-7528B17E00E7}"/>
              </a:ext>
            </a:extLst>
          </xdr:cNvPr>
          <xdr:cNvSpPr txBox="1">
            <a:spLocks noChangeArrowheads="1"/>
          </xdr:cNvSpPr>
        </xdr:nvSpPr>
        <xdr:spPr bwMode="auto">
          <a:xfrm>
            <a:off x="11901921" y="917863"/>
            <a:ext cx="4195329" cy="553687"/>
          </a:xfrm>
          <a:prstGeom prst="rect">
            <a:avLst/>
          </a:prstGeom>
          <a:solidFill>
            <a:schemeClr val="accent2"/>
          </a:solidFill>
          <a:ln w="9525">
            <a:noFill/>
            <a:miter lim="800000"/>
            <a:headEnd/>
            <a:tailEnd/>
          </a:ln>
        </xdr:spPr>
        <xdr:txBody>
          <a:bodyPr vertOverflow="clip" wrap="square" lIns="27432" tIns="22860" rIns="0" bIns="0" anchor="ctr" upright="1"/>
          <a:lstStyle/>
          <a:p>
            <a:pPr algn="ctr" rtl="0">
              <a:lnSpc>
                <a:spcPts val="1100"/>
              </a:lnSpc>
              <a:defRPr sz="1000"/>
            </a:pPr>
            <a:r>
              <a:rPr lang="en-US" sz="1600" b="0" i="0" u="none" strike="noStrike" baseline="0">
                <a:solidFill>
                  <a:schemeClr val="bg1"/>
                </a:solidFill>
                <a:latin typeface="Adobe Arabic" panose="02040503050201020203" pitchFamily="18" charset="-78"/>
                <a:cs typeface="Adobe Arabic" panose="02040503050201020203" pitchFamily="18" charset="-78"/>
              </a:rPr>
              <a:t>CANCELLED ORDERS</a:t>
            </a:r>
          </a:p>
          <a:p>
            <a:pPr algn="ctr" rtl="0">
              <a:lnSpc>
                <a:spcPts val="1100"/>
              </a:lnSpc>
              <a:defRPr sz="1000"/>
            </a:pPr>
            <a:endParaRPr lang="en-US" sz="1600" b="0" i="0" u="none" strike="noStrike" baseline="0">
              <a:solidFill>
                <a:schemeClr val="bg1"/>
              </a:solidFill>
              <a:latin typeface="Adobe Arabic" panose="02040503050201020203" pitchFamily="18" charset="-78"/>
              <a:cs typeface="Adobe Arabic" panose="02040503050201020203" pitchFamily="18" charset="-78"/>
            </a:endParaRPr>
          </a:p>
          <a:p>
            <a:pPr algn="ctr" rtl="0">
              <a:lnSpc>
                <a:spcPts val="1100"/>
              </a:lnSpc>
              <a:defRPr sz="1000"/>
            </a:pPr>
            <a:r>
              <a:rPr lang="en-US" sz="2200" b="0" i="0" u="none" strike="noStrike" baseline="0">
                <a:solidFill>
                  <a:schemeClr val="bg1"/>
                </a:solidFill>
                <a:latin typeface="Adobe Arabic" panose="02040503050201020203" pitchFamily="18" charset="-78"/>
                <a:cs typeface="Adobe Arabic" panose="02040503050201020203" pitchFamily="18" charset="-78"/>
              </a:rPr>
              <a:t>166</a:t>
            </a:r>
          </a:p>
        </xdr:txBody>
      </xdr:sp>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D717D2DB-A8BE-4BE0-8D27-6E1824857873}"/>
                  </a:ext>
                </a:extLst>
              </xdr:cNvPr>
              <xdr:cNvGraphicFramePr/>
            </xdr:nvGraphicFramePr>
            <xdr:xfrm>
              <a:off x="119062" y="1757795"/>
              <a:ext cx="2459183" cy="2511137"/>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314" y="1949515"/>
                <a:ext cx="3464731" cy="2780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Order_Status 1">
                <a:extLst>
                  <a:ext uri="{FF2B5EF4-FFF2-40B4-BE49-F238E27FC236}">
                    <a16:creationId xmlns:a16="http://schemas.microsoft.com/office/drawing/2014/main" id="{5AFB0B80-0E11-468E-94DE-46DCFD1CA237}"/>
                  </a:ext>
                </a:extLst>
              </xdr:cNvPr>
              <xdr:cNvGraphicFramePr/>
            </xdr:nvGraphicFramePr>
            <xdr:xfrm>
              <a:off x="136380" y="4355523"/>
              <a:ext cx="2459182" cy="1593271"/>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147713" y="4825825"/>
                <a:ext cx="3464729" cy="176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4" name="Group 23">
            <a:extLst>
              <a:ext uri="{FF2B5EF4-FFF2-40B4-BE49-F238E27FC236}">
                <a16:creationId xmlns:a16="http://schemas.microsoft.com/office/drawing/2014/main" id="{F1D448E6-AD1E-B3AA-02E6-A9B3C4B74C43}"/>
              </a:ext>
            </a:extLst>
          </xdr:cNvPr>
          <xdr:cNvGrpSpPr/>
        </xdr:nvGrpSpPr>
        <xdr:grpSpPr>
          <a:xfrm>
            <a:off x="58801" y="6018067"/>
            <a:ext cx="2543256" cy="2597728"/>
            <a:chOff x="58801" y="6018067"/>
            <a:chExt cx="2543256" cy="2597728"/>
          </a:xfrm>
        </xdr:grpSpPr>
        <xdr:sp macro="" textlink="">
          <xdr:nvSpPr>
            <xdr:cNvPr id="23" name="Rectangle 22">
              <a:extLst>
                <a:ext uri="{FF2B5EF4-FFF2-40B4-BE49-F238E27FC236}">
                  <a16:creationId xmlns:a16="http://schemas.microsoft.com/office/drawing/2014/main" id="{121D3ABC-1805-8E6C-F3F4-ADF6A32EC7DD}"/>
                </a:ext>
              </a:extLst>
            </xdr:cNvPr>
            <xdr:cNvSpPr/>
          </xdr:nvSpPr>
          <xdr:spPr>
            <a:xfrm>
              <a:off x="58801" y="6018067"/>
              <a:ext cx="2543256" cy="2597728"/>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latin typeface="Adobe Arabic" panose="02040503050201020203" pitchFamily="18" charset="-78"/>
                  <a:cs typeface="Adobe Arabic" panose="02040503050201020203" pitchFamily="18" charset="-78"/>
                </a:rPr>
                <a:t>Insights</a:t>
              </a:r>
            </a:p>
          </xdr:txBody>
        </xdr:sp>
        <xdr:sp macro="" textlink="">
          <xdr:nvSpPr>
            <xdr:cNvPr id="7173" name="Text Box 5">
              <a:extLst>
                <a:ext uri="{FF2B5EF4-FFF2-40B4-BE49-F238E27FC236}">
                  <a16:creationId xmlns:a16="http://schemas.microsoft.com/office/drawing/2014/main" id="{70EDCE1D-A669-7BFC-991C-9BA46EC5975E}"/>
                </a:ext>
              </a:extLst>
            </xdr:cNvPr>
            <xdr:cNvSpPr txBox="1">
              <a:spLocks noChangeArrowheads="1"/>
            </xdr:cNvSpPr>
          </xdr:nvSpPr>
          <xdr:spPr bwMode="auto">
            <a:xfrm>
              <a:off x="58802" y="6329796"/>
              <a:ext cx="2407903" cy="2192158"/>
            </a:xfrm>
            <a:prstGeom prst="rect">
              <a:avLst/>
            </a:prstGeom>
            <a:solidFill>
              <a:schemeClr val="accent2"/>
            </a:solidFill>
            <a:ln w="9525">
              <a:noFill/>
              <a:miter lim="800000"/>
              <a:headEnd/>
              <a:tailEnd/>
            </a:ln>
          </xdr:spPr>
          <xdr:txBody>
            <a:bodyPr vertOverflow="clip" wrap="square" lIns="27432" tIns="18288" rIns="0" bIns="0" anchor="t" upright="1"/>
            <a:lstStyle/>
            <a:p>
              <a:pPr algn="l" rtl="0">
                <a:defRPr sz="1000"/>
              </a:pPr>
              <a:r>
                <a:rPr lang="en-US" sz="1400" b="0" i="0" u="none" strike="noStrike" baseline="0">
                  <a:solidFill>
                    <a:schemeClr val="bg1"/>
                  </a:solidFill>
                  <a:latin typeface="+mj-lt"/>
                  <a:cs typeface="Adobe Arabic" panose="02040503050201020203" pitchFamily="18" charset="-78"/>
                </a:rPr>
                <a:t>💡 Electronics = 82% of total revenue</a:t>
              </a:r>
            </a:p>
            <a:p>
              <a:pPr algn="l" rtl="0">
                <a:defRPr sz="1000"/>
              </a:pPr>
              <a:r>
                <a:rPr lang="en-US" sz="1400" b="0" i="0" u="none" strike="noStrike" baseline="0">
                  <a:solidFill>
                    <a:schemeClr val="bg1"/>
                  </a:solidFill>
                  <a:latin typeface="+mj-lt"/>
                  <a:cs typeface="Adobe Arabic" panose="02040503050201020203" pitchFamily="18" charset="-78"/>
                </a:rPr>
                <a:t>💡 July was peak month — LKR 5.4M</a:t>
              </a:r>
            </a:p>
            <a:p>
              <a:pPr algn="l" rtl="0">
                <a:defRPr sz="1000"/>
              </a:pPr>
              <a:r>
                <a:rPr lang="en-US" sz="1400" b="0" i="0" u="none" strike="noStrike" baseline="0">
                  <a:solidFill>
                    <a:schemeClr val="bg1"/>
                  </a:solidFill>
                  <a:latin typeface="+mj-lt"/>
                  <a:cs typeface="Adobe Arabic" panose="02040503050201020203" pitchFamily="18" charset="-78"/>
                </a:rPr>
                <a:t>💡 Ratnapura is #1 city — LKR 7.5M</a:t>
              </a:r>
            </a:p>
            <a:p>
              <a:pPr algn="l" rtl="0">
                <a:defRPr sz="1000"/>
              </a:pPr>
              <a:r>
                <a:rPr lang="en-US" sz="1400" b="0" i="0" u="none" strike="noStrike" baseline="0">
                  <a:solidFill>
                    <a:schemeClr val="bg1"/>
                  </a:solidFill>
                  <a:latin typeface="+mj-lt"/>
                  <a:cs typeface="Adobe Arabic" panose="02040503050201020203" pitchFamily="18" charset="-78"/>
                </a:rPr>
                <a:t>⚠️ 44% orders not yet completed</a:t>
              </a:r>
            </a:p>
            <a:p>
              <a:pPr algn="l" rtl="0">
                <a:defRPr sz="1000"/>
              </a:pPr>
              <a:r>
                <a:rPr lang="en-US" sz="1400" b="0" i="0" u="none" strike="noStrike" baseline="0">
                  <a:solidFill>
                    <a:schemeClr val="bg1"/>
                  </a:solidFill>
                  <a:latin typeface="+mj-lt"/>
                  <a:cs typeface="Adobe Arabic" panose="02040503050201020203" pitchFamily="18" charset="-78"/>
                </a:rPr>
                <a:t>💡 Debit Card most used — 26%</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0.927441898151" createdVersion="8" refreshedVersion="8" minRefreshableVersion="3" recordCount="990" xr:uid="{C8E62517-B16B-4AD4-9B74-DDA49D4996B4}">
  <cacheSource type="worksheet">
    <worksheetSource name="Table2"/>
  </cacheSource>
  <cacheFields count="17">
    <cacheField name="Order_ID" numFmtId="0">
      <sharedItems/>
    </cacheField>
    <cacheField name="clean_date" numFmtId="164">
      <sharedItems containsSemiMixedTypes="0" containsNonDate="0" containsDate="1" containsString="0" minDate="2023-04-15T00:00:00" maxDate="2026-01-09T00:00:00"/>
    </cacheField>
    <cacheField name="Month" numFmtId="164">
      <sharedItems count="12">
        <s v="Apr"/>
        <s v="May"/>
        <s v="Jun"/>
        <s v="Jul"/>
        <s v="Aug"/>
        <s v="Sep"/>
        <s v="Oct"/>
        <s v="Nov"/>
        <s v="Dec"/>
        <s v="Jan"/>
        <s v="Feb"/>
        <s v="Mar"/>
      </sharedItems>
    </cacheField>
    <cacheField name="Clean Name" numFmtId="0">
      <sharedItems/>
    </cacheField>
    <cacheField name="City" numFmtId="0">
      <sharedItems count="10">
        <s v="Colombo"/>
        <s v="Kandy"/>
        <s v="Trincomalee"/>
        <s v="Jaffna"/>
        <s v="Negombo"/>
        <s v="Kurunegala"/>
        <s v="Badulla"/>
        <s v="Ratnapura"/>
        <s v="Matara"/>
        <s v="Galle"/>
      </sharedItems>
    </cacheField>
    <cacheField name="Region" numFmtId="0">
      <sharedItems count="8">
        <s v="Western"/>
        <s v="Central"/>
        <s v="Eastern"/>
        <s v="Northern"/>
        <s v="North Western"/>
        <s v="Uva"/>
        <s v="Sabaragamuwa"/>
        <s v="Southern"/>
      </sharedItems>
    </cacheField>
    <cacheField name="Category" numFmtId="0">
      <sharedItems count="7">
        <s v="Books"/>
        <s v="Clothing"/>
        <s v="Food &amp; Beverage"/>
        <s v="Electronics"/>
        <s v="Home &amp; Garden"/>
        <s v="Sports"/>
        <s v="Health &amp; Beauty"/>
      </sharedItems>
    </cacheField>
    <cacheField name="Product" numFmtId="0">
      <sharedItems count="37">
        <s v="Cook Book"/>
        <s v="Jeans"/>
        <s v="Rice 5kg"/>
        <s v="Headphones"/>
        <s v="Pillow Set"/>
        <s v="Laptop"/>
        <s v="History Book"/>
        <s v="Gym Bag"/>
        <s v="Spices Pack"/>
        <s v="Toothpaste"/>
        <s v="Smartphone"/>
        <s v="Face Cream"/>
        <s v="Lamp"/>
        <s v="Self Help"/>
        <s v="Shampoo"/>
        <s v="Garden Hose"/>
        <s v="Saree"/>
        <s v="Running Shoes"/>
        <s v="Smart TV"/>
        <s v="Camera"/>
        <s v="Curtains"/>
        <s v="Sunscreen"/>
        <s v="Vitamins"/>
        <s v="Cookware Set"/>
        <s v="Football"/>
        <s v="Textbook"/>
        <s v="Shorts"/>
        <s v="Tea 500g"/>
        <s v="Dress"/>
        <s v="Novel"/>
        <s v="Cricket Bat"/>
        <s v="Coffee 250g"/>
        <s v="Yoga Mat"/>
        <s v="Coconut Oil"/>
        <s v="T-Shirt"/>
        <s v="Shirt"/>
        <s v="Tablet"/>
      </sharedItems>
    </cacheField>
    <cacheField name="Unit_Price" numFmtId="0">
      <sharedItems containsSemiMixedTypes="0" containsString="0" containsNumber="1" minValue="324.83" maxValue="164527.91"/>
    </cacheField>
    <cacheField name="Quantity" numFmtId="0">
      <sharedItems containsSemiMixedTypes="0" containsString="0" containsNumber="1" containsInteger="1" minValue="1" maxValue="5"/>
    </cacheField>
    <cacheField name="Discount_%" numFmtId="0">
      <sharedItems containsSemiMixedTypes="0" containsString="0" containsNumber="1" containsInteger="1" minValue="0" maxValue="50"/>
    </cacheField>
    <cacheField name="Gross_Total" numFmtId="2">
      <sharedItems containsSemiMixedTypes="0" containsString="0" containsNumber="1" minValue="341.63" maxValue="809593.1"/>
    </cacheField>
    <cacheField name="Discount_Amount" numFmtId="2">
      <sharedItems containsSemiMixedTypes="0" containsString="0" containsNumber="1" minValue="0" maxValue="96916.23"/>
    </cacheField>
    <cacheField name="Net_Total" numFmtId="2">
      <sharedItems containsSemiMixedTypes="0" containsString="0" containsNumber="1" minValue="299.82050000000004" maxValue="728633.79"/>
    </cacheField>
    <cacheField name="Payment_Method" numFmtId="0">
      <sharedItems count="6">
        <s v="Mobile Payment"/>
        <s v="Credit Card"/>
        <s v="Online Transfer"/>
        <s v="Debit Card"/>
        <s v="Unknown"/>
        <s v="Cash"/>
      </sharedItems>
    </cacheField>
    <cacheField name="Order_Status" numFmtId="0">
      <sharedItems count="4">
        <s v="Completed"/>
        <s v="Cancelled"/>
        <s v="Refunded"/>
        <s v="Pending"/>
      </sharedItems>
    </cacheField>
    <cacheField name="Sales_Rep" numFmtId="0">
      <sharedItems/>
    </cacheField>
  </cacheFields>
  <extLst>
    <ext xmlns:x14="http://schemas.microsoft.com/office/spreadsheetml/2009/9/main" uri="{725AE2AE-9491-48be-B2B4-4EB974FC3084}">
      <x14:pivotCacheDefinition pivotCacheId="1694306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s v="ORD-1000"/>
    <d v="2023-04-15T00:00:00"/>
    <x v="0"/>
    <s v="Dhanushka Silva"/>
    <x v="0"/>
    <x v="0"/>
    <x v="0"/>
    <x v="0"/>
    <n v="1423.47"/>
    <n v="2"/>
    <n v="5"/>
    <n v="2846.94"/>
    <n v="142.34700000000001"/>
    <n v="2704.5929999999998"/>
    <x v="0"/>
    <x v="0"/>
    <s v="Thilini Bandara"/>
  </r>
  <r>
    <s v="ORD-1001"/>
    <d v="2023-04-16T00:00:00"/>
    <x v="0"/>
    <s v="Nimali Perera"/>
    <x v="1"/>
    <x v="1"/>
    <x v="1"/>
    <x v="1"/>
    <n v="4504.82"/>
    <n v="1"/>
    <n v="5"/>
    <n v="4504.82"/>
    <n v="225.24099999999999"/>
    <n v="4279.5789999999997"/>
    <x v="1"/>
    <x v="1"/>
    <s v="Thilini Bandara"/>
  </r>
  <r>
    <s v="ORD-1002"/>
    <d v="2023-04-17T00:00:00"/>
    <x v="0"/>
    <s v="Ishara Gunasekara"/>
    <x v="2"/>
    <x v="2"/>
    <x v="2"/>
    <x v="2"/>
    <n v="2629.4"/>
    <n v="2"/>
    <n v="0"/>
    <n v="5258.8"/>
    <n v="0"/>
    <n v="5258.8"/>
    <x v="2"/>
    <x v="0"/>
    <s v="Kavya Fernando"/>
  </r>
  <r>
    <s v="ORD-1003"/>
    <d v="2023-04-18T00:00:00"/>
    <x v="0"/>
    <s v="Chamara Rajapaksa"/>
    <x v="1"/>
    <x v="1"/>
    <x v="3"/>
    <x v="3"/>
    <n v="11032.12"/>
    <n v="3"/>
    <n v="15"/>
    <n v="33096.36"/>
    <n v="4964.4540000000006"/>
    <n v="28131.905999999999"/>
    <x v="3"/>
    <x v="2"/>
    <s v="Amara Perera"/>
  </r>
  <r>
    <s v="ORD-1004"/>
    <d v="2023-04-19T00:00:00"/>
    <x v="0"/>
    <s v="Saman Bandara"/>
    <x v="1"/>
    <x v="1"/>
    <x v="4"/>
    <x v="4"/>
    <n v="3536.43"/>
    <n v="5"/>
    <n v="0"/>
    <n v="17682.149999999998"/>
    <n v="0"/>
    <n v="17682.149999999998"/>
    <x v="0"/>
    <x v="0"/>
    <s v="Amara Perera"/>
  </r>
  <r>
    <s v="ORD-1005"/>
    <d v="2023-04-20T00:00:00"/>
    <x v="0"/>
    <s v="Thilini Jayasuriya"/>
    <x v="3"/>
    <x v="3"/>
    <x v="3"/>
    <x v="5"/>
    <n v="160994.51"/>
    <n v="4"/>
    <n v="0"/>
    <n v="643978.04"/>
    <n v="0"/>
    <n v="643978.04"/>
    <x v="2"/>
    <x v="1"/>
    <s v="Kavya Fernando"/>
  </r>
  <r>
    <s v="ORD-1006"/>
    <d v="2023-04-21T00:00:00"/>
    <x v="0"/>
    <s v="Anusha Rajapaksa"/>
    <x v="4"/>
    <x v="0"/>
    <x v="0"/>
    <x v="0"/>
    <n v="1560.55"/>
    <n v="1"/>
    <n v="0"/>
    <n v="1560.55"/>
    <n v="0"/>
    <n v="1560.55"/>
    <x v="1"/>
    <x v="3"/>
    <s v="Dinesh Silva"/>
  </r>
  <r>
    <s v="ORD-1007"/>
    <d v="2023-04-22T00:00:00"/>
    <x v="0"/>
    <s v="Saman Dissanayake"/>
    <x v="3"/>
    <x v="3"/>
    <x v="0"/>
    <x v="6"/>
    <n v="1699.06"/>
    <n v="3"/>
    <n v="0"/>
    <n v="5097.18"/>
    <n v="0"/>
    <n v="5097.18"/>
    <x v="4"/>
    <x v="2"/>
    <s v="Amara Perera"/>
  </r>
  <r>
    <s v="ORD-1009"/>
    <d v="2023-04-24T00:00:00"/>
    <x v="0"/>
    <s v="Pradeep Fernando"/>
    <x v="4"/>
    <x v="0"/>
    <x v="0"/>
    <x v="6"/>
    <n v="1814.03"/>
    <n v="5"/>
    <n v="0"/>
    <n v="9070.15"/>
    <n v="0"/>
    <n v="9070.15"/>
    <x v="0"/>
    <x v="0"/>
    <s v="Kavya Fernando"/>
  </r>
  <r>
    <s v="ORD-1011"/>
    <d v="2023-04-26T00:00:00"/>
    <x v="0"/>
    <s v="Kamal Dissanayake"/>
    <x v="5"/>
    <x v="4"/>
    <x v="5"/>
    <x v="7"/>
    <n v="4526.2"/>
    <n v="5"/>
    <n v="0"/>
    <n v="22631"/>
    <n v="0"/>
    <n v="22631"/>
    <x v="5"/>
    <x v="1"/>
    <s v="Thilini Bandara"/>
  </r>
  <r>
    <s v="ORD-1012"/>
    <d v="2023-04-27T00:00:00"/>
    <x v="0"/>
    <s v="Dhanushka Rajapaksa"/>
    <x v="1"/>
    <x v="1"/>
    <x v="2"/>
    <x v="8"/>
    <n v="558.98"/>
    <n v="1"/>
    <n v="10"/>
    <n v="558.98"/>
    <n v="55.898000000000003"/>
    <n v="503.08199999999999"/>
    <x v="0"/>
    <x v="2"/>
    <s v="Dinesh Silva"/>
  </r>
  <r>
    <s v="ORD-1013"/>
    <d v="2023-04-28T00:00:00"/>
    <x v="0"/>
    <s v="Dilini Pathirana"/>
    <x v="3"/>
    <x v="3"/>
    <x v="6"/>
    <x v="9"/>
    <n v="357.63"/>
    <n v="2"/>
    <n v="0"/>
    <n v="715.26"/>
    <n v="0"/>
    <n v="715.26"/>
    <x v="1"/>
    <x v="3"/>
    <s v="Thilini Bandara"/>
  </r>
  <r>
    <s v="ORD-1014"/>
    <d v="2023-04-29T00:00:00"/>
    <x v="0"/>
    <s v="Nadeesha Rajapaksa"/>
    <x v="6"/>
    <x v="5"/>
    <x v="3"/>
    <x v="10"/>
    <n v="92294.68"/>
    <n v="3"/>
    <n v="0"/>
    <n v="276884.03999999998"/>
    <n v="0"/>
    <n v="276884.03999999998"/>
    <x v="5"/>
    <x v="0"/>
    <s v="Thilini Bandara"/>
  </r>
  <r>
    <s v="ORD-1015"/>
    <d v="2023-04-30T00:00:00"/>
    <x v="0"/>
    <s v="Kamal Kumara"/>
    <x v="6"/>
    <x v="5"/>
    <x v="6"/>
    <x v="11"/>
    <n v="1643.4"/>
    <n v="5"/>
    <n v="10"/>
    <n v="8217"/>
    <n v="821.7"/>
    <n v="7395.3"/>
    <x v="1"/>
    <x v="1"/>
    <s v="Ruwan Jayasuriya"/>
  </r>
  <r>
    <s v="ORD-1016"/>
    <d v="2023-05-01T00:00:00"/>
    <x v="1"/>
    <s v="Sanduni Wickramasinghe"/>
    <x v="7"/>
    <x v="6"/>
    <x v="6"/>
    <x v="9"/>
    <n v="344.62"/>
    <n v="2"/>
    <n v="5"/>
    <n v="689.24"/>
    <n v="34.461999999999996"/>
    <n v="654.77800000000002"/>
    <x v="1"/>
    <x v="1"/>
    <s v="Kavya Fernando"/>
  </r>
  <r>
    <s v="ORD-1017"/>
    <d v="2023-05-02T00:00:00"/>
    <x v="1"/>
    <s v="Thilini Pathirana"/>
    <x v="8"/>
    <x v="7"/>
    <x v="4"/>
    <x v="12"/>
    <n v="4456.34"/>
    <n v="2"/>
    <n v="10"/>
    <n v="8912.68"/>
    <n v="891.26800000000003"/>
    <n v="8021.4120000000003"/>
    <x v="4"/>
    <x v="0"/>
    <s v="Amara Perera"/>
  </r>
  <r>
    <s v="ORD-1019"/>
    <d v="2023-05-04T00:00:00"/>
    <x v="1"/>
    <s v="Dinesh Jayasuriya"/>
    <x v="3"/>
    <x v="3"/>
    <x v="0"/>
    <x v="13"/>
    <n v="1131.42"/>
    <n v="2"/>
    <n v="5"/>
    <n v="2262.84"/>
    <n v="113.14200000000001"/>
    <n v="2149.6980000000003"/>
    <x v="0"/>
    <x v="0"/>
    <s v="Dinesh Silva"/>
  </r>
  <r>
    <s v="ORD-1021"/>
    <d v="2023-05-06T00:00:00"/>
    <x v="1"/>
    <s v="Dhanushka Pathirana"/>
    <x v="1"/>
    <x v="1"/>
    <x v="3"/>
    <x v="3"/>
    <n v="12547.71"/>
    <n v="1"/>
    <n v="5"/>
    <n v="12547.71"/>
    <n v="627.38549999999998"/>
    <n v="11920.324499999999"/>
    <x v="1"/>
    <x v="0"/>
    <s v="Thilini Bandara"/>
  </r>
  <r>
    <s v="ORD-1022"/>
    <d v="2023-05-07T00:00:00"/>
    <x v="1"/>
    <s v="Ruwan Dissanayake"/>
    <x v="9"/>
    <x v="7"/>
    <x v="2"/>
    <x v="8"/>
    <n v="569.98"/>
    <n v="1"/>
    <n v="15"/>
    <n v="569.98"/>
    <n v="85.497000000000014"/>
    <n v="484.483"/>
    <x v="0"/>
    <x v="0"/>
    <s v="Amara Perera"/>
  </r>
  <r>
    <s v="ORD-1023"/>
    <d v="2023-05-08T00:00:00"/>
    <x v="1"/>
    <s v="Hasini Perera"/>
    <x v="1"/>
    <x v="1"/>
    <x v="6"/>
    <x v="14"/>
    <n v="606.62"/>
    <n v="4"/>
    <n v="0"/>
    <n v="2426.48"/>
    <n v="0"/>
    <n v="2426.48"/>
    <x v="1"/>
    <x v="2"/>
    <s v="Ruwan Jayasuriya"/>
  </r>
  <r>
    <s v="ORD-1024"/>
    <d v="2023-05-09T00:00:00"/>
    <x v="1"/>
    <s v="Sanduni Dissanayake"/>
    <x v="0"/>
    <x v="0"/>
    <x v="4"/>
    <x v="15"/>
    <n v="3038.85"/>
    <n v="4"/>
    <n v="15"/>
    <n v="12155.4"/>
    <n v="1823.31"/>
    <n v="10332.09"/>
    <x v="2"/>
    <x v="1"/>
    <s v="Thilini Bandara"/>
  </r>
  <r>
    <s v="ORD-1025"/>
    <d v="2023-05-10T00:00:00"/>
    <x v="1"/>
    <s v="Asela Gunasekara"/>
    <x v="9"/>
    <x v="7"/>
    <x v="1"/>
    <x v="16"/>
    <n v="7548.32"/>
    <n v="1"/>
    <n v="0"/>
    <n v="7548.32"/>
    <n v="0"/>
    <n v="7548.32"/>
    <x v="0"/>
    <x v="0"/>
    <s v="Kavya Fernando"/>
  </r>
  <r>
    <s v="ORD-1026"/>
    <d v="2023-05-11T00:00:00"/>
    <x v="1"/>
    <s v="Nimali Senanayake"/>
    <x v="6"/>
    <x v="5"/>
    <x v="5"/>
    <x v="17"/>
    <n v="8849.1200000000008"/>
    <n v="5"/>
    <n v="0"/>
    <n v="44245.600000000006"/>
    <n v="0"/>
    <n v="44245.600000000006"/>
    <x v="1"/>
    <x v="0"/>
    <s v="Thilini Bandara"/>
  </r>
  <r>
    <s v="ORD-1027"/>
    <d v="2023-05-12T00:00:00"/>
    <x v="1"/>
    <s v="Thilini Jayasuriya"/>
    <x v="5"/>
    <x v="4"/>
    <x v="3"/>
    <x v="18"/>
    <n v="113909.17"/>
    <n v="5"/>
    <n v="15"/>
    <n v="569545.85"/>
    <n v="85431.877500000002"/>
    <n v="484113.97249999997"/>
    <x v="4"/>
    <x v="0"/>
    <s v="Ruwan Jayasuriya"/>
  </r>
  <r>
    <s v="ORD-1029"/>
    <d v="2023-05-14T00:00:00"/>
    <x v="1"/>
    <s v="Dhanushka Wickramasinghe"/>
    <x v="6"/>
    <x v="5"/>
    <x v="2"/>
    <x v="2"/>
    <n v="2254.66"/>
    <n v="5"/>
    <n v="0"/>
    <n v="11273.3"/>
    <n v="0"/>
    <n v="11273.3"/>
    <x v="5"/>
    <x v="0"/>
    <s v="Thilini Bandara"/>
  </r>
  <r>
    <s v="ORD-1031"/>
    <d v="2023-05-16T00:00:00"/>
    <x v="1"/>
    <s v="Malika Senanayake"/>
    <x v="7"/>
    <x v="6"/>
    <x v="3"/>
    <x v="19"/>
    <n v="101024.98"/>
    <n v="3"/>
    <n v="0"/>
    <n v="303074.94"/>
    <n v="0"/>
    <n v="303074.94"/>
    <x v="5"/>
    <x v="0"/>
    <s v="Kavya Fernando"/>
  </r>
  <r>
    <s v="ORD-1032"/>
    <d v="2023-05-17T00:00:00"/>
    <x v="1"/>
    <s v="Dilini Kumara"/>
    <x v="7"/>
    <x v="6"/>
    <x v="1"/>
    <x v="16"/>
    <n v="7650.81"/>
    <n v="2"/>
    <n v="10"/>
    <n v="15301.62"/>
    <n v="1530.162"/>
    <n v="13771.458000000001"/>
    <x v="1"/>
    <x v="1"/>
    <s v="Kavya Fernando"/>
  </r>
  <r>
    <s v="ORD-1033"/>
    <d v="2023-05-18T00:00:00"/>
    <x v="1"/>
    <s v="Roshani Wickramasinghe"/>
    <x v="0"/>
    <x v="0"/>
    <x v="3"/>
    <x v="19"/>
    <n v="93547.94"/>
    <n v="3"/>
    <n v="15"/>
    <n v="280643.82"/>
    <n v="42096.572999999997"/>
    <n v="238547.247"/>
    <x v="5"/>
    <x v="0"/>
    <s v="Dinesh Silva"/>
  </r>
  <r>
    <s v="ORD-1034"/>
    <d v="2023-05-19T00:00:00"/>
    <x v="1"/>
    <s v="Pradeep Fernando"/>
    <x v="6"/>
    <x v="5"/>
    <x v="5"/>
    <x v="7"/>
    <n v="4554.82"/>
    <n v="1"/>
    <n v="0"/>
    <n v="4554.82"/>
    <n v="0"/>
    <n v="4554.82"/>
    <x v="1"/>
    <x v="3"/>
    <s v="Amara Perera"/>
  </r>
  <r>
    <s v="ORD-1035"/>
    <d v="2023-05-20T00:00:00"/>
    <x v="1"/>
    <s v="Rajith Bandara"/>
    <x v="9"/>
    <x v="7"/>
    <x v="4"/>
    <x v="20"/>
    <n v="4996.01"/>
    <n v="3"/>
    <n v="15"/>
    <n v="14988.03"/>
    <n v="2248.2045000000003"/>
    <n v="12739.825500000001"/>
    <x v="3"/>
    <x v="0"/>
    <s v="Dinesh Silva"/>
  </r>
  <r>
    <s v="ORD-1036"/>
    <d v="2023-05-21T00:00:00"/>
    <x v="1"/>
    <s v="Dilini Rajapaksa"/>
    <x v="7"/>
    <x v="6"/>
    <x v="6"/>
    <x v="21"/>
    <n v="1970.58"/>
    <n v="2"/>
    <n v="5"/>
    <n v="3941.16"/>
    <n v="197.05799999999999"/>
    <n v="3744.1019999999999"/>
    <x v="1"/>
    <x v="2"/>
    <s v="Dinesh Silva"/>
  </r>
  <r>
    <s v="ORD-1037"/>
    <d v="2023-05-22T00:00:00"/>
    <x v="1"/>
    <s v="Kasun Fernando"/>
    <x v="8"/>
    <x v="7"/>
    <x v="6"/>
    <x v="21"/>
    <n v="1908.8"/>
    <n v="2"/>
    <n v="5"/>
    <n v="3817.6"/>
    <n v="190.88"/>
    <n v="3626.72"/>
    <x v="4"/>
    <x v="2"/>
    <s v="Amara Perera"/>
  </r>
  <r>
    <s v="ORD-1039"/>
    <d v="2023-05-24T00:00:00"/>
    <x v="1"/>
    <s v="Thilak Wickramasinghe"/>
    <x v="1"/>
    <x v="1"/>
    <x v="6"/>
    <x v="22"/>
    <n v="2134.5"/>
    <n v="5"/>
    <n v="0"/>
    <n v="10672.5"/>
    <n v="0"/>
    <n v="10672.5"/>
    <x v="0"/>
    <x v="0"/>
    <s v="Amara Perera"/>
  </r>
  <r>
    <s v="ORD-1041"/>
    <d v="2023-05-26T00:00:00"/>
    <x v="1"/>
    <s v="Dilini Dissanayake"/>
    <x v="2"/>
    <x v="2"/>
    <x v="1"/>
    <x v="16"/>
    <n v="7271.02"/>
    <n v="4"/>
    <n v="15"/>
    <n v="29084.080000000002"/>
    <n v="4362.6120000000001"/>
    <n v="24721.468000000001"/>
    <x v="0"/>
    <x v="2"/>
    <s v="Thilini Bandara"/>
  </r>
  <r>
    <s v="ORD-1042"/>
    <d v="2023-05-27T00:00:00"/>
    <x v="1"/>
    <s v="Kavindi Kumara"/>
    <x v="4"/>
    <x v="0"/>
    <x v="2"/>
    <x v="8"/>
    <n v="548.4"/>
    <n v="3"/>
    <n v="15"/>
    <n v="1645.1999999999998"/>
    <n v="246.77999999999997"/>
    <n v="1398.4199999999998"/>
    <x v="3"/>
    <x v="1"/>
    <s v="Amara Perera"/>
  </r>
  <r>
    <s v="ORD-1043"/>
    <d v="2023-05-28T00:00:00"/>
    <x v="1"/>
    <s v="Malika Bandara"/>
    <x v="3"/>
    <x v="3"/>
    <x v="0"/>
    <x v="13"/>
    <n v="1158.28"/>
    <n v="3"/>
    <n v="15"/>
    <n v="3474.84"/>
    <n v="521.22600000000011"/>
    <n v="2953.614"/>
    <x v="1"/>
    <x v="0"/>
    <s v="Ruwan Jayasuriya"/>
  </r>
  <r>
    <s v="ORD-1044"/>
    <d v="2023-05-29T00:00:00"/>
    <x v="1"/>
    <s v="Bandara Pathirana"/>
    <x v="9"/>
    <x v="7"/>
    <x v="5"/>
    <x v="17"/>
    <n v="9121.7999999999993"/>
    <n v="5"/>
    <n v="5"/>
    <n v="45609"/>
    <n v="2280.4499999999998"/>
    <n v="43328.55"/>
    <x v="3"/>
    <x v="0"/>
    <s v="Dinesh Silva"/>
  </r>
  <r>
    <s v="ORD-1045"/>
    <d v="2023-05-30T00:00:00"/>
    <x v="1"/>
    <s v="Rajith Senanayake"/>
    <x v="8"/>
    <x v="7"/>
    <x v="4"/>
    <x v="23"/>
    <n v="11861.18"/>
    <n v="2"/>
    <n v="15"/>
    <n v="23722.36"/>
    <n v="3558.3540000000003"/>
    <n v="20164.006000000001"/>
    <x v="2"/>
    <x v="2"/>
    <s v="Dinesh Silva"/>
  </r>
  <r>
    <s v="ORD-1046"/>
    <d v="2023-05-31T00:00:00"/>
    <x v="1"/>
    <s v="Kamal Wickramasinghe"/>
    <x v="7"/>
    <x v="6"/>
    <x v="0"/>
    <x v="6"/>
    <n v="1740.67"/>
    <n v="2"/>
    <n v="0"/>
    <n v="3481.34"/>
    <n v="0"/>
    <n v="3481.34"/>
    <x v="3"/>
    <x v="0"/>
    <s v="Dinesh Silva"/>
  </r>
  <r>
    <s v="ORD-1047"/>
    <d v="2023-06-01T00:00:00"/>
    <x v="2"/>
    <s v="Kasun Perera"/>
    <x v="4"/>
    <x v="0"/>
    <x v="4"/>
    <x v="12"/>
    <n v="4814.76"/>
    <n v="1"/>
    <n v="0"/>
    <n v="4814.76"/>
    <n v="0"/>
    <n v="4814.76"/>
    <x v="4"/>
    <x v="1"/>
    <s v="Thilini Bandara"/>
  </r>
  <r>
    <s v="ORD-1049"/>
    <d v="2023-06-03T00:00:00"/>
    <x v="2"/>
    <s v="Dinesh Gunasekara"/>
    <x v="0"/>
    <x v="0"/>
    <x v="5"/>
    <x v="24"/>
    <n v="3792.23"/>
    <n v="1"/>
    <n v="15"/>
    <n v="3792.23"/>
    <n v="568.83449999999993"/>
    <n v="3223.3955000000001"/>
    <x v="1"/>
    <x v="2"/>
    <s v="Ruwan Jayasuriya"/>
  </r>
  <r>
    <s v="ORD-1051"/>
    <d v="2023-06-05T00:00:00"/>
    <x v="2"/>
    <s v="Roshani Gunasekara"/>
    <x v="3"/>
    <x v="3"/>
    <x v="6"/>
    <x v="14"/>
    <n v="694.18"/>
    <n v="3"/>
    <n v="0"/>
    <n v="2082.54"/>
    <n v="0"/>
    <n v="2082.54"/>
    <x v="2"/>
    <x v="1"/>
    <s v="Dinesh Silva"/>
  </r>
  <r>
    <s v="ORD-1052"/>
    <d v="2023-06-06T00:00:00"/>
    <x v="2"/>
    <s v="Saman Silva"/>
    <x v="3"/>
    <x v="3"/>
    <x v="1"/>
    <x v="16"/>
    <n v="7737.36"/>
    <n v="5"/>
    <n v="5"/>
    <n v="38686.799999999996"/>
    <n v="1934.3399999999997"/>
    <n v="36752.46"/>
    <x v="1"/>
    <x v="0"/>
    <s v="Dinesh Silva"/>
  </r>
  <r>
    <s v="ORD-1053"/>
    <d v="2023-06-07T00:00:00"/>
    <x v="2"/>
    <s v="Asela Fernando"/>
    <x v="4"/>
    <x v="0"/>
    <x v="3"/>
    <x v="3"/>
    <n v="11778.24"/>
    <n v="5"/>
    <n v="5"/>
    <n v="58891.199999999997"/>
    <n v="2944.56"/>
    <n v="55946.64"/>
    <x v="2"/>
    <x v="0"/>
    <s v="Dinesh Silva"/>
  </r>
  <r>
    <s v="ORD-1054"/>
    <d v="2023-06-08T00:00:00"/>
    <x v="2"/>
    <s v="Bandara Senanayake"/>
    <x v="0"/>
    <x v="0"/>
    <x v="6"/>
    <x v="9"/>
    <n v="341.63"/>
    <n v="1"/>
    <n v="5"/>
    <n v="341.63"/>
    <n v="17.081500000000002"/>
    <n v="324.54849999999999"/>
    <x v="3"/>
    <x v="2"/>
    <s v="Ruwan Jayasuriya"/>
  </r>
  <r>
    <s v="ORD-1055"/>
    <d v="2023-06-09T00:00:00"/>
    <x v="2"/>
    <s v="Hasini Kumara"/>
    <x v="7"/>
    <x v="6"/>
    <x v="6"/>
    <x v="9"/>
    <n v="377.85"/>
    <n v="4"/>
    <n v="0"/>
    <n v="1511.4"/>
    <n v="0"/>
    <n v="1511.4"/>
    <x v="3"/>
    <x v="0"/>
    <s v="Ruwan Jayasuriya"/>
  </r>
  <r>
    <s v="ORD-1056"/>
    <d v="2023-06-10T00:00:00"/>
    <x v="2"/>
    <s v="Bandara Rajapaksa"/>
    <x v="5"/>
    <x v="4"/>
    <x v="0"/>
    <x v="25"/>
    <n v="2670.25"/>
    <n v="2"/>
    <n v="10"/>
    <n v="5340.5"/>
    <n v="534.04999999999995"/>
    <n v="4806.45"/>
    <x v="0"/>
    <x v="0"/>
    <s v="Ruwan Jayasuriya"/>
  </r>
  <r>
    <s v="ORD-1057"/>
    <d v="2023-06-11T00:00:00"/>
    <x v="2"/>
    <s v="Rajith Pathirana"/>
    <x v="0"/>
    <x v="0"/>
    <x v="3"/>
    <x v="19"/>
    <n v="93643.64"/>
    <n v="4"/>
    <n v="0"/>
    <n v="374574.56"/>
    <n v="0"/>
    <n v="374574.56"/>
    <x v="4"/>
    <x v="0"/>
    <s v="Ruwan Jayasuriya"/>
  </r>
  <r>
    <s v="ORD-1058"/>
    <d v="2023-06-12T00:00:00"/>
    <x v="2"/>
    <s v="Chamara Gunasekara"/>
    <x v="8"/>
    <x v="7"/>
    <x v="2"/>
    <x v="8"/>
    <n v="573.39"/>
    <n v="4"/>
    <n v="15"/>
    <n v="2293.56"/>
    <n v="344.03399999999999"/>
    <n v="1949.5259999999998"/>
    <x v="5"/>
    <x v="0"/>
    <s v="Amara Perera"/>
  </r>
  <r>
    <s v="ORD-1059"/>
    <d v="2023-06-13T00:00:00"/>
    <x v="2"/>
    <s v="Hasini Perera"/>
    <x v="8"/>
    <x v="7"/>
    <x v="1"/>
    <x v="26"/>
    <n v="1096.47"/>
    <n v="1"/>
    <n v="10"/>
    <n v="1096.47"/>
    <n v="109.64700000000001"/>
    <n v="986.82299999999998"/>
    <x v="1"/>
    <x v="0"/>
    <s v="Amara Perera"/>
  </r>
  <r>
    <s v="ORD-1060"/>
    <d v="2023-06-14T00:00:00"/>
    <x v="2"/>
    <s v="Ruwan Jayasuriya"/>
    <x v="9"/>
    <x v="7"/>
    <x v="4"/>
    <x v="4"/>
    <n v="3544.78"/>
    <n v="2"/>
    <n v="10"/>
    <n v="7089.56"/>
    <n v="708.95600000000002"/>
    <n v="6380.6040000000003"/>
    <x v="3"/>
    <x v="2"/>
    <s v="Kavya Fernando"/>
  </r>
  <r>
    <s v="ORD-1061"/>
    <d v="2023-06-15T00:00:00"/>
    <x v="2"/>
    <s v="Nadeesha Senanayake"/>
    <x v="1"/>
    <x v="1"/>
    <x v="6"/>
    <x v="14"/>
    <n v="710.41"/>
    <n v="1"/>
    <n v="15"/>
    <n v="710.41"/>
    <n v="106.5615"/>
    <n v="603.84849999999994"/>
    <x v="5"/>
    <x v="0"/>
    <s v="Thilini Bandara"/>
  </r>
  <r>
    <s v="ORD-1062"/>
    <d v="2023-06-16T00:00:00"/>
    <x v="2"/>
    <s v="Bandara Dissanayake"/>
    <x v="4"/>
    <x v="0"/>
    <x v="3"/>
    <x v="18"/>
    <n v="124574.75"/>
    <n v="2"/>
    <n v="0"/>
    <n v="249149.5"/>
    <n v="0"/>
    <n v="249149.5"/>
    <x v="3"/>
    <x v="2"/>
    <s v="Thilini Bandara"/>
  </r>
  <r>
    <s v="ORD-1063"/>
    <d v="2023-06-17T00:00:00"/>
    <x v="2"/>
    <s v="Rajith Perera"/>
    <x v="8"/>
    <x v="7"/>
    <x v="5"/>
    <x v="7"/>
    <n v="4645.37"/>
    <n v="1"/>
    <n v="5"/>
    <n v="4645.37"/>
    <n v="232.26849999999999"/>
    <n v="4413.1014999999998"/>
    <x v="3"/>
    <x v="0"/>
    <s v="Ruwan Jayasuriya"/>
  </r>
  <r>
    <s v="ORD-1064"/>
    <d v="2023-06-18T00:00:00"/>
    <x v="2"/>
    <s v="Dilini Dissanayake"/>
    <x v="8"/>
    <x v="7"/>
    <x v="0"/>
    <x v="13"/>
    <n v="1249.75"/>
    <n v="4"/>
    <n v="10"/>
    <n v="4999"/>
    <n v="499.9"/>
    <n v="4499.1000000000004"/>
    <x v="0"/>
    <x v="1"/>
    <s v="Kavya Fernando"/>
  </r>
  <r>
    <s v="ORD-1065"/>
    <d v="2023-06-19T00:00:00"/>
    <x v="2"/>
    <s v="Hasini Gunasekara"/>
    <x v="6"/>
    <x v="5"/>
    <x v="4"/>
    <x v="12"/>
    <n v="4291.5600000000004"/>
    <n v="2"/>
    <n v="5"/>
    <n v="8583.1200000000008"/>
    <n v="429.15600000000006"/>
    <n v="8153.9640000000009"/>
    <x v="3"/>
    <x v="0"/>
    <s v="Dinesh Silva"/>
  </r>
  <r>
    <s v="ORD-1066"/>
    <d v="2023-06-20T00:00:00"/>
    <x v="2"/>
    <s v="Rajith Senanayake"/>
    <x v="5"/>
    <x v="4"/>
    <x v="2"/>
    <x v="2"/>
    <n v="2497.15"/>
    <n v="3"/>
    <n v="0"/>
    <n v="7491.4500000000007"/>
    <n v="0"/>
    <n v="7491.4500000000007"/>
    <x v="2"/>
    <x v="0"/>
    <s v="Kavya Fernando"/>
  </r>
  <r>
    <s v="ORD-1067"/>
    <d v="2023-06-21T00:00:00"/>
    <x v="2"/>
    <s v="Thilak Wickramasinghe"/>
    <x v="2"/>
    <x v="2"/>
    <x v="0"/>
    <x v="0"/>
    <n v="1516.74"/>
    <n v="5"/>
    <n v="5"/>
    <n v="7583.7"/>
    <n v="379.185"/>
    <n v="7204.5149999999994"/>
    <x v="4"/>
    <x v="0"/>
    <s v="Ruwan Jayasuriya"/>
  </r>
  <r>
    <s v="ORD-1068"/>
    <d v="2023-06-22T00:00:00"/>
    <x v="2"/>
    <s v="Hasini Jayasuriya"/>
    <x v="6"/>
    <x v="5"/>
    <x v="0"/>
    <x v="13"/>
    <n v="1187.56"/>
    <n v="1"/>
    <n v="15"/>
    <n v="1187.56"/>
    <n v="178.13399999999999"/>
    <n v="1009.4259999999999"/>
    <x v="3"/>
    <x v="0"/>
    <s v="Ruwan Jayasuriya"/>
  </r>
  <r>
    <s v="ORD-1069"/>
    <d v="2023-06-23T00:00:00"/>
    <x v="2"/>
    <s v="Ishara Wickramasinghe"/>
    <x v="2"/>
    <x v="2"/>
    <x v="2"/>
    <x v="8"/>
    <n v="606.41999999999996"/>
    <n v="3"/>
    <n v="15"/>
    <n v="1819.2599999999998"/>
    <n v="272.88899999999995"/>
    <n v="1546.3709999999999"/>
    <x v="0"/>
    <x v="0"/>
    <s v="Kavya Fernando"/>
  </r>
  <r>
    <s v="ORD-1070"/>
    <d v="2023-06-24T00:00:00"/>
    <x v="2"/>
    <s v="Saman Wickramasinghe"/>
    <x v="3"/>
    <x v="3"/>
    <x v="2"/>
    <x v="27"/>
    <n v="739.3"/>
    <n v="2"/>
    <n v="50"/>
    <n v="1478.6"/>
    <n v="739.3"/>
    <n v="739.3"/>
    <x v="5"/>
    <x v="1"/>
    <s v="Thilini Bandara"/>
  </r>
  <r>
    <s v="ORD-1071"/>
    <d v="2023-06-25T00:00:00"/>
    <x v="2"/>
    <s v="Sanduni Jayasuriya"/>
    <x v="4"/>
    <x v="0"/>
    <x v="0"/>
    <x v="13"/>
    <n v="1146.3599999999999"/>
    <n v="5"/>
    <n v="0"/>
    <n v="5731.7999999999993"/>
    <n v="0"/>
    <n v="5731.7999999999993"/>
    <x v="0"/>
    <x v="0"/>
    <s v="Amara Perera"/>
  </r>
  <r>
    <s v="ORD-1072"/>
    <d v="2023-06-26T00:00:00"/>
    <x v="2"/>
    <s v="Malika Jayasuriya"/>
    <x v="8"/>
    <x v="7"/>
    <x v="1"/>
    <x v="16"/>
    <n v="7222.64"/>
    <n v="5"/>
    <n v="10"/>
    <n v="36113.200000000004"/>
    <n v="3611.3200000000006"/>
    <n v="32501.880000000005"/>
    <x v="3"/>
    <x v="0"/>
    <s v="Amara Perera"/>
  </r>
  <r>
    <s v="ORD-1073"/>
    <d v="2023-06-27T00:00:00"/>
    <x v="2"/>
    <s v="Malika Kumara"/>
    <x v="9"/>
    <x v="7"/>
    <x v="0"/>
    <x v="13"/>
    <n v="1104.6199999999999"/>
    <n v="1"/>
    <n v="5"/>
    <n v="1104.6199999999999"/>
    <n v="55.230999999999995"/>
    <n v="1049.3889999999999"/>
    <x v="3"/>
    <x v="0"/>
    <s v="Ruwan Jayasuriya"/>
  </r>
  <r>
    <s v="ORD-1074"/>
    <d v="2023-06-28T00:00:00"/>
    <x v="2"/>
    <s v="Thilak Fernando"/>
    <x v="0"/>
    <x v="0"/>
    <x v="2"/>
    <x v="8"/>
    <n v="553.69000000000005"/>
    <n v="1"/>
    <n v="15"/>
    <n v="553.69000000000005"/>
    <n v="83.0535"/>
    <n v="470.63650000000007"/>
    <x v="2"/>
    <x v="0"/>
    <s v="Thilini Bandara"/>
  </r>
  <r>
    <s v="ORD-1075"/>
    <d v="2023-06-29T00:00:00"/>
    <x v="2"/>
    <s v="Thilini Perera"/>
    <x v="9"/>
    <x v="7"/>
    <x v="1"/>
    <x v="28"/>
    <n v="5449.13"/>
    <n v="1"/>
    <n v="10"/>
    <n v="5449.13"/>
    <n v="544.91300000000001"/>
    <n v="4904.2170000000006"/>
    <x v="5"/>
    <x v="3"/>
    <s v="Ruwan Jayasuriya"/>
  </r>
  <r>
    <s v="ORD-1076"/>
    <d v="2023-06-30T00:00:00"/>
    <x v="2"/>
    <s v="Nadeesha Senanayake"/>
    <x v="4"/>
    <x v="0"/>
    <x v="6"/>
    <x v="9"/>
    <n v="341.63"/>
    <n v="4"/>
    <n v="10"/>
    <n v="1366.52"/>
    <n v="136.65200000000002"/>
    <n v="1229.8679999999999"/>
    <x v="0"/>
    <x v="0"/>
    <s v="Kavya Fernando"/>
  </r>
  <r>
    <s v="ORD-1077"/>
    <d v="2023-07-01T00:00:00"/>
    <x v="3"/>
    <s v="Nadeesha Perera"/>
    <x v="2"/>
    <x v="2"/>
    <x v="0"/>
    <x v="29"/>
    <n v="871.61"/>
    <n v="2"/>
    <n v="0"/>
    <n v="1743.22"/>
    <n v="0"/>
    <n v="1743.22"/>
    <x v="4"/>
    <x v="0"/>
    <s v="Amara Perera"/>
  </r>
  <r>
    <s v="ORD-1078"/>
    <d v="2023-07-02T00:00:00"/>
    <x v="3"/>
    <s v="Ishara Fernando"/>
    <x v="7"/>
    <x v="6"/>
    <x v="3"/>
    <x v="5"/>
    <n v="135080.26999999999"/>
    <n v="4"/>
    <n v="0"/>
    <n v="540321.07999999996"/>
    <n v="0"/>
    <n v="540321.07999999996"/>
    <x v="0"/>
    <x v="0"/>
    <s v="Kavya Fernando"/>
  </r>
  <r>
    <s v="ORD-1079"/>
    <d v="2023-07-03T00:00:00"/>
    <x v="3"/>
    <s v="Ishara Wickramasinghe"/>
    <x v="3"/>
    <x v="3"/>
    <x v="0"/>
    <x v="13"/>
    <n v="1097.08"/>
    <n v="2"/>
    <n v="5"/>
    <n v="2194.16"/>
    <n v="109.708"/>
    <n v="2084.4519999999998"/>
    <x v="0"/>
    <x v="1"/>
    <s v="Dinesh Silva"/>
  </r>
  <r>
    <s v="ORD-1080"/>
    <d v="2023-07-04T00:00:00"/>
    <x v="3"/>
    <s v="Dilini Bandara"/>
    <x v="4"/>
    <x v="0"/>
    <x v="0"/>
    <x v="25"/>
    <n v="2704.21"/>
    <n v="2"/>
    <n v="10"/>
    <n v="5408.42"/>
    <n v="540.84199999999998"/>
    <n v="4867.5780000000004"/>
    <x v="5"/>
    <x v="0"/>
    <s v="Kavya Fernando"/>
  </r>
  <r>
    <s v="ORD-1081"/>
    <d v="2023-07-05T00:00:00"/>
    <x v="3"/>
    <s v="Kavindi Senanayake"/>
    <x v="3"/>
    <x v="3"/>
    <x v="4"/>
    <x v="4"/>
    <n v="3478.09"/>
    <n v="3"/>
    <n v="10"/>
    <n v="10434.27"/>
    <n v="1043.4270000000001"/>
    <n v="9390.8430000000008"/>
    <x v="2"/>
    <x v="0"/>
    <s v="Thilini Bandara"/>
  </r>
  <r>
    <s v="ORD-1082"/>
    <d v="2023-07-06T00:00:00"/>
    <x v="3"/>
    <s v="Roshani Gunasekara"/>
    <x v="1"/>
    <x v="1"/>
    <x v="5"/>
    <x v="30"/>
    <n v="9162.02"/>
    <n v="3"/>
    <n v="0"/>
    <n v="27486.06"/>
    <n v="0"/>
    <n v="27486.06"/>
    <x v="3"/>
    <x v="0"/>
    <s v="Amara Perera"/>
  </r>
  <r>
    <s v="ORD-1083"/>
    <d v="2023-07-07T00:00:00"/>
    <x v="3"/>
    <s v="Thilini Senanayake"/>
    <x v="2"/>
    <x v="2"/>
    <x v="3"/>
    <x v="19"/>
    <n v="101107"/>
    <n v="5"/>
    <n v="15"/>
    <n v="505535"/>
    <n v="75830.25"/>
    <n v="429704.75"/>
    <x v="1"/>
    <x v="0"/>
    <s v="Thilini Bandara"/>
  </r>
  <r>
    <s v="ORD-1084"/>
    <d v="2023-07-08T00:00:00"/>
    <x v="3"/>
    <s v="Saman Wickramasinghe"/>
    <x v="9"/>
    <x v="7"/>
    <x v="5"/>
    <x v="7"/>
    <n v="4621.3100000000004"/>
    <n v="4"/>
    <n v="0"/>
    <n v="18485.240000000002"/>
    <n v="0"/>
    <n v="18485.240000000002"/>
    <x v="2"/>
    <x v="0"/>
    <s v="Ruwan Jayasuriya"/>
  </r>
  <r>
    <s v="ORD-1085"/>
    <d v="2023-07-09T00:00:00"/>
    <x v="3"/>
    <s v="Thilak Pathirana"/>
    <x v="1"/>
    <x v="1"/>
    <x v="6"/>
    <x v="14"/>
    <n v="627.87"/>
    <n v="4"/>
    <n v="0"/>
    <n v="2511.48"/>
    <n v="0"/>
    <n v="2511.48"/>
    <x v="2"/>
    <x v="2"/>
    <s v="Thilini Bandara"/>
  </r>
  <r>
    <s v="ORD-1086"/>
    <d v="2023-07-10T00:00:00"/>
    <x v="3"/>
    <s v="Saman Silva"/>
    <x v="8"/>
    <x v="7"/>
    <x v="2"/>
    <x v="31"/>
    <n v="1107.82"/>
    <n v="4"/>
    <n v="5"/>
    <n v="4431.28"/>
    <n v="221.56399999999996"/>
    <n v="4209.7159999999994"/>
    <x v="5"/>
    <x v="1"/>
    <s v="Thilini Bandara"/>
  </r>
  <r>
    <s v="ORD-1087"/>
    <d v="2023-07-11T00:00:00"/>
    <x v="3"/>
    <s v="Kumari Perera"/>
    <x v="4"/>
    <x v="0"/>
    <x v="5"/>
    <x v="32"/>
    <n v="2561.3200000000002"/>
    <n v="4"/>
    <n v="0"/>
    <n v="10245.280000000001"/>
    <n v="0"/>
    <n v="10245.280000000001"/>
    <x v="4"/>
    <x v="2"/>
    <s v="Amara Perera"/>
  </r>
  <r>
    <s v="ORD-1088"/>
    <d v="2023-07-12T00:00:00"/>
    <x v="3"/>
    <s v="Pradeep Bandara"/>
    <x v="9"/>
    <x v="7"/>
    <x v="2"/>
    <x v="8"/>
    <n v="645.70000000000005"/>
    <n v="4"/>
    <n v="0"/>
    <n v="2582.8000000000002"/>
    <n v="0"/>
    <n v="2582.8000000000002"/>
    <x v="5"/>
    <x v="1"/>
    <s v="Thilini Bandara"/>
  </r>
  <r>
    <s v="ORD-1089"/>
    <d v="2023-07-13T00:00:00"/>
    <x v="3"/>
    <s v="Asela Fernando"/>
    <x v="3"/>
    <x v="3"/>
    <x v="5"/>
    <x v="30"/>
    <n v="8588.83"/>
    <n v="1"/>
    <n v="15"/>
    <n v="8588.83"/>
    <n v="1288.3244999999999"/>
    <n v="7300.5055000000002"/>
    <x v="5"/>
    <x v="0"/>
    <s v="Amara Perera"/>
  </r>
  <r>
    <s v="ORD-1090"/>
    <d v="2023-07-14T00:00:00"/>
    <x v="3"/>
    <s v="Ruwan Gunasekara"/>
    <x v="3"/>
    <x v="3"/>
    <x v="5"/>
    <x v="32"/>
    <n v="2457.75"/>
    <n v="4"/>
    <n v="50"/>
    <n v="9831"/>
    <n v="4915.5"/>
    <n v="4915.5"/>
    <x v="1"/>
    <x v="0"/>
    <s v="Thilini Bandara"/>
  </r>
  <r>
    <s v="ORD-1091"/>
    <d v="2023-07-15T00:00:00"/>
    <x v="3"/>
    <s v="Bandara Jayasuriya"/>
    <x v="2"/>
    <x v="2"/>
    <x v="5"/>
    <x v="24"/>
    <n v="3754.82"/>
    <n v="3"/>
    <n v="0"/>
    <n v="11264.460000000001"/>
    <n v="0"/>
    <n v="11264.460000000001"/>
    <x v="3"/>
    <x v="2"/>
    <s v="Thilini Bandara"/>
  </r>
  <r>
    <s v="ORD-1092"/>
    <d v="2023-07-16T00:00:00"/>
    <x v="3"/>
    <s v="Kasun Wickramasinghe"/>
    <x v="3"/>
    <x v="3"/>
    <x v="6"/>
    <x v="9"/>
    <n v="355.59"/>
    <n v="4"/>
    <n v="0"/>
    <n v="1422.36"/>
    <n v="0"/>
    <n v="1422.36"/>
    <x v="2"/>
    <x v="3"/>
    <s v="Ruwan Jayasuriya"/>
  </r>
  <r>
    <s v="ORD-1093"/>
    <d v="2023-07-17T00:00:00"/>
    <x v="3"/>
    <s v="Thilak Bandara"/>
    <x v="7"/>
    <x v="6"/>
    <x v="4"/>
    <x v="23"/>
    <n v="13038.85"/>
    <n v="2"/>
    <n v="0"/>
    <n v="26077.7"/>
    <n v="0"/>
    <n v="26077.7"/>
    <x v="1"/>
    <x v="3"/>
    <s v="Ruwan Jayasuriya"/>
  </r>
  <r>
    <s v="ORD-1094"/>
    <d v="2023-07-18T00:00:00"/>
    <x v="3"/>
    <s v="Kumari Perera"/>
    <x v="8"/>
    <x v="7"/>
    <x v="0"/>
    <x v="13"/>
    <n v="1249.25"/>
    <n v="4"/>
    <n v="0"/>
    <n v="4997"/>
    <n v="0"/>
    <n v="4997"/>
    <x v="1"/>
    <x v="0"/>
    <s v="Amara Perera"/>
  </r>
  <r>
    <s v="ORD-1095"/>
    <d v="2023-07-19T00:00:00"/>
    <x v="3"/>
    <s v="Dinesh Senanayake"/>
    <x v="8"/>
    <x v="7"/>
    <x v="6"/>
    <x v="11"/>
    <n v="1612.26"/>
    <n v="4"/>
    <n v="15"/>
    <n v="6449.04"/>
    <n v="967.35600000000011"/>
    <n v="5481.6840000000002"/>
    <x v="0"/>
    <x v="0"/>
    <s v="Amara Perera"/>
  </r>
  <r>
    <s v="ORD-1096"/>
    <d v="2023-07-20T00:00:00"/>
    <x v="3"/>
    <s v="Ruwan Dissanayake"/>
    <x v="9"/>
    <x v="7"/>
    <x v="3"/>
    <x v="3"/>
    <n v="12675.66"/>
    <n v="3"/>
    <n v="15"/>
    <n v="38026.979999999996"/>
    <n v="5704.0469999999996"/>
    <n v="32322.932999999997"/>
    <x v="0"/>
    <x v="1"/>
    <s v="Ruwan Jayasuriya"/>
  </r>
  <r>
    <s v="ORD-1097"/>
    <d v="2023-07-21T00:00:00"/>
    <x v="3"/>
    <s v="Kamal Rajapaksa"/>
    <x v="7"/>
    <x v="6"/>
    <x v="4"/>
    <x v="15"/>
    <n v="2871.01"/>
    <n v="4"/>
    <n v="0"/>
    <n v="11484.04"/>
    <n v="0"/>
    <n v="11484.04"/>
    <x v="4"/>
    <x v="3"/>
    <s v="Amara Perera"/>
  </r>
  <r>
    <s v="ORD-1098"/>
    <d v="2023-07-22T00:00:00"/>
    <x v="3"/>
    <s v="Dhanushka Pathirana"/>
    <x v="3"/>
    <x v="3"/>
    <x v="1"/>
    <x v="26"/>
    <n v="1101.69"/>
    <n v="1"/>
    <n v="15"/>
    <n v="1101.69"/>
    <n v="165.25350000000003"/>
    <n v="936.43650000000002"/>
    <x v="5"/>
    <x v="0"/>
    <s v="Dinesh Silva"/>
  </r>
  <r>
    <s v="ORD-1099"/>
    <d v="2023-07-23T00:00:00"/>
    <x v="3"/>
    <s v="Malika Perera"/>
    <x v="0"/>
    <x v="0"/>
    <x v="2"/>
    <x v="2"/>
    <n v="2396.6799999999998"/>
    <n v="3"/>
    <n v="5"/>
    <n v="7190.0399999999991"/>
    <n v="359.50199999999995"/>
    <n v="6830.5379999999986"/>
    <x v="1"/>
    <x v="0"/>
    <s v="Thilini Bandara"/>
  </r>
  <r>
    <s v="ORD-1100"/>
    <d v="2023-07-24T00:00:00"/>
    <x v="3"/>
    <s v="Rajith Pathirana"/>
    <x v="9"/>
    <x v="7"/>
    <x v="1"/>
    <x v="1"/>
    <n v="4121.07"/>
    <n v="4"/>
    <n v="15"/>
    <n v="16484.28"/>
    <n v="2472.6419999999998"/>
    <n v="14011.637999999999"/>
    <x v="1"/>
    <x v="0"/>
    <s v="Thilini Bandara"/>
  </r>
  <r>
    <s v="ORD-1101"/>
    <d v="2023-07-25T00:00:00"/>
    <x v="3"/>
    <s v="Ishara Gunasekara"/>
    <x v="3"/>
    <x v="3"/>
    <x v="4"/>
    <x v="15"/>
    <n v="2893.43"/>
    <n v="4"/>
    <n v="5"/>
    <n v="11573.72"/>
    <n v="578.68600000000004"/>
    <n v="10995.034"/>
    <x v="0"/>
    <x v="0"/>
    <s v="Amara Perera"/>
  </r>
  <r>
    <s v="ORD-1102"/>
    <d v="2023-07-26T00:00:00"/>
    <x v="3"/>
    <s v="Anusha Senanayake"/>
    <x v="3"/>
    <x v="3"/>
    <x v="0"/>
    <x v="13"/>
    <n v="1245.68"/>
    <n v="4"/>
    <n v="0"/>
    <n v="4982.72"/>
    <n v="0"/>
    <n v="4982.72"/>
    <x v="1"/>
    <x v="0"/>
    <s v="Ruwan Jayasuriya"/>
  </r>
  <r>
    <s v="ORD-1103"/>
    <d v="2023-07-27T00:00:00"/>
    <x v="3"/>
    <s v="Ishara Dissanayake"/>
    <x v="2"/>
    <x v="2"/>
    <x v="2"/>
    <x v="33"/>
    <n v="863.26"/>
    <n v="3"/>
    <n v="10"/>
    <n v="2589.7799999999997"/>
    <n v="258.97799999999995"/>
    <n v="2330.8019999999997"/>
    <x v="2"/>
    <x v="0"/>
    <s v="Amara Perera"/>
  </r>
  <r>
    <s v="ORD-1104"/>
    <d v="2023-07-28T00:00:00"/>
    <x v="3"/>
    <s v="Thilini Kumara"/>
    <x v="0"/>
    <x v="0"/>
    <x v="5"/>
    <x v="7"/>
    <n v="4799.5600000000004"/>
    <n v="3"/>
    <n v="0"/>
    <n v="14398.68"/>
    <n v="0"/>
    <n v="14398.68"/>
    <x v="0"/>
    <x v="2"/>
    <s v="Kavya Fernando"/>
  </r>
  <r>
    <s v="ORD-1105"/>
    <d v="2023-07-29T00:00:00"/>
    <x v="3"/>
    <s v="Dhanushka Jayasuriya"/>
    <x v="2"/>
    <x v="2"/>
    <x v="2"/>
    <x v="27"/>
    <n v="820.52"/>
    <n v="1"/>
    <n v="0"/>
    <n v="820.52"/>
    <n v="0"/>
    <n v="820.52"/>
    <x v="2"/>
    <x v="0"/>
    <s v="Thilini Bandara"/>
  </r>
  <r>
    <s v="ORD-1106"/>
    <d v="2023-07-30T00:00:00"/>
    <x v="3"/>
    <s v="Kavindi Fernando"/>
    <x v="1"/>
    <x v="1"/>
    <x v="2"/>
    <x v="31"/>
    <n v="1259.4000000000001"/>
    <n v="2"/>
    <n v="0"/>
    <n v="2518.8000000000002"/>
    <n v="0"/>
    <n v="2518.8000000000002"/>
    <x v="1"/>
    <x v="2"/>
    <s v="Thilini Bandara"/>
  </r>
  <r>
    <s v="ORD-1107"/>
    <d v="2023-07-31T00:00:00"/>
    <x v="3"/>
    <s v="Dinesh Bandara"/>
    <x v="3"/>
    <x v="3"/>
    <x v="6"/>
    <x v="14"/>
    <n v="618.41"/>
    <n v="4"/>
    <n v="5"/>
    <n v="2473.64"/>
    <n v="123.68199999999999"/>
    <n v="2349.9580000000001"/>
    <x v="3"/>
    <x v="2"/>
    <s v="Amara Perera"/>
  </r>
  <r>
    <s v="ORD-1108"/>
    <d v="2023-08-01T00:00:00"/>
    <x v="4"/>
    <s v="Kamal Fernando"/>
    <x v="4"/>
    <x v="0"/>
    <x v="6"/>
    <x v="21"/>
    <n v="1968.22"/>
    <n v="5"/>
    <n v="0"/>
    <n v="9841.1"/>
    <n v="0"/>
    <n v="9841.1"/>
    <x v="5"/>
    <x v="2"/>
    <s v="Ruwan Jayasuriya"/>
  </r>
  <r>
    <s v="ORD-1109"/>
    <d v="2023-08-02T00:00:00"/>
    <x v="4"/>
    <s v="Pradeep Bandara"/>
    <x v="1"/>
    <x v="1"/>
    <x v="4"/>
    <x v="15"/>
    <n v="2896.78"/>
    <n v="3"/>
    <n v="0"/>
    <n v="8690.34"/>
    <n v="0"/>
    <n v="8690.34"/>
    <x v="2"/>
    <x v="2"/>
    <s v="Kavya Fernando"/>
  </r>
  <r>
    <s v="ORD-1110"/>
    <d v="2023-08-03T00:00:00"/>
    <x v="4"/>
    <s v="Thilini Jayasuriya"/>
    <x v="6"/>
    <x v="5"/>
    <x v="3"/>
    <x v="18"/>
    <n v="129221.64"/>
    <n v="5"/>
    <n v="15"/>
    <n v="646108.19999999995"/>
    <n v="96916.23"/>
    <n v="549191.97"/>
    <x v="0"/>
    <x v="0"/>
    <s v="Amara Perera"/>
  </r>
  <r>
    <s v="ORD-1111"/>
    <d v="2023-08-04T00:00:00"/>
    <x v="4"/>
    <s v="Saman Kumara"/>
    <x v="3"/>
    <x v="3"/>
    <x v="0"/>
    <x v="13"/>
    <n v="1108"/>
    <n v="1"/>
    <n v="0"/>
    <n v="1108"/>
    <n v="0"/>
    <n v="1108"/>
    <x v="3"/>
    <x v="0"/>
    <s v="Amara Perera"/>
  </r>
  <r>
    <s v="ORD-1112"/>
    <d v="2023-08-05T00:00:00"/>
    <x v="4"/>
    <s v="Ishara Bandara"/>
    <x v="9"/>
    <x v="7"/>
    <x v="4"/>
    <x v="23"/>
    <n v="11690.43"/>
    <n v="5"/>
    <n v="5"/>
    <n v="58452.15"/>
    <n v="2922.6075000000001"/>
    <n v="55529.542500000003"/>
    <x v="0"/>
    <x v="1"/>
    <s v="Dinesh Silva"/>
  </r>
  <r>
    <s v="ORD-1113"/>
    <d v="2023-08-06T00:00:00"/>
    <x v="4"/>
    <s v="Dhanushka Silva"/>
    <x v="6"/>
    <x v="5"/>
    <x v="5"/>
    <x v="7"/>
    <n v="4895.1499999999996"/>
    <n v="3"/>
    <n v="5"/>
    <n v="14685.449999999999"/>
    <n v="734.27250000000004"/>
    <n v="13951.177499999998"/>
    <x v="3"/>
    <x v="0"/>
    <s v="Ruwan Jayasuriya"/>
  </r>
  <r>
    <s v="ORD-1114"/>
    <d v="2023-08-07T00:00:00"/>
    <x v="4"/>
    <s v="Ishara Rajapaksa"/>
    <x v="1"/>
    <x v="1"/>
    <x v="0"/>
    <x v="0"/>
    <n v="1513.34"/>
    <n v="3"/>
    <n v="0"/>
    <n v="4540.0199999999995"/>
    <n v="0"/>
    <n v="4540.0199999999995"/>
    <x v="2"/>
    <x v="0"/>
    <s v="Dinesh Silva"/>
  </r>
  <r>
    <s v="ORD-1115"/>
    <d v="2023-08-08T00:00:00"/>
    <x v="4"/>
    <s v="Saman Silva"/>
    <x v="4"/>
    <x v="0"/>
    <x v="0"/>
    <x v="6"/>
    <n v="1969.59"/>
    <n v="1"/>
    <n v="0"/>
    <n v="1969.59"/>
    <n v="0"/>
    <n v="1969.59"/>
    <x v="1"/>
    <x v="0"/>
    <s v="Thilini Bandara"/>
  </r>
  <r>
    <s v="ORD-1116"/>
    <d v="2023-08-09T00:00:00"/>
    <x v="4"/>
    <s v="Kamal Bandara"/>
    <x v="4"/>
    <x v="0"/>
    <x v="5"/>
    <x v="24"/>
    <n v="3719.14"/>
    <n v="2"/>
    <n v="0"/>
    <n v="7438.28"/>
    <n v="0"/>
    <n v="7438.28"/>
    <x v="1"/>
    <x v="2"/>
    <s v="Thilini Bandara"/>
  </r>
  <r>
    <s v="ORD-1117"/>
    <d v="2023-08-10T00:00:00"/>
    <x v="4"/>
    <s v="Pradeep Fernando"/>
    <x v="9"/>
    <x v="7"/>
    <x v="5"/>
    <x v="32"/>
    <n v="2649.26"/>
    <n v="1"/>
    <n v="0"/>
    <n v="2649.26"/>
    <n v="0"/>
    <n v="2649.26"/>
    <x v="5"/>
    <x v="0"/>
    <s v="Amara Perera"/>
  </r>
  <r>
    <s v="ORD-1118"/>
    <d v="2023-08-11T00:00:00"/>
    <x v="4"/>
    <s v="Ishara Senanayake"/>
    <x v="8"/>
    <x v="7"/>
    <x v="3"/>
    <x v="5"/>
    <n v="142961.03"/>
    <n v="2"/>
    <n v="5"/>
    <n v="285922.06"/>
    <n v="14296.103000000001"/>
    <n v="271625.95699999999"/>
    <x v="0"/>
    <x v="0"/>
    <s v="Amara Perera"/>
  </r>
  <r>
    <s v="ORD-1119"/>
    <d v="2023-08-12T00:00:00"/>
    <x v="4"/>
    <s v="Saman Rajapaksa"/>
    <x v="7"/>
    <x v="6"/>
    <x v="5"/>
    <x v="30"/>
    <n v="8418.41"/>
    <n v="2"/>
    <n v="0"/>
    <n v="16836.82"/>
    <n v="0"/>
    <n v="16836.82"/>
    <x v="5"/>
    <x v="1"/>
    <s v="Thilini Bandara"/>
  </r>
  <r>
    <s v="ORD-1120"/>
    <d v="2023-08-13T00:00:00"/>
    <x v="4"/>
    <s v="Saman Pathirana"/>
    <x v="0"/>
    <x v="0"/>
    <x v="3"/>
    <x v="3"/>
    <n v="12833.52"/>
    <n v="4"/>
    <n v="0"/>
    <n v="51334.080000000002"/>
    <n v="0"/>
    <n v="51334.080000000002"/>
    <x v="5"/>
    <x v="0"/>
    <s v="Ruwan Jayasuriya"/>
  </r>
  <r>
    <s v="ORD-1121"/>
    <d v="2023-08-14T00:00:00"/>
    <x v="4"/>
    <s v="Kamal Rajapaksa"/>
    <x v="2"/>
    <x v="2"/>
    <x v="1"/>
    <x v="34"/>
    <n v="1387.86"/>
    <n v="5"/>
    <n v="5"/>
    <n v="6939.2999999999993"/>
    <n v="346.96499999999997"/>
    <n v="6592.3349999999991"/>
    <x v="0"/>
    <x v="3"/>
    <s v="Kavya Fernando"/>
  </r>
  <r>
    <s v="ORD-1122"/>
    <d v="2023-08-15T00:00:00"/>
    <x v="4"/>
    <s v="Nadeesha Bandara"/>
    <x v="3"/>
    <x v="3"/>
    <x v="4"/>
    <x v="12"/>
    <n v="4594.88"/>
    <n v="1"/>
    <n v="15"/>
    <n v="4594.88"/>
    <n v="689.23199999999997"/>
    <n v="3905.6480000000001"/>
    <x v="5"/>
    <x v="2"/>
    <s v="Thilini Bandara"/>
  </r>
  <r>
    <s v="ORD-1123"/>
    <d v="2023-08-16T00:00:00"/>
    <x v="4"/>
    <s v="Chamara Dissanayake"/>
    <x v="6"/>
    <x v="5"/>
    <x v="1"/>
    <x v="35"/>
    <n v="2419.4699999999998"/>
    <n v="4"/>
    <n v="0"/>
    <n v="9677.8799999999992"/>
    <n v="0"/>
    <n v="9677.8799999999992"/>
    <x v="2"/>
    <x v="1"/>
    <s v="Amara Perera"/>
  </r>
  <r>
    <s v="ORD-1124"/>
    <d v="2023-08-17T00:00:00"/>
    <x v="4"/>
    <s v="Kumari Rajapaksa"/>
    <x v="3"/>
    <x v="3"/>
    <x v="2"/>
    <x v="27"/>
    <n v="829.89"/>
    <n v="4"/>
    <n v="0"/>
    <n v="3319.56"/>
    <n v="0"/>
    <n v="3319.56"/>
    <x v="5"/>
    <x v="2"/>
    <s v="Amara Perera"/>
  </r>
  <r>
    <s v="ORD-1125"/>
    <d v="2023-08-18T00:00:00"/>
    <x v="4"/>
    <s v="Kumari Silva"/>
    <x v="8"/>
    <x v="7"/>
    <x v="6"/>
    <x v="14"/>
    <n v="657.33"/>
    <n v="5"/>
    <n v="5"/>
    <n v="3286.65"/>
    <n v="164.33250000000001"/>
    <n v="3122.3175000000001"/>
    <x v="0"/>
    <x v="0"/>
    <s v="Amara Perera"/>
  </r>
  <r>
    <s v="ORD-1126"/>
    <d v="2023-08-19T00:00:00"/>
    <x v="4"/>
    <s v="Anusha Pathirana"/>
    <x v="5"/>
    <x v="4"/>
    <x v="6"/>
    <x v="11"/>
    <n v="1640.52"/>
    <n v="5"/>
    <n v="10"/>
    <n v="8202.6"/>
    <n v="820.26"/>
    <n v="7382.34"/>
    <x v="3"/>
    <x v="0"/>
    <s v="Thilini Bandara"/>
  </r>
  <r>
    <s v="ORD-1127"/>
    <d v="2023-08-20T00:00:00"/>
    <x v="4"/>
    <s v="Chamara Fernando"/>
    <x v="6"/>
    <x v="5"/>
    <x v="1"/>
    <x v="34"/>
    <n v="1455.03"/>
    <n v="5"/>
    <n v="10"/>
    <n v="7275.15"/>
    <n v="727.51499999999999"/>
    <n v="6547.6349999999993"/>
    <x v="5"/>
    <x v="2"/>
    <s v="Kavya Fernando"/>
  </r>
  <r>
    <s v="ORD-1128"/>
    <d v="2023-08-21T00:00:00"/>
    <x v="4"/>
    <s v="Ishara Dissanayake"/>
    <x v="7"/>
    <x v="6"/>
    <x v="6"/>
    <x v="9"/>
    <n v="357.95"/>
    <n v="5"/>
    <n v="0"/>
    <n v="1789.75"/>
    <n v="0"/>
    <n v="1789.75"/>
    <x v="0"/>
    <x v="1"/>
    <s v="Kavya Fernando"/>
  </r>
  <r>
    <s v="ORD-1129"/>
    <d v="2023-08-22T00:00:00"/>
    <x v="4"/>
    <s v="Sanduni Wickramasinghe"/>
    <x v="3"/>
    <x v="3"/>
    <x v="2"/>
    <x v="31"/>
    <n v="1081.47"/>
    <n v="2"/>
    <n v="15"/>
    <n v="2162.94"/>
    <n v="324.44100000000003"/>
    <n v="1838.499"/>
    <x v="2"/>
    <x v="0"/>
    <s v="Dinesh Silva"/>
  </r>
  <r>
    <s v="ORD-1130"/>
    <d v="2023-08-23T00:00:00"/>
    <x v="4"/>
    <s v="Dhanushka Perera"/>
    <x v="1"/>
    <x v="1"/>
    <x v="0"/>
    <x v="6"/>
    <n v="1697.45"/>
    <n v="4"/>
    <n v="0"/>
    <n v="6789.8"/>
    <n v="0"/>
    <n v="6789.8"/>
    <x v="3"/>
    <x v="0"/>
    <s v="Kavya Fernando"/>
  </r>
  <r>
    <s v="ORD-1131"/>
    <d v="2023-08-24T00:00:00"/>
    <x v="4"/>
    <s v="Kavindi Rajapaksa"/>
    <x v="2"/>
    <x v="2"/>
    <x v="5"/>
    <x v="30"/>
    <n v="9151.68"/>
    <n v="2"/>
    <n v="0"/>
    <n v="18303.36"/>
    <n v="0"/>
    <n v="18303.36"/>
    <x v="0"/>
    <x v="0"/>
    <s v="Amara Perera"/>
  </r>
  <r>
    <s v="ORD-1132"/>
    <d v="2023-08-25T00:00:00"/>
    <x v="4"/>
    <s v="Saman Pathirana"/>
    <x v="5"/>
    <x v="4"/>
    <x v="4"/>
    <x v="12"/>
    <n v="4447.84"/>
    <n v="3"/>
    <n v="5"/>
    <n v="13343.52"/>
    <n v="667.17600000000004"/>
    <n v="12676.344000000001"/>
    <x v="0"/>
    <x v="0"/>
    <s v="Kavya Fernando"/>
  </r>
  <r>
    <s v="ORD-1133"/>
    <d v="2023-08-26T00:00:00"/>
    <x v="4"/>
    <s v="Dilini Wickramasinghe"/>
    <x v="2"/>
    <x v="2"/>
    <x v="4"/>
    <x v="12"/>
    <n v="4650.42"/>
    <n v="1"/>
    <n v="0"/>
    <n v="4650.42"/>
    <n v="0"/>
    <n v="4650.42"/>
    <x v="2"/>
    <x v="3"/>
    <s v="Amara Perera"/>
  </r>
  <r>
    <s v="ORD-1134"/>
    <d v="2023-08-27T00:00:00"/>
    <x v="4"/>
    <s v="Chamara Wickramasinghe"/>
    <x v="4"/>
    <x v="0"/>
    <x v="6"/>
    <x v="14"/>
    <n v="684.34"/>
    <n v="3"/>
    <n v="15"/>
    <n v="2053.02"/>
    <n v="307.95299999999997"/>
    <n v="1745.067"/>
    <x v="5"/>
    <x v="0"/>
    <s v="Ruwan Jayasuriya"/>
  </r>
  <r>
    <s v="ORD-1135"/>
    <d v="2023-08-28T00:00:00"/>
    <x v="4"/>
    <s v="Kumari Fernando"/>
    <x v="9"/>
    <x v="7"/>
    <x v="4"/>
    <x v="12"/>
    <n v="4683.3"/>
    <n v="5"/>
    <n v="15"/>
    <n v="23416.5"/>
    <n v="3512.4749999999999"/>
    <n v="19904.025000000001"/>
    <x v="3"/>
    <x v="0"/>
    <s v="Ruwan Jayasuriya"/>
  </r>
  <r>
    <s v="ORD-1136"/>
    <d v="2023-08-29T00:00:00"/>
    <x v="4"/>
    <s v="Nimali Dissanayake"/>
    <x v="0"/>
    <x v="0"/>
    <x v="4"/>
    <x v="4"/>
    <n v="3753.48"/>
    <n v="5"/>
    <n v="0"/>
    <n v="18767.400000000001"/>
    <n v="0"/>
    <n v="18767.400000000001"/>
    <x v="0"/>
    <x v="0"/>
    <s v="Ruwan Jayasuriya"/>
  </r>
  <r>
    <s v="ORD-1137"/>
    <d v="2023-08-30T00:00:00"/>
    <x v="4"/>
    <s v="Dilini Dissanayake"/>
    <x v="0"/>
    <x v="0"/>
    <x v="2"/>
    <x v="27"/>
    <n v="848.21"/>
    <n v="5"/>
    <n v="0"/>
    <n v="4241.05"/>
    <n v="0"/>
    <n v="4241.05"/>
    <x v="3"/>
    <x v="0"/>
    <s v="Ruwan Jayasuriya"/>
  </r>
  <r>
    <s v="ORD-1138"/>
    <d v="2023-08-31T00:00:00"/>
    <x v="4"/>
    <s v="Ishara Dissanayake"/>
    <x v="2"/>
    <x v="2"/>
    <x v="4"/>
    <x v="12"/>
    <n v="4120.78"/>
    <n v="3"/>
    <n v="0"/>
    <n v="12362.34"/>
    <n v="0"/>
    <n v="12362.34"/>
    <x v="1"/>
    <x v="0"/>
    <s v="Dinesh Silva"/>
  </r>
  <r>
    <s v="ORD-1139"/>
    <d v="2023-09-01T00:00:00"/>
    <x v="5"/>
    <s v="Dinesh Pathirana"/>
    <x v="1"/>
    <x v="1"/>
    <x v="5"/>
    <x v="17"/>
    <n v="8918.42"/>
    <n v="3"/>
    <n v="0"/>
    <n v="26755.260000000002"/>
    <n v="0"/>
    <n v="26755.260000000002"/>
    <x v="1"/>
    <x v="0"/>
    <s v="Amara Perera"/>
  </r>
  <r>
    <s v="ORD-1140"/>
    <d v="2023-09-02T00:00:00"/>
    <x v="5"/>
    <s v="Pradeep Jayasuriya"/>
    <x v="9"/>
    <x v="7"/>
    <x v="5"/>
    <x v="24"/>
    <n v="3682.15"/>
    <n v="1"/>
    <n v="10"/>
    <n v="3682.15"/>
    <n v="368.21499999999997"/>
    <n v="3313.9349999999999"/>
    <x v="2"/>
    <x v="0"/>
    <s v="Thilini Bandara"/>
  </r>
  <r>
    <s v="ORD-1141"/>
    <d v="2023-09-03T00:00:00"/>
    <x v="5"/>
    <s v="Saman Pathirana"/>
    <x v="2"/>
    <x v="2"/>
    <x v="0"/>
    <x v="6"/>
    <n v="1736.35"/>
    <n v="3"/>
    <n v="5"/>
    <n v="5209.0499999999993"/>
    <n v="260.45249999999999"/>
    <n v="4948.5974999999989"/>
    <x v="2"/>
    <x v="0"/>
    <s v="Ruwan Jayasuriya"/>
  </r>
  <r>
    <s v="ORD-1142"/>
    <d v="2023-09-04T00:00:00"/>
    <x v="5"/>
    <s v="Dhanushka Wickramasinghe"/>
    <x v="3"/>
    <x v="3"/>
    <x v="5"/>
    <x v="30"/>
    <n v="8248.2999999999993"/>
    <n v="1"/>
    <n v="0"/>
    <n v="8248.2999999999993"/>
    <n v="0"/>
    <n v="8248.2999999999993"/>
    <x v="2"/>
    <x v="0"/>
    <s v="Amara Perera"/>
  </r>
  <r>
    <s v="ORD-1143"/>
    <d v="2023-09-05T00:00:00"/>
    <x v="5"/>
    <s v="Anusha Wickramasinghe"/>
    <x v="1"/>
    <x v="1"/>
    <x v="0"/>
    <x v="29"/>
    <n v="818.4"/>
    <n v="5"/>
    <n v="15"/>
    <n v="4092"/>
    <n v="613.79999999999995"/>
    <n v="3478.2"/>
    <x v="2"/>
    <x v="3"/>
    <s v="Thilini Bandara"/>
  </r>
  <r>
    <s v="ORD-1144"/>
    <d v="2023-09-06T00:00:00"/>
    <x v="5"/>
    <s v="Nimali Gunasekara"/>
    <x v="2"/>
    <x v="2"/>
    <x v="0"/>
    <x v="25"/>
    <n v="2410.7600000000002"/>
    <n v="4"/>
    <n v="0"/>
    <n v="9643.0400000000009"/>
    <n v="0"/>
    <n v="9643.0400000000009"/>
    <x v="1"/>
    <x v="0"/>
    <s v="Ruwan Jayasuriya"/>
  </r>
  <r>
    <s v="ORD-1145"/>
    <d v="2023-09-07T00:00:00"/>
    <x v="5"/>
    <s v="Thilak Kumara"/>
    <x v="1"/>
    <x v="1"/>
    <x v="5"/>
    <x v="24"/>
    <n v="3177.4"/>
    <n v="4"/>
    <n v="0"/>
    <n v="12709.6"/>
    <n v="0"/>
    <n v="12709.6"/>
    <x v="0"/>
    <x v="3"/>
    <s v="Thilini Bandara"/>
  </r>
  <r>
    <s v="ORD-1146"/>
    <d v="2023-09-08T00:00:00"/>
    <x v="5"/>
    <s v="Anusha Rajapaksa"/>
    <x v="3"/>
    <x v="3"/>
    <x v="4"/>
    <x v="23"/>
    <n v="12658.72"/>
    <n v="5"/>
    <n v="0"/>
    <n v="63293.599999999999"/>
    <n v="0"/>
    <n v="63293.599999999999"/>
    <x v="3"/>
    <x v="0"/>
    <s v="Kavya Fernando"/>
  </r>
  <r>
    <s v="ORD-1147"/>
    <d v="2023-09-09T00:00:00"/>
    <x v="5"/>
    <s v="Hasini Pathirana"/>
    <x v="5"/>
    <x v="4"/>
    <x v="2"/>
    <x v="31"/>
    <n v="1253.7"/>
    <n v="5"/>
    <n v="15"/>
    <n v="6268.5"/>
    <n v="940.27499999999998"/>
    <n v="5328.2250000000004"/>
    <x v="3"/>
    <x v="0"/>
    <s v="Thilini Bandara"/>
  </r>
  <r>
    <s v="ORD-1148"/>
    <d v="2023-09-10T00:00:00"/>
    <x v="5"/>
    <s v="Ruwan Rajapaksa"/>
    <x v="3"/>
    <x v="3"/>
    <x v="0"/>
    <x v="13"/>
    <n v="1110.95"/>
    <n v="1"/>
    <n v="0"/>
    <n v="1110.95"/>
    <n v="0"/>
    <n v="1110.95"/>
    <x v="0"/>
    <x v="0"/>
    <s v="Kavya Fernando"/>
  </r>
  <r>
    <s v="ORD-1149"/>
    <d v="2023-09-11T00:00:00"/>
    <x v="5"/>
    <s v="Thilini Kumara"/>
    <x v="7"/>
    <x v="6"/>
    <x v="3"/>
    <x v="19"/>
    <n v="98238.66"/>
    <n v="5"/>
    <n v="0"/>
    <n v="491193.30000000005"/>
    <n v="0"/>
    <n v="491193.30000000005"/>
    <x v="5"/>
    <x v="0"/>
    <s v="Kavya Fernando"/>
  </r>
  <r>
    <s v="ORD-1150"/>
    <d v="2023-09-12T00:00:00"/>
    <x v="5"/>
    <s v="Chamara Rajapaksa"/>
    <x v="6"/>
    <x v="5"/>
    <x v="1"/>
    <x v="1"/>
    <n v="4949.9799999999996"/>
    <n v="2"/>
    <n v="10"/>
    <n v="9899.9599999999991"/>
    <n v="989.99599999999987"/>
    <n v="8909.9639999999999"/>
    <x v="3"/>
    <x v="2"/>
    <s v="Amara Perera"/>
  </r>
  <r>
    <s v="ORD-1151"/>
    <d v="2023-09-13T00:00:00"/>
    <x v="5"/>
    <s v="Hasini Kumara"/>
    <x v="7"/>
    <x v="6"/>
    <x v="3"/>
    <x v="19"/>
    <n v="91898.52"/>
    <n v="5"/>
    <n v="0"/>
    <n v="459492.60000000003"/>
    <n v="0"/>
    <n v="459492.60000000003"/>
    <x v="0"/>
    <x v="0"/>
    <s v="Dinesh Silva"/>
  </r>
  <r>
    <s v="ORD-1152"/>
    <d v="2023-09-14T00:00:00"/>
    <x v="5"/>
    <s v="Sanduni Kumara"/>
    <x v="2"/>
    <x v="2"/>
    <x v="6"/>
    <x v="14"/>
    <n v="678.75"/>
    <n v="1"/>
    <n v="5"/>
    <n v="678.75"/>
    <n v="33.9375"/>
    <n v="644.8125"/>
    <x v="3"/>
    <x v="1"/>
    <s v="Dinesh Silva"/>
  </r>
  <r>
    <s v="ORD-1153"/>
    <d v="2023-09-15T00:00:00"/>
    <x v="5"/>
    <s v="Nadeesha Wickramasinghe"/>
    <x v="6"/>
    <x v="5"/>
    <x v="1"/>
    <x v="28"/>
    <n v="4739.17"/>
    <n v="4"/>
    <n v="5"/>
    <n v="18956.68"/>
    <n v="947.83399999999995"/>
    <n v="18008.846000000001"/>
    <x v="3"/>
    <x v="1"/>
    <s v="Thilini Bandara"/>
  </r>
  <r>
    <s v="ORD-1154"/>
    <d v="2023-09-16T00:00:00"/>
    <x v="5"/>
    <s v="Saman Wickramasinghe"/>
    <x v="5"/>
    <x v="4"/>
    <x v="5"/>
    <x v="17"/>
    <n v="9345.4599999999991"/>
    <n v="2"/>
    <n v="0"/>
    <n v="18690.919999999998"/>
    <n v="0"/>
    <n v="18690.919999999998"/>
    <x v="0"/>
    <x v="0"/>
    <s v="Kavya Fernando"/>
  </r>
  <r>
    <s v="ORD-1155"/>
    <d v="2023-09-17T00:00:00"/>
    <x v="5"/>
    <s v="Dhanushka Gunasekara"/>
    <x v="8"/>
    <x v="7"/>
    <x v="5"/>
    <x v="30"/>
    <n v="8859.3799999999992"/>
    <n v="5"/>
    <n v="0"/>
    <n v="44296.899999999994"/>
    <n v="0"/>
    <n v="44296.899999999994"/>
    <x v="3"/>
    <x v="0"/>
    <s v="Dinesh Silva"/>
  </r>
  <r>
    <s v="ORD-1156"/>
    <d v="2023-09-18T00:00:00"/>
    <x v="5"/>
    <s v="Saman Bandara"/>
    <x v="9"/>
    <x v="7"/>
    <x v="6"/>
    <x v="21"/>
    <n v="1653.02"/>
    <n v="2"/>
    <n v="0"/>
    <n v="3306.04"/>
    <n v="0"/>
    <n v="3306.04"/>
    <x v="3"/>
    <x v="0"/>
    <s v="Ruwan Jayasuriya"/>
  </r>
  <r>
    <s v="ORD-1157"/>
    <d v="2023-09-19T00:00:00"/>
    <x v="5"/>
    <s v="Bandara Bandara"/>
    <x v="8"/>
    <x v="7"/>
    <x v="1"/>
    <x v="35"/>
    <n v="2747.26"/>
    <n v="3"/>
    <n v="15"/>
    <n v="8241.7800000000007"/>
    <n v="1236.2670000000001"/>
    <n v="7005.5130000000008"/>
    <x v="5"/>
    <x v="0"/>
    <s v="Amara Perera"/>
  </r>
  <r>
    <s v="ORD-1158"/>
    <d v="2023-09-20T00:00:00"/>
    <x v="5"/>
    <s v="Dhanushka Rajapaksa"/>
    <x v="9"/>
    <x v="7"/>
    <x v="1"/>
    <x v="34"/>
    <n v="1436.06"/>
    <n v="4"/>
    <n v="5"/>
    <n v="5744.24"/>
    <n v="287.21199999999999"/>
    <n v="5457.0280000000002"/>
    <x v="1"/>
    <x v="2"/>
    <s v="Ruwan Jayasuriya"/>
  </r>
  <r>
    <s v="ORD-1159"/>
    <d v="2023-09-21T00:00:00"/>
    <x v="5"/>
    <s v="Nadeesha Perera"/>
    <x v="1"/>
    <x v="1"/>
    <x v="3"/>
    <x v="36"/>
    <n v="61303.51"/>
    <n v="2"/>
    <n v="0"/>
    <n v="122607.02"/>
    <n v="0"/>
    <n v="122607.02"/>
    <x v="0"/>
    <x v="3"/>
    <s v="Ruwan Jayasuriya"/>
  </r>
  <r>
    <s v="ORD-1160"/>
    <d v="2023-09-22T00:00:00"/>
    <x v="5"/>
    <s v="Malika Jayasuriya"/>
    <x v="3"/>
    <x v="3"/>
    <x v="3"/>
    <x v="10"/>
    <n v="80553.47"/>
    <n v="5"/>
    <n v="10"/>
    <n v="402767.35"/>
    <n v="40276.735000000001"/>
    <n v="362490.61499999999"/>
    <x v="3"/>
    <x v="0"/>
    <s v="Ruwan Jayasuriya"/>
  </r>
  <r>
    <s v="ORD-1161"/>
    <d v="2023-09-23T00:00:00"/>
    <x v="5"/>
    <s v="Hasini Perera"/>
    <x v="7"/>
    <x v="6"/>
    <x v="5"/>
    <x v="24"/>
    <n v="3652.98"/>
    <n v="3"/>
    <n v="0"/>
    <n v="10958.94"/>
    <n v="0"/>
    <n v="10958.94"/>
    <x v="5"/>
    <x v="3"/>
    <s v="Kavya Fernando"/>
  </r>
  <r>
    <s v="ORD-1162"/>
    <d v="2023-09-24T00:00:00"/>
    <x v="5"/>
    <s v="Rajith Dissanayake"/>
    <x v="9"/>
    <x v="7"/>
    <x v="0"/>
    <x v="29"/>
    <n v="803.76"/>
    <n v="3"/>
    <n v="10"/>
    <n v="2411.2799999999997"/>
    <n v="241.12799999999996"/>
    <n v="2170.1519999999996"/>
    <x v="0"/>
    <x v="3"/>
    <s v="Thilini Bandara"/>
  </r>
  <r>
    <s v="ORD-1163"/>
    <d v="2023-09-25T00:00:00"/>
    <x v="5"/>
    <s v="Hasini Perera"/>
    <x v="5"/>
    <x v="4"/>
    <x v="6"/>
    <x v="21"/>
    <n v="1635.67"/>
    <n v="4"/>
    <n v="0"/>
    <n v="6542.68"/>
    <n v="0"/>
    <n v="6542.68"/>
    <x v="3"/>
    <x v="1"/>
    <s v="Amara Perera"/>
  </r>
  <r>
    <s v="ORD-1164"/>
    <d v="2023-09-26T00:00:00"/>
    <x v="5"/>
    <s v="Kamal Rajapaksa"/>
    <x v="4"/>
    <x v="0"/>
    <x v="0"/>
    <x v="29"/>
    <n v="843.44"/>
    <n v="3"/>
    <n v="0"/>
    <n v="2530.3200000000002"/>
    <n v="0"/>
    <n v="2530.3200000000002"/>
    <x v="5"/>
    <x v="0"/>
    <s v="Thilini Bandara"/>
  </r>
  <r>
    <s v="ORD-1165"/>
    <d v="2023-09-27T00:00:00"/>
    <x v="5"/>
    <s v="Dhanushka Fernando"/>
    <x v="6"/>
    <x v="5"/>
    <x v="0"/>
    <x v="13"/>
    <n v="1231.6199999999999"/>
    <n v="2"/>
    <n v="0"/>
    <n v="2463.2399999999998"/>
    <n v="0"/>
    <n v="2463.2399999999998"/>
    <x v="2"/>
    <x v="0"/>
    <s v="Kavya Fernando"/>
  </r>
  <r>
    <s v="ORD-1166"/>
    <d v="2023-09-28T00:00:00"/>
    <x v="5"/>
    <s v="Nimali Jayasuriya"/>
    <x v="0"/>
    <x v="0"/>
    <x v="2"/>
    <x v="31"/>
    <n v="1203.69"/>
    <n v="5"/>
    <n v="0"/>
    <n v="6018.4500000000007"/>
    <n v="0"/>
    <n v="6018.4500000000007"/>
    <x v="3"/>
    <x v="0"/>
    <s v="Dinesh Silva"/>
  </r>
  <r>
    <s v="ORD-1167"/>
    <d v="2023-09-29T00:00:00"/>
    <x v="5"/>
    <s v="Anusha Perera"/>
    <x v="8"/>
    <x v="7"/>
    <x v="2"/>
    <x v="2"/>
    <n v="2649.67"/>
    <n v="4"/>
    <n v="0"/>
    <n v="10598.68"/>
    <n v="0"/>
    <n v="10598.68"/>
    <x v="2"/>
    <x v="0"/>
    <s v="Kavya Fernando"/>
  </r>
  <r>
    <s v="ORD-1168"/>
    <d v="2023-09-30T00:00:00"/>
    <x v="5"/>
    <s v="Roshani Kumara"/>
    <x v="6"/>
    <x v="5"/>
    <x v="2"/>
    <x v="33"/>
    <n v="858.01"/>
    <n v="1"/>
    <n v="0"/>
    <n v="858.01"/>
    <n v="0"/>
    <n v="858.01"/>
    <x v="5"/>
    <x v="0"/>
    <s v="Thilini Bandara"/>
  </r>
  <r>
    <s v="ORD-1169"/>
    <d v="2023-10-01T00:00:00"/>
    <x v="6"/>
    <s v="Hasini Wickramasinghe"/>
    <x v="8"/>
    <x v="7"/>
    <x v="3"/>
    <x v="10"/>
    <n v="82074.64"/>
    <n v="3"/>
    <n v="0"/>
    <n v="246223.91999999998"/>
    <n v="0"/>
    <n v="246223.91999999998"/>
    <x v="2"/>
    <x v="3"/>
    <s v="Ruwan Jayasuriya"/>
  </r>
  <r>
    <s v="ORD-1170"/>
    <d v="2023-10-02T00:00:00"/>
    <x v="6"/>
    <s v="Asela Gunasekara"/>
    <x v="8"/>
    <x v="7"/>
    <x v="4"/>
    <x v="4"/>
    <n v="3658.77"/>
    <n v="3"/>
    <n v="0"/>
    <n v="10976.31"/>
    <n v="0"/>
    <n v="10976.31"/>
    <x v="1"/>
    <x v="0"/>
    <s v="Amara Perera"/>
  </r>
  <r>
    <s v="ORD-1171"/>
    <d v="2023-10-03T00:00:00"/>
    <x v="6"/>
    <s v="Thilini Pathirana"/>
    <x v="5"/>
    <x v="4"/>
    <x v="2"/>
    <x v="33"/>
    <n v="954.2"/>
    <n v="2"/>
    <n v="15"/>
    <n v="1908.4"/>
    <n v="286.26"/>
    <n v="1622.14"/>
    <x v="1"/>
    <x v="2"/>
    <s v="Thilini Bandara"/>
  </r>
  <r>
    <s v="ORD-1172"/>
    <d v="2023-10-04T00:00:00"/>
    <x v="6"/>
    <s v="Saman Perera"/>
    <x v="9"/>
    <x v="7"/>
    <x v="3"/>
    <x v="5"/>
    <n v="158355.46"/>
    <n v="3"/>
    <n v="10"/>
    <n v="475066.38"/>
    <n v="47506.637999999999"/>
    <n v="427559.74200000003"/>
    <x v="2"/>
    <x v="3"/>
    <s v="Amara Perera"/>
  </r>
  <r>
    <s v="ORD-1173"/>
    <d v="2023-10-05T00:00:00"/>
    <x v="6"/>
    <s v="Ruwan Pathirana"/>
    <x v="6"/>
    <x v="5"/>
    <x v="2"/>
    <x v="31"/>
    <n v="1186.55"/>
    <n v="1"/>
    <n v="5"/>
    <n v="1186.55"/>
    <n v="59.327500000000001"/>
    <n v="1127.2224999999999"/>
    <x v="1"/>
    <x v="3"/>
    <s v="Kavya Fernando"/>
  </r>
  <r>
    <s v="ORD-1174"/>
    <d v="2023-10-06T00:00:00"/>
    <x v="6"/>
    <s v="Thilak Pathirana"/>
    <x v="3"/>
    <x v="3"/>
    <x v="1"/>
    <x v="34"/>
    <n v="1357.77"/>
    <n v="2"/>
    <n v="0"/>
    <n v="2715.54"/>
    <n v="0"/>
    <n v="2715.54"/>
    <x v="0"/>
    <x v="0"/>
    <s v="Thilini Bandara"/>
  </r>
  <r>
    <s v="ORD-1175"/>
    <d v="2023-10-07T00:00:00"/>
    <x v="6"/>
    <s v="Pradeep Wickramasinghe"/>
    <x v="6"/>
    <x v="5"/>
    <x v="1"/>
    <x v="28"/>
    <n v="4785.58"/>
    <n v="4"/>
    <n v="5"/>
    <n v="19142.32"/>
    <n v="957.1160000000001"/>
    <n v="18185.203999999998"/>
    <x v="5"/>
    <x v="0"/>
    <s v="Amara Perera"/>
  </r>
  <r>
    <s v="ORD-1176"/>
    <d v="2023-10-08T00:00:00"/>
    <x v="6"/>
    <s v="Sanduni Kumara"/>
    <x v="6"/>
    <x v="5"/>
    <x v="3"/>
    <x v="19"/>
    <n v="103883.66"/>
    <n v="3"/>
    <n v="10"/>
    <n v="311650.98"/>
    <n v="31165.097999999998"/>
    <n v="280485.88199999998"/>
    <x v="3"/>
    <x v="1"/>
    <s v="Amara Perera"/>
  </r>
  <r>
    <s v="ORD-1177"/>
    <d v="2023-10-09T00:00:00"/>
    <x v="6"/>
    <s v="Hasini Wickramasinghe"/>
    <x v="3"/>
    <x v="3"/>
    <x v="6"/>
    <x v="14"/>
    <n v="677.54"/>
    <n v="2"/>
    <n v="0"/>
    <n v="1355.08"/>
    <n v="0"/>
    <n v="1355.08"/>
    <x v="0"/>
    <x v="0"/>
    <s v="Amara Perera"/>
  </r>
  <r>
    <s v="ORD-1178"/>
    <d v="2023-10-10T00:00:00"/>
    <x v="6"/>
    <s v="Ruwan Jayasuriya"/>
    <x v="6"/>
    <x v="5"/>
    <x v="3"/>
    <x v="36"/>
    <n v="65702.28"/>
    <n v="3"/>
    <n v="0"/>
    <n v="197106.84"/>
    <n v="0"/>
    <n v="197106.84"/>
    <x v="0"/>
    <x v="0"/>
    <s v="Thilini Bandara"/>
  </r>
  <r>
    <s v="ORD-1179"/>
    <d v="2023-10-11T00:00:00"/>
    <x v="6"/>
    <s v="Kamal Wickramasinghe"/>
    <x v="5"/>
    <x v="4"/>
    <x v="0"/>
    <x v="13"/>
    <n v="1206.17"/>
    <n v="4"/>
    <n v="15"/>
    <n v="4824.68"/>
    <n v="723.70200000000011"/>
    <n v="4100.9780000000001"/>
    <x v="5"/>
    <x v="0"/>
    <s v="Kavya Fernando"/>
  </r>
  <r>
    <s v="ORD-1180"/>
    <d v="2023-10-12T00:00:00"/>
    <x v="6"/>
    <s v="Kamal Gunasekara"/>
    <x v="6"/>
    <x v="5"/>
    <x v="0"/>
    <x v="6"/>
    <n v="1744.03"/>
    <n v="5"/>
    <n v="5"/>
    <n v="8720.15"/>
    <n v="436.00749999999999"/>
    <n v="8284.1424999999999"/>
    <x v="2"/>
    <x v="0"/>
    <s v="Dinesh Silva"/>
  </r>
  <r>
    <s v="ORD-1181"/>
    <d v="2023-10-13T00:00:00"/>
    <x v="6"/>
    <s v="Dinesh Perera"/>
    <x v="1"/>
    <x v="1"/>
    <x v="5"/>
    <x v="24"/>
    <n v="3362.89"/>
    <n v="2"/>
    <n v="0"/>
    <n v="6725.78"/>
    <n v="0"/>
    <n v="6725.78"/>
    <x v="1"/>
    <x v="0"/>
    <s v="Thilini Bandara"/>
  </r>
  <r>
    <s v="ORD-1182"/>
    <d v="2023-10-14T00:00:00"/>
    <x v="6"/>
    <s v="Kamal Wickramasinghe"/>
    <x v="4"/>
    <x v="0"/>
    <x v="0"/>
    <x v="6"/>
    <n v="1718.8"/>
    <n v="3"/>
    <n v="15"/>
    <n v="5156.3999999999996"/>
    <n v="773.46"/>
    <n v="4382.9399999999996"/>
    <x v="0"/>
    <x v="0"/>
    <s v="Thilini Bandara"/>
  </r>
  <r>
    <s v="ORD-1183"/>
    <d v="2023-10-15T00:00:00"/>
    <x v="6"/>
    <s v="Sanduni Senanayake"/>
    <x v="2"/>
    <x v="2"/>
    <x v="1"/>
    <x v="1"/>
    <n v="4642.8599999999997"/>
    <n v="5"/>
    <n v="0"/>
    <n v="23214.3"/>
    <n v="0"/>
    <n v="23214.3"/>
    <x v="0"/>
    <x v="0"/>
    <s v="Amara Perera"/>
  </r>
  <r>
    <s v="ORD-1184"/>
    <d v="2023-10-16T00:00:00"/>
    <x v="6"/>
    <s v="Nimali Pathirana"/>
    <x v="2"/>
    <x v="2"/>
    <x v="2"/>
    <x v="27"/>
    <n v="842.71"/>
    <n v="4"/>
    <n v="0"/>
    <n v="3370.84"/>
    <n v="0"/>
    <n v="3370.84"/>
    <x v="5"/>
    <x v="0"/>
    <s v="Thilini Bandara"/>
  </r>
  <r>
    <s v="ORD-1185"/>
    <d v="2023-10-17T00:00:00"/>
    <x v="6"/>
    <s v="Dhanushka Wickramasinghe"/>
    <x v="6"/>
    <x v="5"/>
    <x v="1"/>
    <x v="26"/>
    <n v="1177.46"/>
    <n v="4"/>
    <n v="5"/>
    <n v="4709.84"/>
    <n v="235.49200000000002"/>
    <n v="4474.348"/>
    <x v="5"/>
    <x v="0"/>
    <s v="Ruwan Jayasuriya"/>
  </r>
  <r>
    <s v="ORD-1186"/>
    <d v="2023-10-18T00:00:00"/>
    <x v="6"/>
    <s v="Roshani Gunasekara"/>
    <x v="4"/>
    <x v="0"/>
    <x v="2"/>
    <x v="33"/>
    <n v="835.86"/>
    <n v="3"/>
    <n v="10"/>
    <n v="2507.58"/>
    <n v="250.75799999999998"/>
    <n v="2256.8220000000001"/>
    <x v="2"/>
    <x v="0"/>
    <s v="Kavya Fernando"/>
  </r>
  <r>
    <s v="ORD-1187"/>
    <d v="2023-10-19T00:00:00"/>
    <x v="6"/>
    <s v="Hasini Silva"/>
    <x v="8"/>
    <x v="7"/>
    <x v="1"/>
    <x v="35"/>
    <n v="2311.2600000000002"/>
    <n v="4"/>
    <n v="0"/>
    <n v="9245.0400000000009"/>
    <n v="0"/>
    <n v="9245.0400000000009"/>
    <x v="1"/>
    <x v="0"/>
    <s v="Amara Perera"/>
  </r>
  <r>
    <s v="ORD-1188"/>
    <d v="2023-10-20T00:00:00"/>
    <x v="6"/>
    <s v="Bandara Senanayake"/>
    <x v="5"/>
    <x v="4"/>
    <x v="1"/>
    <x v="1"/>
    <n v="4782.13"/>
    <n v="5"/>
    <n v="5"/>
    <n v="23910.65"/>
    <n v="1195.5325"/>
    <n v="22715.1175"/>
    <x v="1"/>
    <x v="2"/>
    <s v="Dinesh Silva"/>
  </r>
  <r>
    <s v="ORD-1189"/>
    <d v="2023-10-21T00:00:00"/>
    <x v="6"/>
    <s v="Dinesh Gunasekara"/>
    <x v="6"/>
    <x v="5"/>
    <x v="2"/>
    <x v="8"/>
    <n v="542.78"/>
    <n v="4"/>
    <n v="10"/>
    <n v="2171.12"/>
    <n v="217.11199999999997"/>
    <n v="1954.0079999999998"/>
    <x v="2"/>
    <x v="0"/>
    <s v="Dinesh Silva"/>
  </r>
  <r>
    <s v="ORD-1190"/>
    <d v="2023-10-22T00:00:00"/>
    <x v="6"/>
    <s v="Anusha Perera"/>
    <x v="0"/>
    <x v="0"/>
    <x v="2"/>
    <x v="8"/>
    <n v="611.70000000000005"/>
    <n v="4"/>
    <n v="5"/>
    <n v="2446.8000000000002"/>
    <n v="122.34"/>
    <n v="2324.46"/>
    <x v="1"/>
    <x v="0"/>
    <s v="Amara Perera"/>
  </r>
  <r>
    <s v="ORD-1191"/>
    <d v="2023-10-23T00:00:00"/>
    <x v="6"/>
    <s v="Ruwan Wickramasinghe"/>
    <x v="8"/>
    <x v="7"/>
    <x v="6"/>
    <x v="21"/>
    <n v="1751.74"/>
    <n v="4"/>
    <n v="0"/>
    <n v="7006.96"/>
    <n v="0"/>
    <n v="7006.96"/>
    <x v="0"/>
    <x v="3"/>
    <s v="Dinesh Silva"/>
  </r>
  <r>
    <s v="ORD-1192"/>
    <d v="2023-10-24T00:00:00"/>
    <x v="6"/>
    <s v="Hasini Wickramasinghe"/>
    <x v="1"/>
    <x v="1"/>
    <x v="4"/>
    <x v="12"/>
    <n v="4455.32"/>
    <n v="5"/>
    <n v="0"/>
    <n v="22276.6"/>
    <n v="0"/>
    <n v="22276.6"/>
    <x v="0"/>
    <x v="1"/>
    <s v="Thilini Bandara"/>
  </r>
  <r>
    <s v="ORD-1193"/>
    <d v="2023-10-25T00:00:00"/>
    <x v="6"/>
    <s v="Ruwan Silva"/>
    <x v="5"/>
    <x v="4"/>
    <x v="2"/>
    <x v="31"/>
    <n v="1213.8800000000001"/>
    <n v="3"/>
    <n v="5"/>
    <n v="3641.6400000000003"/>
    <n v="182.08199999999999"/>
    <n v="3459.5580000000004"/>
    <x v="1"/>
    <x v="3"/>
    <s v="Thilini Bandara"/>
  </r>
  <r>
    <s v="ORD-1194"/>
    <d v="2023-10-26T00:00:00"/>
    <x v="6"/>
    <s v="Dinesh Perera"/>
    <x v="0"/>
    <x v="0"/>
    <x v="3"/>
    <x v="5"/>
    <n v="156407.76"/>
    <n v="4"/>
    <n v="10"/>
    <n v="625631.04"/>
    <n v="62563.104000000007"/>
    <n v="563067.93599999999"/>
    <x v="2"/>
    <x v="0"/>
    <s v="Thilini Bandara"/>
  </r>
  <r>
    <s v="ORD-1195"/>
    <d v="2023-10-27T00:00:00"/>
    <x v="6"/>
    <s v="Ruwan Rajapaksa"/>
    <x v="2"/>
    <x v="2"/>
    <x v="2"/>
    <x v="27"/>
    <n v="782.87"/>
    <n v="5"/>
    <n v="10"/>
    <n v="3914.35"/>
    <n v="391.435"/>
    <n v="3522.915"/>
    <x v="0"/>
    <x v="0"/>
    <s v="Thilini Bandara"/>
  </r>
  <r>
    <s v="ORD-1196"/>
    <d v="2023-10-28T00:00:00"/>
    <x v="6"/>
    <s v="Hasini Gunasekara"/>
    <x v="2"/>
    <x v="2"/>
    <x v="2"/>
    <x v="8"/>
    <n v="637.89"/>
    <n v="3"/>
    <n v="0"/>
    <n v="1913.67"/>
    <n v="0"/>
    <n v="1913.67"/>
    <x v="5"/>
    <x v="0"/>
    <s v="Thilini Bandara"/>
  </r>
  <r>
    <s v="ORD-1197"/>
    <d v="2023-10-29T00:00:00"/>
    <x v="6"/>
    <s v="Kavindi Kumara"/>
    <x v="0"/>
    <x v="0"/>
    <x v="5"/>
    <x v="7"/>
    <n v="4288.9799999999996"/>
    <n v="5"/>
    <n v="10"/>
    <n v="21444.899999999998"/>
    <n v="2144.4899999999998"/>
    <n v="19300.409999999996"/>
    <x v="1"/>
    <x v="1"/>
    <s v="Amara Perera"/>
  </r>
  <r>
    <s v="ORD-1198"/>
    <d v="2023-10-30T00:00:00"/>
    <x v="6"/>
    <s v="Roshani Fernando"/>
    <x v="7"/>
    <x v="6"/>
    <x v="0"/>
    <x v="6"/>
    <n v="1898.86"/>
    <n v="4"/>
    <n v="15"/>
    <n v="7595.44"/>
    <n v="1139.3159999999998"/>
    <n v="6456.1239999999998"/>
    <x v="1"/>
    <x v="0"/>
    <s v="Thilini Bandara"/>
  </r>
  <r>
    <s v="ORD-1199"/>
    <d v="2023-10-31T00:00:00"/>
    <x v="6"/>
    <s v="Dilini Jayasuriya"/>
    <x v="0"/>
    <x v="0"/>
    <x v="4"/>
    <x v="15"/>
    <n v="2754.52"/>
    <n v="4"/>
    <n v="10"/>
    <n v="11018.08"/>
    <n v="1101.808"/>
    <n v="9916.2720000000008"/>
    <x v="1"/>
    <x v="0"/>
    <s v="Thilini Bandara"/>
  </r>
  <r>
    <s v="ORD-1200"/>
    <d v="2023-11-01T00:00:00"/>
    <x v="7"/>
    <s v="Roshani Kumara"/>
    <x v="0"/>
    <x v="0"/>
    <x v="0"/>
    <x v="25"/>
    <n v="2509.34"/>
    <n v="5"/>
    <n v="0"/>
    <n v="12546.7"/>
    <n v="0"/>
    <n v="12546.7"/>
    <x v="5"/>
    <x v="3"/>
    <s v="Ruwan Jayasuriya"/>
  </r>
  <r>
    <s v="ORD-1201"/>
    <d v="2023-11-02T00:00:00"/>
    <x v="7"/>
    <s v="Sanduni Gunasekara"/>
    <x v="7"/>
    <x v="6"/>
    <x v="2"/>
    <x v="33"/>
    <n v="873.77"/>
    <n v="3"/>
    <n v="0"/>
    <n v="2621.31"/>
    <n v="0"/>
    <n v="2621.31"/>
    <x v="2"/>
    <x v="0"/>
    <s v="Dinesh Silva"/>
  </r>
  <r>
    <s v="ORD-1202"/>
    <d v="2023-11-03T00:00:00"/>
    <x v="7"/>
    <s v="Hasini Wickramasinghe"/>
    <x v="4"/>
    <x v="0"/>
    <x v="2"/>
    <x v="31"/>
    <n v="1249.18"/>
    <n v="4"/>
    <n v="15"/>
    <n v="4996.72"/>
    <n v="749.50800000000004"/>
    <n v="4247.2120000000004"/>
    <x v="2"/>
    <x v="0"/>
    <s v="Thilini Bandara"/>
  </r>
  <r>
    <s v="ORD-1203"/>
    <d v="2023-11-04T00:00:00"/>
    <x v="7"/>
    <s v="Pradeep Wickramasinghe"/>
    <x v="1"/>
    <x v="1"/>
    <x v="5"/>
    <x v="17"/>
    <n v="9271.42"/>
    <n v="4"/>
    <n v="0"/>
    <n v="37085.68"/>
    <n v="0"/>
    <n v="37085.68"/>
    <x v="1"/>
    <x v="0"/>
    <s v="Amara Perera"/>
  </r>
  <r>
    <s v="ORD-1204"/>
    <d v="2023-11-05T00:00:00"/>
    <x v="7"/>
    <s v="Asela Silva"/>
    <x v="8"/>
    <x v="7"/>
    <x v="4"/>
    <x v="15"/>
    <n v="2938.51"/>
    <n v="2"/>
    <n v="15"/>
    <n v="5877.02"/>
    <n v="881.553"/>
    <n v="4995.4670000000006"/>
    <x v="0"/>
    <x v="0"/>
    <s v="Thilini Bandara"/>
  </r>
  <r>
    <s v="ORD-1205"/>
    <d v="2023-11-06T00:00:00"/>
    <x v="7"/>
    <s v="Pradeep Fernando"/>
    <x v="1"/>
    <x v="1"/>
    <x v="5"/>
    <x v="17"/>
    <n v="9004.64"/>
    <n v="1"/>
    <n v="0"/>
    <n v="9004.64"/>
    <n v="0"/>
    <n v="9004.64"/>
    <x v="0"/>
    <x v="0"/>
    <s v="Dinesh Silva"/>
  </r>
  <r>
    <s v="ORD-1206"/>
    <d v="2023-11-07T00:00:00"/>
    <x v="7"/>
    <s v="Dilini Dissanayake"/>
    <x v="8"/>
    <x v="7"/>
    <x v="0"/>
    <x v="13"/>
    <n v="1104.1300000000001"/>
    <n v="2"/>
    <n v="15"/>
    <n v="2208.2600000000002"/>
    <n v="331.23900000000003"/>
    <n v="1877.0210000000002"/>
    <x v="0"/>
    <x v="0"/>
    <s v="Ruwan Jayasuriya"/>
  </r>
  <r>
    <s v="ORD-1207"/>
    <d v="2023-11-08T00:00:00"/>
    <x v="7"/>
    <s v="Roshani Gunasekara"/>
    <x v="4"/>
    <x v="0"/>
    <x v="6"/>
    <x v="22"/>
    <n v="2121.31"/>
    <n v="1"/>
    <n v="15"/>
    <n v="2121.31"/>
    <n v="318.19649999999996"/>
    <n v="1803.1134999999999"/>
    <x v="0"/>
    <x v="0"/>
    <s v="Thilini Bandara"/>
  </r>
  <r>
    <s v="ORD-1208"/>
    <d v="2023-11-09T00:00:00"/>
    <x v="7"/>
    <s v="Kavindi Perera"/>
    <x v="9"/>
    <x v="7"/>
    <x v="4"/>
    <x v="20"/>
    <n v="5977.31"/>
    <n v="1"/>
    <n v="0"/>
    <n v="5977.31"/>
    <n v="0"/>
    <n v="5977.31"/>
    <x v="2"/>
    <x v="0"/>
    <s v="Kavya Fernando"/>
  </r>
  <r>
    <s v="ORD-1209"/>
    <d v="2023-11-10T00:00:00"/>
    <x v="7"/>
    <s v="Kasun Wickramasinghe"/>
    <x v="2"/>
    <x v="2"/>
    <x v="5"/>
    <x v="30"/>
    <n v="9228.3700000000008"/>
    <n v="3"/>
    <n v="10"/>
    <n v="27685.11"/>
    <n v="2768.511"/>
    <n v="24916.599000000002"/>
    <x v="2"/>
    <x v="1"/>
    <s v="Thilini Bandara"/>
  </r>
  <r>
    <s v="ORD-1210"/>
    <d v="2023-11-11T00:00:00"/>
    <x v="7"/>
    <s v="Roshani Fernando"/>
    <x v="7"/>
    <x v="6"/>
    <x v="4"/>
    <x v="15"/>
    <n v="2627.97"/>
    <n v="1"/>
    <n v="15"/>
    <n v="2627.97"/>
    <n v="394.19549999999998"/>
    <n v="2233.7745"/>
    <x v="1"/>
    <x v="1"/>
    <s v="Ruwan Jayasuriya"/>
  </r>
  <r>
    <s v="ORD-1211"/>
    <d v="2023-11-12T00:00:00"/>
    <x v="7"/>
    <s v="Pradeep Kumara"/>
    <x v="9"/>
    <x v="7"/>
    <x v="3"/>
    <x v="19"/>
    <n v="91905.13"/>
    <n v="3"/>
    <n v="15"/>
    <n v="275715.39"/>
    <n v="41357.308499999999"/>
    <n v="234358.08150000003"/>
    <x v="1"/>
    <x v="0"/>
    <s v="Thilini Bandara"/>
  </r>
  <r>
    <s v="ORD-1212"/>
    <d v="2023-11-13T00:00:00"/>
    <x v="7"/>
    <s v="Bandara Dissanayake"/>
    <x v="7"/>
    <x v="6"/>
    <x v="2"/>
    <x v="2"/>
    <n v="2450.42"/>
    <n v="1"/>
    <n v="0"/>
    <n v="2450.42"/>
    <n v="0"/>
    <n v="2450.42"/>
    <x v="1"/>
    <x v="0"/>
    <s v="Kavya Fernando"/>
  </r>
  <r>
    <s v="ORD-1213"/>
    <d v="2023-11-14T00:00:00"/>
    <x v="7"/>
    <s v="Kasun Wickramasinghe"/>
    <x v="5"/>
    <x v="4"/>
    <x v="1"/>
    <x v="35"/>
    <n v="2626.88"/>
    <n v="3"/>
    <n v="0"/>
    <n v="7880.64"/>
    <n v="0"/>
    <n v="7880.64"/>
    <x v="0"/>
    <x v="1"/>
    <s v="Thilini Bandara"/>
  </r>
  <r>
    <s v="ORD-1214"/>
    <d v="2023-11-15T00:00:00"/>
    <x v="7"/>
    <s v="Pradeep Pathirana"/>
    <x v="8"/>
    <x v="7"/>
    <x v="0"/>
    <x v="25"/>
    <n v="2281.06"/>
    <n v="1"/>
    <n v="15"/>
    <n v="2281.06"/>
    <n v="342.15899999999999"/>
    <n v="1938.9009999999998"/>
    <x v="3"/>
    <x v="0"/>
    <s v="Ruwan Jayasuriya"/>
  </r>
  <r>
    <s v="ORD-1215"/>
    <d v="2023-11-16T00:00:00"/>
    <x v="7"/>
    <s v="Dinesh Kumara"/>
    <x v="3"/>
    <x v="3"/>
    <x v="0"/>
    <x v="29"/>
    <n v="822.19"/>
    <n v="3"/>
    <n v="0"/>
    <n v="2466.5700000000002"/>
    <n v="0"/>
    <n v="2466.5700000000002"/>
    <x v="0"/>
    <x v="0"/>
    <s v="Dinesh Silva"/>
  </r>
  <r>
    <s v="ORD-1216"/>
    <d v="2023-11-17T00:00:00"/>
    <x v="7"/>
    <s v="Roshani Fernando"/>
    <x v="6"/>
    <x v="5"/>
    <x v="0"/>
    <x v="6"/>
    <n v="1754.5"/>
    <n v="5"/>
    <n v="0"/>
    <n v="8772.5"/>
    <n v="0"/>
    <n v="8772.5"/>
    <x v="0"/>
    <x v="2"/>
    <s v="Dinesh Silva"/>
  </r>
  <r>
    <s v="ORD-1217"/>
    <d v="2023-11-18T00:00:00"/>
    <x v="7"/>
    <s v="Thilini Senanayake"/>
    <x v="1"/>
    <x v="1"/>
    <x v="5"/>
    <x v="7"/>
    <n v="4525.3599999999997"/>
    <n v="3"/>
    <n v="10"/>
    <n v="13576.079999999998"/>
    <n v="1357.6079999999999"/>
    <n v="12218.471999999998"/>
    <x v="0"/>
    <x v="0"/>
    <s v="Amara Perera"/>
  </r>
  <r>
    <s v="ORD-1218"/>
    <d v="2023-11-19T00:00:00"/>
    <x v="7"/>
    <s v="Dinesh Jayasuriya"/>
    <x v="2"/>
    <x v="2"/>
    <x v="5"/>
    <x v="24"/>
    <n v="3265.18"/>
    <n v="5"/>
    <n v="15"/>
    <n v="16325.9"/>
    <n v="2448.8850000000002"/>
    <n v="13877.014999999999"/>
    <x v="5"/>
    <x v="1"/>
    <s v="Dinesh Silva"/>
  </r>
  <r>
    <s v="ORD-1219"/>
    <d v="2023-11-20T00:00:00"/>
    <x v="7"/>
    <s v="Rajith Gunasekara"/>
    <x v="1"/>
    <x v="1"/>
    <x v="5"/>
    <x v="7"/>
    <n v="4777.82"/>
    <n v="4"/>
    <n v="10"/>
    <n v="19111.28"/>
    <n v="1911.1279999999999"/>
    <n v="17200.151999999998"/>
    <x v="0"/>
    <x v="0"/>
    <s v="Ruwan Jayasuriya"/>
  </r>
  <r>
    <s v="ORD-1220"/>
    <d v="2023-11-21T00:00:00"/>
    <x v="7"/>
    <s v="Nimali Bandara"/>
    <x v="6"/>
    <x v="5"/>
    <x v="0"/>
    <x v="0"/>
    <n v="1566.98"/>
    <n v="4"/>
    <n v="10"/>
    <n v="6267.92"/>
    <n v="626.79199999999992"/>
    <n v="5641.1280000000006"/>
    <x v="5"/>
    <x v="1"/>
    <s v="Dinesh Silva"/>
  </r>
  <r>
    <s v="ORD-1221"/>
    <d v="2023-11-22T00:00:00"/>
    <x v="7"/>
    <s v="Kamal Perera"/>
    <x v="5"/>
    <x v="4"/>
    <x v="2"/>
    <x v="2"/>
    <n v="2520.58"/>
    <n v="1"/>
    <n v="5"/>
    <n v="2520.58"/>
    <n v="126.029"/>
    <n v="2394.5509999999999"/>
    <x v="2"/>
    <x v="0"/>
    <s v="Kavya Fernando"/>
  </r>
  <r>
    <s v="ORD-1222"/>
    <d v="2023-11-23T00:00:00"/>
    <x v="7"/>
    <s v="Sanduni Fernando"/>
    <x v="5"/>
    <x v="4"/>
    <x v="2"/>
    <x v="8"/>
    <n v="593.82000000000005"/>
    <n v="4"/>
    <n v="0"/>
    <n v="2375.2800000000002"/>
    <n v="0"/>
    <n v="2375.2800000000002"/>
    <x v="5"/>
    <x v="1"/>
    <s v="Thilini Bandara"/>
  </r>
  <r>
    <s v="ORD-1223"/>
    <d v="2023-11-24T00:00:00"/>
    <x v="7"/>
    <s v="Dhanushka Rajapaksa"/>
    <x v="1"/>
    <x v="1"/>
    <x v="1"/>
    <x v="28"/>
    <n v="4893.0600000000004"/>
    <n v="2"/>
    <n v="0"/>
    <n v="9786.1200000000008"/>
    <n v="0"/>
    <n v="9786.1200000000008"/>
    <x v="5"/>
    <x v="2"/>
    <s v="Amara Perera"/>
  </r>
  <r>
    <s v="ORD-1224"/>
    <d v="2023-11-25T00:00:00"/>
    <x v="7"/>
    <s v="Saman Pathirana"/>
    <x v="7"/>
    <x v="6"/>
    <x v="4"/>
    <x v="12"/>
    <n v="4391.3500000000004"/>
    <n v="2"/>
    <n v="0"/>
    <n v="8782.7000000000007"/>
    <n v="0"/>
    <n v="8782.7000000000007"/>
    <x v="2"/>
    <x v="0"/>
    <s v="Dinesh Silva"/>
  </r>
  <r>
    <s v="ORD-1225"/>
    <d v="2023-11-26T00:00:00"/>
    <x v="7"/>
    <s v="Chamara Kumara"/>
    <x v="1"/>
    <x v="1"/>
    <x v="3"/>
    <x v="19"/>
    <n v="93465.57"/>
    <n v="1"/>
    <n v="10"/>
    <n v="93465.57"/>
    <n v="9346.5570000000007"/>
    <n v="84119.013000000006"/>
    <x v="1"/>
    <x v="0"/>
    <s v="Amara Perera"/>
  </r>
  <r>
    <s v="ORD-1226"/>
    <d v="2023-11-27T00:00:00"/>
    <x v="7"/>
    <s v="Nimali Gunasekara"/>
    <x v="2"/>
    <x v="2"/>
    <x v="0"/>
    <x v="29"/>
    <n v="759.16"/>
    <n v="1"/>
    <n v="0"/>
    <n v="759.16"/>
    <n v="0"/>
    <n v="759.16"/>
    <x v="2"/>
    <x v="0"/>
    <s v="Thilini Bandara"/>
  </r>
  <r>
    <s v="ORD-1227"/>
    <d v="2023-11-28T00:00:00"/>
    <x v="7"/>
    <s v="Nimali Fernando"/>
    <x v="7"/>
    <x v="6"/>
    <x v="2"/>
    <x v="27"/>
    <n v="850.53"/>
    <n v="5"/>
    <n v="0"/>
    <n v="4252.6499999999996"/>
    <n v="0"/>
    <n v="4252.6499999999996"/>
    <x v="0"/>
    <x v="3"/>
    <s v="Kavya Fernando"/>
  </r>
  <r>
    <s v="ORD-1228"/>
    <d v="2023-11-29T00:00:00"/>
    <x v="7"/>
    <s v="Malika Fernando"/>
    <x v="7"/>
    <x v="6"/>
    <x v="1"/>
    <x v="35"/>
    <n v="2400.25"/>
    <n v="1"/>
    <n v="15"/>
    <n v="2400.25"/>
    <n v="360.03750000000002"/>
    <n v="2040.2125000000001"/>
    <x v="0"/>
    <x v="1"/>
    <s v="Dinesh Silva"/>
  </r>
  <r>
    <s v="ORD-1229"/>
    <d v="2023-11-30T00:00:00"/>
    <x v="7"/>
    <s v="Thilini Dissanayake"/>
    <x v="7"/>
    <x v="6"/>
    <x v="4"/>
    <x v="4"/>
    <n v="3830.6"/>
    <n v="4"/>
    <n v="5"/>
    <n v="15322.4"/>
    <n v="766.12"/>
    <n v="14556.279999999999"/>
    <x v="3"/>
    <x v="1"/>
    <s v="Ruwan Jayasuriya"/>
  </r>
  <r>
    <s v="ORD-1230"/>
    <d v="2023-12-01T00:00:00"/>
    <x v="8"/>
    <s v="Ruwan Wickramasinghe"/>
    <x v="5"/>
    <x v="4"/>
    <x v="1"/>
    <x v="28"/>
    <n v="4973.5200000000004"/>
    <n v="2"/>
    <n v="0"/>
    <n v="9947.0400000000009"/>
    <n v="0"/>
    <n v="9947.0400000000009"/>
    <x v="1"/>
    <x v="2"/>
    <s v="Ruwan Jayasuriya"/>
  </r>
  <r>
    <s v="ORD-1231"/>
    <d v="2023-12-02T00:00:00"/>
    <x v="8"/>
    <s v="Hasini Dissanayake"/>
    <x v="5"/>
    <x v="4"/>
    <x v="5"/>
    <x v="17"/>
    <n v="8804.7800000000007"/>
    <n v="2"/>
    <n v="5"/>
    <n v="17609.560000000001"/>
    <n v="880.47800000000007"/>
    <n v="16729.082000000002"/>
    <x v="1"/>
    <x v="0"/>
    <s v="Amara Perera"/>
  </r>
  <r>
    <s v="ORD-1232"/>
    <d v="2023-12-03T00:00:00"/>
    <x v="8"/>
    <s v="Anusha Silva"/>
    <x v="7"/>
    <x v="6"/>
    <x v="0"/>
    <x v="25"/>
    <n v="2275.77"/>
    <n v="4"/>
    <n v="0"/>
    <n v="9103.08"/>
    <n v="0"/>
    <n v="9103.08"/>
    <x v="0"/>
    <x v="3"/>
    <s v="Amara Perera"/>
  </r>
  <r>
    <s v="ORD-1233"/>
    <d v="2023-12-04T00:00:00"/>
    <x v="8"/>
    <s v="Chamara Senanayake"/>
    <x v="7"/>
    <x v="6"/>
    <x v="1"/>
    <x v="35"/>
    <n v="2354.44"/>
    <n v="3"/>
    <n v="15"/>
    <n v="7063.32"/>
    <n v="1059.4979999999998"/>
    <n v="6003.8220000000001"/>
    <x v="5"/>
    <x v="0"/>
    <s v="Dinesh Silva"/>
  </r>
  <r>
    <s v="ORD-1234"/>
    <d v="2023-12-05T00:00:00"/>
    <x v="8"/>
    <s v="Dilini Kumara"/>
    <x v="6"/>
    <x v="5"/>
    <x v="1"/>
    <x v="26"/>
    <n v="1225.06"/>
    <n v="2"/>
    <n v="0"/>
    <n v="2450.12"/>
    <n v="0"/>
    <n v="2450.12"/>
    <x v="1"/>
    <x v="3"/>
    <s v="Kavya Fernando"/>
  </r>
  <r>
    <s v="ORD-1235"/>
    <d v="2023-12-06T00:00:00"/>
    <x v="8"/>
    <s v="Bandara Gunasekara"/>
    <x v="7"/>
    <x v="6"/>
    <x v="0"/>
    <x v="0"/>
    <n v="1442.53"/>
    <n v="3"/>
    <n v="15"/>
    <n v="4327.59"/>
    <n v="649.13850000000002"/>
    <n v="3678.4515000000001"/>
    <x v="2"/>
    <x v="0"/>
    <s v="Amara Perera"/>
  </r>
  <r>
    <s v="ORD-1236"/>
    <d v="2023-12-07T00:00:00"/>
    <x v="8"/>
    <s v="Roshani Rajapaksa"/>
    <x v="4"/>
    <x v="0"/>
    <x v="2"/>
    <x v="31"/>
    <n v="1179.3399999999999"/>
    <n v="5"/>
    <n v="10"/>
    <n v="5896.7"/>
    <n v="589.66999999999996"/>
    <n v="5307.03"/>
    <x v="1"/>
    <x v="0"/>
    <s v="Kavya Fernando"/>
  </r>
  <r>
    <s v="ORD-1237"/>
    <d v="2023-12-08T00:00:00"/>
    <x v="8"/>
    <s v="Rajith Senanayake"/>
    <x v="5"/>
    <x v="4"/>
    <x v="2"/>
    <x v="27"/>
    <n v="751.39"/>
    <n v="2"/>
    <n v="5"/>
    <n v="1502.78"/>
    <n v="75.138999999999996"/>
    <n v="1427.6410000000001"/>
    <x v="0"/>
    <x v="2"/>
    <s v="Dinesh Silva"/>
  </r>
  <r>
    <s v="ORD-1238"/>
    <d v="2023-12-09T00:00:00"/>
    <x v="8"/>
    <s v="Hasini Pathirana"/>
    <x v="8"/>
    <x v="7"/>
    <x v="2"/>
    <x v="8"/>
    <n v="655.98"/>
    <n v="4"/>
    <n v="0"/>
    <n v="2623.92"/>
    <n v="0"/>
    <n v="2623.92"/>
    <x v="1"/>
    <x v="1"/>
    <s v="Kavya Fernando"/>
  </r>
  <r>
    <s v="ORD-1239"/>
    <d v="2023-12-10T00:00:00"/>
    <x v="8"/>
    <s v="Ruwan Kumara"/>
    <x v="7"/>
    <x v="6"/>
    <x v="4"/>
    <x v="20"/>
    <n v="5958.59"/>
    <n v="5"/>
    <n v="0"/>
    <n v="29792.95"/>
    <n v="0"/>
    <n v="29792.95"/>
    <x v="5"/>
    <x v="3"/>
    <s v="Amara Perera"/>
  </r>
  <r>
    <s v="ORD-1240"/>
    <d v="2023-12-11T00:00:00"/>
    <x v="8"/>
    <s v="Thilini Perera"/>
    <x v="0"/>
    <x v="0"/>
    <x v="4"/>
    <x v="20"/>
    <n v="5876.8"/>
    <n v="2"/>
    <n v="10"/>
    <n v="11753.6"/>
    <n v="1175.3599999999999"/>
    <n v="10578.24"/>
    <x v="1"/>
    <x v="0"/>
    <s v="Dinesh Silva"/>
  </r>
  <r>
    <s v="ORD-1241"/>
    <d v="2023-12-12T00:00:00"/>
    <x v="8"/>
    <s v="Saman Rajapaksa"/>
    <x v="0"/>
    <x v="0"/>
    <x v="5"/>
    <x v="17"/>
    <n v="10284.23"/>
    <n v="4"/>
    <n v="5"/>
    <n v="41136.92"/>
    <n v="2056.8459999999995"/>
    <n v="39080.074000000001"/>
    <x v="5"/>
    <x v="3"/>
    <s v="Thilini Bandara"/>
  </r>
  <r>
    <s v="ORD-1242"/>
    <d v="2023-12-13T00:00:00"/>
    <x v="8"/>
    <s v="Kasun Perera"/>
    <x v="7"/>
    <x v="6"/>
    <x v="0"/>
    <x v="0"/>
    <n v="1510.72"/>
    <n v="3"/>
    <n v="0"/>
    <n v="4532.16"/>
    <n v="0"/>
    <n v="4532.16"/>
    <x v="0"/>
    <x v="2"/>
    <s v="Ruwan Jayasuriya"/>
  </r>
  <r>
    <s v="ORD-1243"/>
    <d v="2023-12-14T00:00:00"/>
    <x v="8"/>
    <s v="Dilini Silva"/>
    <x v="7"/>
    <x v="6"/>
    <x v="1"/>
    <x v="1"/>
    <n v="4222.74"/>
    <n v="5"/>
    <n v="0"/>
    <n v="21113.699999999997"/>
    <n v="0"/>
    <n v="21113.699999999997"/>
    <x v="3"/>
    <x v="0"/>
    <s v="Ruwan Jayasuriya"/>
  </r>
  <r>
    <s v="ORD-1244"/>
    <d v="2023-12-15T00:00:00"/>
    <x v="8"/>
    <s v="Anusha Dissanayake"/>
    <x v="6"/>
    <x v="5"/>
    <x v="5"/>
    <x v="24"/>
    <n v="3843.16"/>
    <n v="2"/>
    <n v="0"/>
    <n v="7686.32"/>
    <n v="0"/>
    <n v="7686.32"/>
    <x v="5"/>
    <x v="1"/>
    <s v="Amara Perera"/>
  </r>
  <r>
    <s v="ORD-1245"/>
    <d v="2023-12-16T00:00:00"/>
    <x v="8"/>
    <s v="Bandara Dissanayake"/>
    <x v="5"/>
    <x v="4"/>
    <x v="5"/>
    <x v="7"/>
    <n v="4100.5"/>
    <n v="1"/>
    <n v="5"/>
    <n v="4100.5"/>
    <n v="205.02500000000001"/>
    <n v="3895.4749999999999"/>
    <x v="1"/>
    <x v="0"/>
    <s v="Ruwan Jayasuriya"/>
  </r>
  <r>
    <s v="ORD-1246"/>
    <d v="2023-12-17T00:00:00"/>
    <x v="8"/>
    <s v="Dhanushka Rajapaksa"/>
    <x v="2"/>
    <x v="2"/>
    <x v="6"/>
    <x v="11"/>
    <n v="1618.44"/>
    <n v="1"/>
    <n v="5"/>
    <n v="1618.44"/>
    <n v="80.922000000000011"/>
    <n v="1537.518"/>
    <x v="1"/>
    <x v="2"/>
    <s v="Thilini Bandara"/>
  </r>
  <r>
    <s v="ORD-1247"/>
    <d v="2023-12-18T00:00:00"/>
    <x v="8"/>
    <s v="Pradeep Perera"/>
    <x v="1"/>
    <x v="1"/>
    <x v="0"/>
    <x v="0"/>
    <n v="1619.79"/>
    <n v="5"/>
    <n v="0"/>
    <n v="8098.95"/>
    <n v="0"/>
    <n v="8098.95"/>
    <x v="5"/>
    <x v="0"/>
    <s v="Kavya Fernando"/>
  </r>
  <r>
    <s v="ORD-1248"/>
    <d v="2023-12-19T00:00:00"/>
    <x v="8"/>
    <s v="Chamara Senanayake"/>
    <x v="9"/>
    <x v="7"/>
    <x v="6"/>
    <x v="21"/>
    <n v="1954.39"/>
    <n v="3"/>
    <n v="5"/>
    <n v="5863.17"/>
    <n v="293.1585"/>
    <n v="5570.0115000000005"/>
    <x v="0"/>
    <x v="0"/>
    <s v="Thilini Bandara"/>
  </r>
  <r>
    <s v="ORD-1249"/>
    <d v="2023-12-20T00:00:00"/>
    <x v="8"/>
    <s v="Thilini Bandara"/>
    <x v="8"/>
    <x v="7"/>
    <x v="4"/>
    <x v="20"/>
    <n v="5819.55"/>
    <n v="1"/>
    <n v="5"/>
    <n v="5819.55"/>
    <n v="290.97750000000002"/>
    <n v="5528.5725000000002"/>
    <x v="3"/>
    <x v="0"/>
    <s v="Amara Perera"/>
  </r>
  <r>
    <s v="ORD-1250"/>
    <d v="2023-12-21T00:00:00"/>
    <x v="8"/>
    <s v="Ishara Silva"/>
    <x v="8"/>
    <x v="7"/>
    <x v="5"/>
    <x v="17"/>
    <n v="10364.23"/>
    <n v="4"/>
    <n v="5"/>
    <n v="41456.92"/>
    <n v="2072.8459999999995"/>
    <n v="39384.074000000001"/>
    <x v="5"/>
    <x v="1"/>
    <s v="Kavya Fernando"/>
  </r>
  <r>
    <s v="ORD-1251"/>
    <d v="2023-12-22T00:00:00"/>
    <x v="8"/>
    <s v="Roshani Jayasuriya"/>
    <x v="8"/>
    <x v="7"/>
    <x v="5"/>
    <x v="7"/>
    <n v="4438.66"/>
    <n v="5"/>
    <n v="0"/>
    <n v="22193.3"/>
    <n v="0"/>
    <n v="22193.3"/>
    <x v="2"/>
    <x v="0"/>
    <s v="Thilini Bandara"/>
  </r>
  <r>
    <s v="ORD-1252"/>
    <d v="2023-12-23T00:00:00"/>
    <x v="8"/>
    <s v="Ishara Kumara"/>
    <x v="1"/>
    <x v="1"/>
    <x v="3"/>
    <x v="36"/>
    <n v="60504.87"/>
    <n v="2"/>
    <n v="0"/>
    <n v="121009.74"/>
    <n v="0"/>
    <n v="121009.74"/>
    <x v="3"/>
    <x v="0"/>
    <s v="Amara Perera"/>
  </r>
  <r>
    <s v="ORD-1253"/>
    <d v="2023-12-24T00:00:00"/>
    <x v="8"/>
    <s v="Kasun Wickramasinghe"/>
    <x v="6"/>
    <x v="5"/>
    <x v="2"/>
    <x v="31"/>
    <n v="1104.54"/>
    <n v="1"/>
    <n v="10"/>
    <n v="1104.54"/>
    <n v="110.45399999999999"/>
    <n v="994.08600000000001"/>
    <x v="2"/>
    <x v="0"/>
    <s v="Thilini Bandara"/>
  </r>
  <r>
    <s v="ORD-1254"/>
    <d v="2023-12-25T00:00:00"/>
    <x v="8"/>
    <s v="Dinesh Dissanayake"/>
    <x v="1"/>
    <x v="1"/>
    <x v="3"/>
    <x v="10"/>
    <n v="82516.539999999994"/>
    <n v="1"/>
    <n v="5"/>
    <n v="82516.539999999994"/>
    <n v="4125.8269999999993"/>
    <n v="78390.712999999989"/>
    <x v="0"/>
    <x v="2"/>
    <s v="Kavya Fernando"/>
  </r>
  <r>
    <s v="ORD-1255"/>
    <d v="2023-12-26T00:00:00"/>
    <x v="8"/>
    <s v="Kasun Wickramasinghe"/>
    <x v="5"/>
    <x v="4"/>
    <x v="4"/>
    <x v="4"/>
    <n v="3657.39"/>
    <n v="5"/>
    <n v="15"/>
    <n v="18286.95"/>
    <n v="2743.0425"/>
    <n v="15543.907500000001"/>
    <x v="0"/>
    <x v="3"/>
    <s v="Dinesh Silva"/>
  </r>
  <r>
    <s v="ORD-1256"/>
    <d v="2023-12-27T00:00:00"/>
    <x v="8"/>
    <s v="Bandara Fernando"/>
    <x v="9"/>
    <x v="7"/>
    <x v="2"/>
    <x v="31"/>
    <n v="1144.42"/>
    <n v="2"/>
    <n v="5"/>
    <n v="2288.84"/>
    <n v="114.44200000000001"/>
    <n v="2174.3980000000001"/>
    <x v="1"/>
    <x v="0"/>
    <s v="Kavya Fernando"/>
  </r>
  <r>
    <s v="ORD-1257"/>
    <d v="2023-12-28T00:00:00"/>
    <x v="8"/>
    <s v="Malika Gunasekara"/>
    <x v="1"/>
    <x v="1"/>
    <x v="2"/>
    <x v="31"/>
    <n v="1306.6099999999999"/>
    <n v="4"/>
    <n v="0"/>
    <n v="5226.4399999999996"/>
    <n v="0"/>
    <n v="5226.4399999999996"/>
    <x v="0"/>
    <x v="0"/>
    <s v="Ruwan Jayasuriya"/>
  </r>
  <r>
    <s v="ORD-1258"/>
    <d v="2023-12-29T00:00:00"/>
    <x v="8"/>
    <s v="Ruwan Wickramasinghe"/>
    <x v="0"/>
    <x v="0"/>
    <x v="4"/>
    <x v="15"/>
    <n v="2991.3"/>
    <n v="4"/>
    <n v="15"/>
    <n v="11965.2"/>
    <n v="1794.78"/>
    <n v="10170.42"/>
    <x v="2"/>
    <x v="0"/>
    <s v="Ruwan Jayasuriya"/>
  </r>
  <r>
    <s v="ORD-1259"/>
    <d v="2023-12-30T00:00:00"/>
    <x v="8"/>
    <s v="Nadeesha Fernando"/>
    <x v="3"/>
    <x v="3"/>
    <x v="2"/>
    <x v="33"/>
    <n v="980.51"/>
    <n v="2"/>
    <n v="0"/>
    <n v="1961.02"/>
    <n v="0"/>
    <n v="1961.02"/>
    <x v="3"/>
    <x v="0"/>
    <s v="Ruwan Jayasuriya"/>
  </r>
  <r>
    <s v="ORD-1260"/>
    <d v="2023-12-31T00:00:00"/>
    <x v="8"/>
    <s v="Malika Kumara"/>
    <x v="6"/>
    <x v="5"/>
    <x v="5"/>
    <x v="24"/>
    <n v="3378.12"/>
    <n v="3"/>
    <n v="0"/>
    <n v="10134.36"/>
    <n v="0"/>
    <n v="10134.36"/>
    <x v="3"/>
    <x v="0"/>
    <s v="Thilini Bandara"/>
  </r>
  <r>
    <s v="ORD-1261"/>
    <d v="2024-01-01T00:00:00"/>
    <x v="9"/>
    <s v="Rajith Bandara"/>
    <x v="9"/>
    <x v="7"/>
    <x v="0"/>
    <x v="6"/>
    <n v="1629.69"/>
    <n v="4"/>
    <n v="15"/>
    <n v="6518.76"/>
    <n v="977.81400000000008"/>
    <n v="5540.9459999999999"/>
    <x v="1"/>
    <x v="0"/>
    <s v="Kavya Fernando"/>
  </r>
  <r>
    <s v="ORD-1262"/>
    <d v="2024-01-02T00:00:00"/>
    <x v="9"/>
    <s v="Kamal Dissanayake"/>
    <x v="6"/>
    <x v="5"/>
    <x v="1"/>
    <x v="26"/>
    <n v="1152.68"/>
    <n v="3"/>
    <n v="5"/>
    <n v="3458.04"/>
    <n v="172.90200000000002"/>
    <n v="3285.1379999999999"/>
    <x v="1"/>
    <x v="1"/>
    <s v="Ruwan Jayasuriya"/>
  </r>
  <r>
    <s v="ORD-1263"/>
    <d v="2024-01-03T00:00:00"/>
    <x v="9"/>
    <s v="Kamal Gunasekara"/>
    <x v="2"/>
    <x v="2"/>
    <x v="4"/>
    <x v="12"/>
    <n v="4410.72"/>
    <n v="5"/>
    <n v="0"/>
    <n v="22053.600000000002"/>
    <n v="0"/>
    <n v="22053.600000000002"/>
    <x v="2"/>
    <x v="3"/>
    <s v="Amara Perera"/>
  </r>
  <r>
    <s v="ORD-1264"/>
    <d v="2024-01-04T00:00:00"/>
    <x v="9"/>
    <s v="Asela Bandara"/>
    <x v="2"/>
    <x v="2"/>
    <x v="0"/>
    <x v="29"/>
    <n v="737.5"/>
    <n v="2"/>
    <n v="0"/>
    <n v="1475"/>
    <n v="0"/>
    <n v="1475"/>
    <x v="3"/>
    <x v="0"/>
    <s v="Thilini Bandara"/>
  </r>
  <r>
    <s v="ORD-1265"/>
    <d v="2024-01-05T00:00:00"/>
    <x v="9"/>
    <s v="Rajith Pathirana"/>
    <x v="5"/>
    <x v="4"/>
    <x v="6"/>
    <x v="22"/>
    <n v="2404.92"/>
    <n v="4"/>
    <n v="0"/>
    <n v="9619.68"/>
    <n v="0"/>
    <n v="9619.68"/>
    <x v="5"/>
    <x v="0"/>
    <s v="Kavya Fernando"/>
  </r>
  <r>
    <s v="ORD-1266"/>
    <d v="2024-01-06T00:00:00"/>
    <x v="9"/>
    <s v="Dinesh Kumara"/>
    <x v="7"/>
    <x v="6"/>
    <x v="5"/>
    <x v="17"/>
    <n v="9856.56"/>
    <n v="2"/>
    <n v="15"/>
    <n v="19713.12"/>
    <n v="2956.9679999999998"/>
    <n v="16756.151999999998"/>
    <x v="3"/>
    <x v="0"/>
    <s v="Ruwan Jayasuriya"/>
  </r>
  <r>
    <s v="ORD-1267"/>
    <d v="2024-01-07T00:00:00"/>
    <x v="9"/>
    <s v="Rajith Kumara"/>
    <x v="7"/>
    <x v="6"/>
    <x v="1"/>
    <x v="16"/>
    <n v="8796.32"/>
    <n v="4"/>
    <n v="0"/>
    <n v="35185.279999999999"/>
    <n v="0"/>
    <n v="35185.279999999999"/>
    <x v="3"/>
    <x v="0"/>
    <s v="Amara Perera"/>
  </r>
  <r>
    <s v="ORD-1268"/>
    <d v="2024-01-08T00:00:00"/>
    <x v="9"/>
    <s v="Kavindi Fernando"/>
    <x v="8"/>
    <x v="7"/>
    <x v="2"/>
    <x v="31"/>
    <n v="1189.28"/>
    <n v="2"/>
    <n v="0"/>
    <n v="2378.56"/>
    <n v="0"/>
    <n v="2378.56"/>
    <x v="2"/>
    <x v="0"/>
    <s v="Ruwan Jayasuriya"/>
  </r>
  <r>
    <s v="ORD-1269"/>
    <d v="2024-01-09T00:00:00"/>
    <x v="9"/>
    <s v="Saman Kumara"/>
    <x v="6"/>
    <x v="5"/>
    <x v="2"/>
    <x v="2"/>
    <n v="2400.13"/>
    <n v="1"/>
    <n v="15"/>
    <n v="2400.13"/>
    <n v="360.01950000000005"/>
    <n v="2040.1105"/>
    <x v="3"/>
    <x v="1"/>
    <s v="Amara Perera"/>
  </r>
  <r>
    <s v="ORD-1270"/>
    <d v="2024-01-10T00:00:00"/>
    <x v="9"/>
    <s v="Sanduni Kumara"/>
    <x v="4"/>
    <x v="0"/>
    <x v="5"/>
    <x v="24"/>
    <n v="3536.34"/>
    <n v="3"/>
    <n v="5"/>
    <n v="10609.02"/>
    <n v="530.45100000000002"/>
    <n v="10078.569"/>
    <x v="2"/>
    <x v="0"/>
    <s v="Dinesh Silva"/>
  </r>
  <r>
    <s v="ORD-1271"/>
    <d v="2024-01-11T00:00:00"/>
    <x v="9"/>
    <s v="Dhanushka Fernando"/>
    <x v="9"/>
    <x v="7"/>
    <x v="0"/>
    <x v="13"/>
    <n v="1174.94"/>
    <n v="5"/>
    <n v="5"/>
    <n v="5874.7000000000007"/>
    <n v="293.73500000000001"/>
    <n v="5580.9650000000011"/>
    <x v="2"/>
    <x v="3"/>
    <s v="Ruwan Jayasuriya"/>
  </r>
  <r>
    <s v="ORD-1272"/>
    <d v="2024-01-12T00:00:00"/>
    <x v="9"/>
    <s v="Kasun Kumara"/>
    <x v="4"/>
    <x v="0"/>
    <x v="1"/>
    <x v="16"/>
    <n v="8403.7199999999993"/>
    <n v="1"/>
    <n v="0"/>
    <n v="8403.7199999999993"/>
    <n v="0"/>
    <n v="8403.7199999999993"/>
    <x v="5"/>
    <x v="2"/>
    <s v="Thilini Bandara"/>
  </r>
  <r>
    <s v="ORD-1273"/>
    <d v="2024-01-13T00:00:00"/>
    <x v="9"/>
    <s v="Anusha Rajapaksa"/>
    <x v="4"/>
    <x v="0"/>
    <x v="4"/>
    <x v="4"/>
    <n v="3333.65"/>
    <n v="4"/>
    <n v="10"/>
    <n v="13334.6"/>
    <n v="1333.46"/>
    <n v="12001.14"/>
    <x v="3"/>
    <x v="3"/>
    <s v="Ruwan Jayasuriya"/>
  </r>
  <r>
    <s v="ORD-1274"/>
    <d v="2024-01-14T00:00:00"/>
    <x v="9"/>
    <s v="Bandara Senanayake"/>
    <x v="1"/>
    <x v="1"/>
    <x v="2"/>
    <x v="31"/>
    <n v="1282.92"/>
    <n v="5"/>
    <n v="0"/>
    <n v="6414.6"/>
    <n v="0"/>
    <n v="6414.6"/>
    <x v="3"/>
    <x v="3"/>
    <s v="Thilini Bandara"/>
  </r>
  <r>
    <s v="ORD-1275"/>
    <d v="2024-01-15T00:00:00"/>
    <x v="9"/>
    <s v="Thilini Fernando"/>
    <x v="8"/>
    <x v="7"/>
    <x v="3"/>
    <x v="5"/>
    <n v="144161.4"/>
    <n v="2"/>
    <n v="5"/>
    <n v="288322.8"/>
    <n v="14416.14"/>
    <n v="273906.65999999997"/>
    <x v="1"/>
    <x v="3"/>
    <s v="Ruwan Jayasuriya"/>
  </r>
  <r>
    <s v="ORD-1276"/>
    <d v="2024-01-16T00:00:00"/>
    <x v="9"/>
    <s v="Nadeesha Fernando"/>
    <x v="2"/>
    <x v="2"/>
    <x v="4"/>
    <x v="23"/>
    <n v="11245.81"/>
    <n v="5"/>
    <n v="5"/>
    <n v="56229.049999999996"/>
    <n v="2811.4524999999999"/>
    <n v="53417.597499999996"/>
    <x v="1"/>
    <x v="3"/>
    <s v="Dinesh Silva"/>
  </r>
  <r>
    <s v="ORD-1277"/>
    <d v="2024-01-17T00:00:00"/>
    <x v="9"/>
    <s v="Malika Fernando"/>
    <x v="9"/>
    <x v="7"/>
    <x v="2"/>
    <x v="8"/>
    <n v="614.33000000000004"/>
    <n v="3"/>
    <n v="5"/>
    <n v="1842.9900000000002"/>
    <n v="92.149500000000003"/>
    <n v="1750.8405000000002"/>
    <x v="2"/>
    <x v="0"/>
    <s v="Dinesh Silva"/>
  </r>
  <r>
    <s v="ORD-1278"/>
    <d v="2024-01-18T00:00:00"/>
    <x v="9"/>
    <s v="Hasini Bandara"/>
    <x v="6"/>
    <x v="5"/>
    <x v="4"/>
    <x v="23"/>
    <n v="11797.51"/>
    <n v="4"/>
    <n v="0"/>
    <n v="47190.04"/>
    <n v="0"/>
    <n v="47190.04"/>
    <x v="1"/>
    <x v="0"/>
    <s v="Thilini Bandara"/>
  </r>
  <r>
    <s v="ORD-1279"/>
    <d v="2024-01-19T00:00:00"/>
    <x v="9"/>
    <s v="Ishara Wickramasinghe"/>
    <x v="0"/>
    <x v="0"/>
    <x v="2"/>
    <x v="27"/>
    <n v="806.02"/>
    <n v="2"/>
    <n v="10"/>
    <n v="1612.04"/>
    <n v="161.20400000000001"/>
    <n v="1450.836"/>
    <x v="0"/>
    <x v="1"/>
    <s v="Ruwan Jayasuriya"/>
  </r>
  <r>
    <s v="ORD-1280"/>
    <d v="2024-01-20T00:00:00"/>
    <x v="9"/>
    <s v="Dinesh Silva"/>
    <x v="2"/>
    <x v="2"/>
    <x v="3"/>
    <x v="36"/>
    <n v="68576.47"/>
    <n v="3"/>
    <n v="10"/>
    <n v="205729.41"/>
    <n v="20572.941000000003"/>
    <n v="185156.46900000001"/>
    <x v="5"/>
    <x v="2"/>
    <s v="Ruwan Jayasuriya"/>
  </r>
  <r>
    <s v="ORD-1281"/>
    <d v="2024-01-21T00:00:00"/>
    <x v="9"/>
    <s v="Chamara Dissanayake"/>
    <x v="1"/>
    <x v="1"/>
    <x v="0"/>
    <x v="25"/>
    <n v="2398.85"/>
    <n v="1"/>
    <n v="5"/>
    <n v="2398.85"/>
    <n v="119.9425"/>
    <n v="2278.9074999999998"/>
    <x v="3"/>
    <x v="0"/>
    <s v="Amara Perera"/>
  </r>
  <r>
    <s v="ORD-1282"/>
    <d v="2024-01-22T00:00:00"/>
    <x v="9"/>
    <s v="Dilini Jayasuriya"/>
    <x v="4"/>
    <x v="0"/>
    <x v="6"/>
    <x v="9"/>
    <n v="363.24"/>
    <n v="5"/>
    <n v="0"/>
    <n v="1816.2"/>
    <n v="0"/>
    <n v="1816.2"/>
    <x v="2"/>
    <x v="0"/>
    <s v="Thilini Bandara"/>
  </r>
  <r>
    <s v="ORD-1283"/>
    <d v="2024-01-23T00:00:00"/>
    <x v="9"/>
    <s v="Chamara Jayasuriya"/>
    <x v="0"/>
    <x v="0"/>
    <x v="5"/>
    <x v="32"/>
    <n v="2516.14"/>
    <n v="5"/>
    <n v="0"/>
    <n v="12580.699999999999"/>
    <n v="0"/>
    <n v="12580.699999999999"/>
    <x v="1"/>
    <x v="0"/>
    <s v="Kavya Fernando"/>
  </r>
  <r>
    <s v="ORD-1284"/>
    <d v="2024-01-24T00:00:00"/>
    <x v="9"/>
    <s v="Rajith Wickramasinghe"/>
    <x v="7"/>
    <x v="6"/>
    <x v="0"/>
    <x v="29"/>
    <n v="741.69"/>
    <n v="4"/>
    <n v="15"/>
    <n v="2966.76"/>
    <n v="445.01400000000001"/>
    <n v="2521.7460000000001"/>
    <x v="3"/>
    <x v="2"/>
    <s v="Dinesh Silva"/>
  </r>
  <r>
    <s v="ORD-1285"/>
    <d v="2024-01-25T00:00:00"/>
    <x v="9"/>
    <s v="Ruwan Jayasuriya"/>
    <x v="9"/>
    <x v="7"/>
    <x v="0"/>
    <x v="0"/>
    <n v="1598.54"/>
    <n v="4"/>
    <n v="15"/>
    <n v="6394.16"/>
    <n v="959.12399999999991"/>
    <n v="5435.0360000000001"/>
    <x v="1"/>
    <x v="3"/>
    <s v="Kavya Fernando"/>
  </r>
  <r>
    <s v="ORD-1286"/>
    <d v="2024-01-26T00:00:00"/>
    <x v="9"/>
    <s v="Kumari Dissanayake"/>
    <x v="6"/>
    <x v="5"/>
    <x v="3"/>
    <x v="19"/>
    <n v="100597.37"/>
    <n v="1"/>
    <n v="15"/>
    <n v="100597.37"/>
    <n v="15089.605499999998"/>
    <n v="85507.76449999999"/>
    <x v="0"/>
    <x v="1"/>
    <s v="Kavya Fernando"/>
  </r>
  <r>
    <s v="ORD-1287"/>
    <d v="2024-01-27T00:00:00"/>
    <x v="9"/>
    <s v="Anusha Gunasekara"/>
    <x v="6"/>
    <x v="5"/>
    <x v="2"/>
    <x v="33"/>
    <n v="810.45"/>
    <n v="1"/>
    <n v="10"/>
    <n v="810.45"/>
    <n v="81.045000000000002"/>
    <n v="729.40500000000009"/>
    <x v="3"/>
    <x v="2"/>
    <s v="Amara Perera"/>
  </r>
  <r>
    <s v="ORD-1288"/>
    <d v="2024-01-28T00:00:00"/>
    <x v="9"/>
    <s v="Bandara Jayasuriya"/>
    <x v="5"/>
    <x v="4"/>
    <x v="6"/>
    <x v="14"/>
    <n v="649.30999999999995"/>
    <n v="3"/>
    <n v="0"/>
    <n v="1947.9299999999998"/>
    <n v="0"/>
    <n v="1947.9299999999998"/>
    <x v="3"/>
    <x v="3"/>
    <s v="Thilini Bandara"/>
  </r>
  <r>
    <s v="ORD-1289"/>
    <d v="2024-01-29T00:00:00"/>
    <x v="9"/>
    <s v="Rajith Gunasekara"/>
    <x v="8"/>
    <x v="7"/>
    <x v="0"/>
    <x v="29"/>
    <n v="727.35"/>
    <n v="4"/>
    <n v="5"/>
    <n v="2909.4"/>
    <n v="145.47"/>
    <n v="2763.9300000000003"/>
    <x v="5"/>
    <x v="2"/>
    <s v="Dinesh Silva"/>
  </r>
  <r>
    <s v="ORD-1290"/>
    <d v="2024-01-30T00:00:00"/>
    <x v="9"/>
    <s v="Saman Perera"/>
    <x v="5"/>
    <x v="0"/>
    <x v="1"/>
    <x v="26"/>
    <n v="1298.26"/>
    <n v="3"/>
    <n v="0"/>
    <n v="3894.7799999999997"/>
    <n v="0"/>
    <n v="3894.7799999999997"/>
    <x v="3"/>
    <x v="0"/>
    <s v="Kavya Fernando"/>
  </r>
  <r>
    <s v="ORD-1291"/>
    <d v="2024-01-31T00:00:00"/>
    <x v="9"/>
    <s v="Kamal Rajapaksa"/>
    <x v="9"/>
    <x v="7"/>
    <x v="3"/>
    <x v="3"/>
    <n v="12301.45"/>
    <n v="2"/>
    <n v="0"/>
    <n v="24602.9"/>
    <n v="0"/>
    <n v="24602.9"/>
    <x v="5"/>
    <x v="1"/>
    <s v="Amara Perera"/>
  </r>
  <r>
    <s v="ORD-1292"/>
    <d v="2024-02-01T00:00:00"/>
    <x v="10"/>
    <s v="Chamara Gunasekara"/>
    <x v="1"/>
    <x v="1"/>
    <x v="1"/>
    <x v="28"/>
    <n v="4726.1899999999996"/>
    <n v="4"/>
    <n v="0"/>
    <n v="18904.759999999998"/>
    <n v="0"/>
    <n v="18904.759999999998"/>
    <x v="5"/>
    <x v="1"/>
    <s v="Kavya Fernando"/>
  </r>
  <r>
    <s v="ORD-1293"/>
    <d v="2024-02-02T00:00:00"/>
    <x v="10"/>
    <s v="Kumari Kumara"/>
    <x v="9"/>
    <x v="7"/>
    <x v="4"/>
    <x v="4"/>
    <n v="3310.26"/>
    <n v="1"/>
    <n v="0"/>
    <n v="3310.26"/>
    <n v="0"/>
    <n v="3310.26"/>
    <x v="5"/>
    <x v="0"/>
    <s v="Kavya Fernando"/>
  </r>
  <r>
    <s v="ORD-1294"/>
    <d v="2024-02-03T00:00:00"/>
    <x v="10"/>
    <s v="Ruwan Dissanayake"/>
    <x v="9"/>
    <x v="7"/>
    <x v="0"/>
    <x v="25"/>
    <n v="2284.21"/>
    <n v="5"/>
    <n v="5"/>
    <n v="11421.05"/>
    <n v="571.05250000000001"/>
    <n v="10849.997499999999"/>
    <x v="0"/>
    <x v="1"/>
    <s v="Dinesh Silva"/>
  </r>
  <r>
    <s v="ORD-1295"/>
    <d v="2024-02-04T00:00:00"/>
    <x v="10"/>
    <s v="Anusha Kumara"/>
    <x v="4"/>
    <x v="0"/>
    <x v="0"/>
    <x v="25"/>
    <n v="2709.95"/>
    <n v="5"/>
    <n v="0"/>
    <n v="13549.75"/>
    <n v="0"/>
    <n v="13549.75"/>
    <x v="2"/>
    <x v="2"/>
    <s v="Dinesh Silva"/>
  </r>
  <r>
    <s v="ORD-1296"/>
    <d v="2024-02-05T00:00:00"/>
    <x v="10"/>
    <s v="Dilini Fernando"/>
    <x v="1"/>
    <x v="1"/>
    <x v="5"/>
    <x v="7"/>
    <n v="4366.38"/>
    <n v="4"/>
    <n v="15"/>
    <n v="17465.52"/>
    <n v="2619.828"/>
    <n v="14845.692000000001"/>
    <x v="1"/>
    <x v="0"/>
    <s v="Kavya Fernando"/>
  </r>
  <r>
    <s v="ORD-1297"/>
    <d v="2024-02-06T00:00:00"/>
    <x v="10"/>
    <s v="Kamal Jayasuriya"/>
    <x v="7"/>
    <x v="6"/>
    <x v="5"/>
    <x v="17"/>
    <n v="9920.24"/>
    <n v="3"/>
    <n v="0"/>
    <n v="29760.720000000001"/>
    <n v="0"/>
    <n v="29760.720000000001"/>
    <x v="5"/>
    <x v="2"/>
    <s v="Kavya Fernando"/>
  </r>
  <r>
    <s v="ORD-1298"/>
    <d v="2024-02-07T00:00:00"/>
    <x v="10"/>
    <s v="Dinesh Senanayake"/>
    <x v="7"/>
    <x v="6"/>
    <x v="1"/>
    <x v="26"/>
    <n v="1174.02"/>
    <n v="1"/>
    <n v="0"/>
    <n v="1174.02"/>
    <n v="0"/>
    <n v="1174.02"/>
    <x v="2"/>
    <x v="0"/>
    <s v="Amara Perera"/>
  </r>
  <r>
    <s v="ORD-1299"/>
    <d v="2024-02-08T00:00:00"/>
    <x v="10"/>
    <s v="Roshani Pathirana"/>
    <x v="2"/>
    <x v="2"/>
    <x v="3"/>
    <x v="18"/>
    <n v="129329.39"/>
    <n v="1"/>
    <n v="10"/>
    <n v="129329.39"/>
    <n v="12932.938999999998"/>
    <n v="116396.451"/>
    <x v="3"/>
    <x v="0"/>
    <s v="Ruwan Jayasuriya"/>
  </r>
  <r>
    <s v="ORD-1300"/>
    <d v="2024-02-09T00:00:00"/>
    <x v="10"/>
    <s v="Kumari Rajapaksa"/>
    <x v="7"/>
    <x v="6"/>
    <x v="0"/>
    <x v="25"/>
    <n v="2631.36"/>
    <n v="1"/>
    <n v="0"/>
    <n v="2631.36"/>
    <n v="0"/>
    <n v="2631.36"/>
    <x v="0"/>
    <x v="0"/>
    <s v="Amara Perera"/>
  </r>
  <r>
    <s v="ORD-1301"/>
    <d v="2024-02-10T00:00:00"/>
    <x v="10"/>
    <s v="Chamara Perera"/>
    <x v="0"/>
    <x v="0"/>
    <x v="6"/>
    <x v="21"/>
    <n v="1802.38"/>
    <n v="5"/>
    <n v="0"/>
    <n v="9011.9000000000015"/>
    <n v="0"/>
    <n v="9011.9000000000015"/>
    <x v="2"/>
    <x v="1"/>
    <s v="Ruwan Jayasuriya"/>
  </r>
  <r>
    <s v="ORD-1302"/>
    <d v="2024-02-11T00:00:00"/>
    <x v="10"/>
    <s v="Dhanushka Bandara"/>
    <x v="7"/>
    <x v="6"/>
    <x v="5"/>
    <x v="24"/>
    <n v="3344.23"/>
    <n v="3"/>
    <n v="10"/>
    <n v="10032.69"/>
    <n v="1003.2690000000001"/>
    <n v="9029.4210000000003"/>
    <x v="0"/>
    <x v="0"/>
    <s v="Dinesh Silva"/>
  </r>
  <r>
    <s v="ORD-1303"/>
    <d v="2024-02-12T00:00:00"/>
    <x v="10"/>
    <s v="Thilak Dissanayake"/>
    <x v="2"/>
    <x v="2"/>
    <x v="0"/>
    <x v="29"/>
    <n v="769.63"/>
    <n v="4"/>
    <n v="5"/>
    <n v="3078.52"/>
    <n v="153.92600000000002"/>
    <n v="2924.5940000000001"/>
    <x v="5"/>
    <x v="0"/>
    <s v="Amara Perera"/>
  </r>
  <r>
    <s v="ORD-1304"/>
    <d v="2024-02-13T00:00:00"/>
    <x v="10"/>
    <s v="Dilini Gunasekara"/>
    <x v="2"/>
    <x v="2"/>
    <x v="5"/>
    <x v="30"/>
    <n v="8175.79"/>
    <n v="2"/>
    <n v="15"/>
    <n v="16351.58"/>
    <n v="2452.7370000000001"/>
    <n v="13898.843000000001"/>
    <x v="5"/>
    <x v="1"/>
    <s v="Dinesh Silva"/>
  </r>
  <r>
    <s v="ORD-1305"/>
    <d v="2024-02-14T00:00:00"/>
    <x v="10"/>
    <s v="Kasun Fernando"/>
    <x v="6"/>
    <x v="5"/>
    <x v="2"/>
    <x v="33"/>
    <n v="903.1"/>
    <n v="3"/>
    <n v="15"/>
    <n v="2709.3"/>
    <n v="406.39499999999998"/>
    <n v="2302.9050000000002"/>
    <x v="3"/>
    <x v="0"/>
    <s v="Kavya Fernando"/>
  </r>
  <r>
    <s v="ORD-1306"/>
    <d v="2024-02-15T00:00:00"/>
    <x v="10"/>
    <s v="Dilini Perera"/>
    <x v="8"/>
    <x v="7"/>
    <x v="6"/>
    <x v="21"/>
    <n v="1717.91"/>
    <n v="1"/>
    <n v="5"/>
    <n v="1717.91"/>
    <n v="85.895500000000013"/>
    <n v="1632.0145"/>
    <x v="0"/>
    <x v="1"/>
    <s v="Amara Perera"/>
  </r>
  <r>
    <s v="ORD-1307"/>
    <d v="2024-02-16T00:00:00"/>
    <x v="10"/>
    <s v="Saman Bandara"/>
    <x v="8"/>
    <x v="7"/>
    <x v="3"/>
    <x v="3"/>
    <n v="12862.46"/>
    <n v="2"/>
    <n v="10"/>
    <n v="25724.92"/>
    <n v="2572.4919999999997"/>
    <n v="23152.428"/>
    <x v="1"/>
    <x v="0"/>
    <s v="Amara Perera"/>
  </r>
  <r>
    <s v="ORD-1308"/>
    <d v="2024-02-17T00:00:00"/>
    <x v="10"/>
    <s v="Thilini Kumara"/>
    <x v="1"/>
    <x v="1"/>
    <x v="1"/>
    <x v="26"/>
    <n v="1202.1199999999999"/>
    <n v="1"/>
    <n v="0"/>
    <n v="1202.1199999999999"/>
    <n v="0"/>
    <n v="1202.1199999999999"/>
    <x v="1"/>
    <x v="0"/>
    <s v="Ruwan Jayasuriya"/>
  </r>
  <r>
    <s v="ORD-1309"/>
    <d v="2024-02-18T00:00:00"/>
    <x v="10"/>
    <s v="Bandara Fernando"/>
    <x v="9"/>
    <x v="7"/>
    <x v="6"/>
    <x v="11"/>
    <n v="1515.86"/>
    <n v="4"/>
    <n v="15"/>
    <n v="6063.44"/>
    <n v="909.51599999999996"/>
    <n v="5153.924"/>
    <x v="3"/>
    <x v="0"/>
    <s v="Ruwan Jayasuriya"/>
  </r>
  <r>
    <s v="ORD-1310"/>
    <d v="2024-02-19T00:00:00"/>
    <x v="10"/>
    <s v="Thilak Wickramasinghe"/>
    <x v="1"/>
    <x v="1"/>
    <x v="5"/>
    <x v="32"/>
    <n v="2309.6999999999998"/>
    <n v="1"/>
    <n v="0"/>
    <n v="2309.6999999999998"/>
    <n v="0"/>
    <n v="2309.6999999999998"/>
    <x v="1"/>
    <x v="2"/>
    <s v="Thilini Bandara"/>
  </r>
  <r>
    <s v="ORD-1311"/>
    <d v="2024-02-20T00:00:00"/>
    <x v="10"/>
    <s v="Bandara Silva"/>
    <x v="6"/>
    <x v="5"/>
    <x v="6"/>
    <x v="22"/>
    <n v="2320.35"/>
    <n v="3"/>
    <n v="0"/>
    <n v="6961.0499999999993"/>
    <n v="0"/>
    <n v="6961.0499999999993"/>
    <x v="5"/>
    <x v="3"/>
    <s v="Ruwan Jayasuriya"/>
  </r>
  <r>
    <s v="ORD-1312"/>
    <d v="2024-02-21T00:00:00"/>
    <x v="10"/>
    <s v="Anusha Jayasuriya"/>
    <x v="3"/>
    <x v="3"/>
    <x v="5"/>
    <x v="32"/>
    <n v="2619.79"/>
    <n v="2"/>
    <n v="0"/>
    <n v="5239.58"/>
    <n v="0"/>
    <n v="5239.58"/>
    <x v="3"/>
    <x v="3"/>
    <s v="Ruwan Jayasuriya"/>
  </r>
  <r>
    <s v="ORD-1313"/>
    <d v="2024-02-22T00:00:00"/>
    <x v="10"/>
    <s v="Kavindi Bandara"/>
    <x v="4"/>
    <x v="0"/>
    <x v="1"/>
    <x v="34"/>
    <n v="1629.72"/>
    <n v="1"/>
    <n v="0"/>
    <n v="1629.72"/>
    <n v="0"/>
    <n v="1629.72"/>
    <x v="0"/>
    <x v="0"/>
    <s v="Amara Perera"/>
  </r>
  <r>
    <s v="ORD-1314"/>
    <d v="2024-02-23T00:00:00"/>
    <x v="10"/>
    <s v="Kasun Pathirana"/>
    <x v="5"/>
    <x v="4"/>
    <x v="6"/>
    <x v="22"/>
    <n v="2025.74"/>
    <n v="5"/>
    <n v="0"/>
    <n v="10128.700000000001"/>
    <n v="0"/>
    <n v="10128.700000000001"/>
    <x v="2"/>
    <x v="0"/>
    <s v="Amara Perera"/>
  </r>
  <r>
    <s v="ORD-1315"/>
    <d v="2024-02-24T00:00:00"/>
    <x v="10"/>
    <s v="Asela Wickramasinghe"/>
    <x v="1"/>
    <x v="1"/>
    <x v="3"/>
    <x v="5"/>
    <n v="161918.62"/>
    <n v="5"/>
    <n v="10"/>
    <n v="809593.1"/>
    <n v="80959.31"/>
    <n v="728633.79"/>
    <x v="3"/>
    <x v="0"/>
    <s v="Amara Perera"/>
  </r>
  <r>
    <s v="ORD-1316"/>
    <d v="2024-02-25T00:00:00"/>
    <x v="10"/>
    <s v="Dilini Bandara"/>
    <x v="9"/>
    <x v="7"/>
    <x v="0"/>
    <x v="13"/>
    <n v="1097.96"/>
    <n v="5"/>
    <n v="0"/>
    <n v="5489.8"/>
    <n v="0"/>
    <n v="5489.8"/>
    <x v="2"/>
    <x v="1"/>
    <s v="Dinesh Silva"/>
  </r>
  <r>
    <s v="ORD-1317"/>
    <d v="2024-02-26T00:00:00"/>
    <x v="10"/>
    <s v="Malika Wickramasinghe"/>
    <x v="8"/>
    <x v="7"/>
    <x v="6"/>
    <x v="21"/>
    <n v="1872.26"/>
    <n v="3"/>
    <n v="0"/>
    <n v="5616.78"/>
    <n v="0"/>
    <n v="5616.78"/>
    <x v="2"/>
    <x v="0"/>
    <s v="Dinesh Silva"/>
  </r>
  <r>
    <s v="ORD-1318"/>
    <d v="2024-02-27T00:00:00"/>
    <x v="10"/>
    <s v="Chamara Fernando"/>
    <x v="2"/>
    <x v="2"/>
    <x v="3"/>
    <x v="5"/>
    <n v="138169.73000000001"/>
    <n v="4"/>
    <n v="10"/>
    <n v="552678.92000000004"/>
    <n v="55267.892"/>
    <n v="497411.02800000005"/>
    <x v="3"/>
    <x v="0"/>
    <s v="Amara Perera"/>
  </r>
  <r>
    <s v="ORD-1319"/>
    <d v="2024-02-28T00:00:00"/>
    <x v="10"/>
    <s v="Anusha Jayasuriya"/>
    <x v="6"/>
    <x v="5"/>
    <x v="2"/>
    <x v="8"/>
    <n v="571.79999999999995"/>
    <n v="1"/>
    <n v="15"/>
    <n v="571.79999999999995"/>
    <n v="85.77"/>
    <n v="486.03"/>
    <x v="1"/>
    <x v="2"/>
    <s v="Kavya Fernando"/>
  </r>
  <r>
    <s v="ORD-1320"/>
    <d v="2024-02-29T00:00:00"/>
    <x v="10"/>
    <s v="Asela Senanayake"/>
    <x v="0"/>
    <x v="0"/>
    <x v="1"/>
    <x v="16"/>
    <n v="7437.32"/>
    <n v="2"/>
    <n v="15"/>
    <n v="14874.64"/>
    <n v="2231.1959999999999"/>
    <n v="12643.444"/>
    <x v="2"/>
    <x v="3"/>
    <s v="Amara Perera"/>
  </r>
  <r>
    <s v="ORD-1321"/>
    <d v="2024-03-01T00:00:00"/>
    <x v="11"/>
    <s v="Malika Wickramasinghe"/>
    <x v="9"/>
    <x v="7"/>
    <x v="3"/>
    <x v="3"/>
    <n v="12851.04"/>
    <n v="5"/>
    <n v="0"/>
    <n v="64255.200000000004"/>
    <n v="0"/>
    <n v="64255.200000000004"/>
    <x v="1"/>
    <x v="0"/>
    <s v="Ruwan Jayasuriya"/>
  </r>
  <r>
    <s v="ORD-1322"/>
    <d v="2024-03-02T00:00:00"/>
    <x v="11"/>
    <s v="Ruwan Silva"/>
    <x v="0"/>
    <x v="0"/>
    <x v="3"/>
    <x v="5"/>
    <n v="138921.46"/>
    <n v="4"/>
    <n v="0"/>
    <n v="555685.84"/>
    <n v="0"/>
    <n v="555685.84"/>
    <x v="5"/>
    <x v="3"/>
    <s v="Thilini Bandara"/>
  </r>
  <r>
    <s v="ORD-1323"/>
    <d v="2024-03-03T00:00:00"/>
    <x v="11"/>
    <s v="Kamal Perera"/>
    <x v="1"/>
    <x v="1"/>
    <x v="1"/>
    <x v="26"/>
    <n v="1186.42"/>
    <n v="2"/>
    <n v="5"/>
    <n v="2372.84"/>
    <n v="118.64200000000001"/>
    <n v="2254.1980000000003"/>
    <x v="3"/>
    <x v="0"/>
    <s v="Amara Perera"/>
  </r>
  <r>
    <s v="ORD-1324"/>
    <d v="2024-03-04T00:00:00"/>
    <x v="11"/>
    <s v="Nimali Fernando"/>
    <x v="2"/>
    <x v="2"/>
    <x v="4"/>
    <x v="23"/>
    <n v="11990.7"/>
    <n v="4"/>
    <n v="0"/>
    <n v="47962.8"/>
    <n v="0"/>
    <n v="47962.8"/>
    <x v="2"/>
    <x v="0"/>
    <s v="Kavya Fernando"/>
  </r>
  <r>
    <s v="ORD-1325"/>
    <d v="2024-03-05T00:00:00"/>
    <x v="11"/>
    <s v="Sanduni Wickramasinghe"/>
    <x v="3"/>
    <x v="3"/>
    <x v="4"/>
    <x v="20"/>
    <n v="4988.1099999999997"/>
    <n v="5"/>
    <n v="5"/>
    <n v="24940.55"/>
    <n v="1247.0274999999999"/>
    <n v="23693.522499999999"/>
    <x v="1"/>
    <x v="1"/>
    <s v="Kavya Fernando"/>
  </r>
  <r>
    <s v="ORD-1326"/>
    <d v="2024-03-06T00:00:00"/>
    <x v="11"/>
    <s v="Kumari Bandara"/>
    <x v="6"/>
    <x v="5"/>
    <x v="3"/>
    <x v="10"/>
    <n v="81256.19"/>
    <n v="2"/>
    <n v="0"/>
    <n v="162512.38"/>
    <n v="0"/>
    <n v="162512.38"/>
    <x v="1"/>
    <x v="1"/>
    <s v="Thilini Bandara"/>
  </r>
  <r>
    <s v="ORD-1327"/>
    <d v="2024-03-07T00:00:00"/>
    <x v="11"/>
    <s v="Dhanushka Bandara"/>
    <x v="0"/>
    <x v="0"/>
    <x v="4"/>
    <x v="15"/>
    <n v="2788.62"/>
    <n v="4"/>
    <n v="5"/>
    <n v="11154.48"/>
    <n v="557.72399999999993"/>
    <n v="10596.755999999999"/>
    <x v="0"/>
    <x v="3"/>
    <s v="Kavya Fernando"/>
  </r>
  <r>
    <s v="ORD-1328"/>
    <d v="2024-03-08T00:00:00"/>
    <x v="11"/>
    <s v="Pradeep Fernando"/>
    <x v="0"/>
    <x v="0"/>
    <x v="2"/>
    <x v="33"/>
    <n v="849.42"/>
    <n v="3"/>
    <n v="10"/>
    <n v="2548.2599999999998"/>
    <n v="254.82599999999999"/>
    <n v="2293.4339999999997"/>
    <x v="2"/>
    <x v="3"/>
    <s v="Kavya Fernando"/>
  </r>
  <r>
    <s v="ORD-1329"/>
    <d v="2024-03-09T00:00:00"/>
    <x v="11"/>
    <s v="Ishara Fernando"/>
    <x v="1"/>
    <x v="1"/>
    <x v="1"/>
    <x v="26"/>
    <n v="1137.8800000000001"/>
    <n v="5"/>
    <n v="0"/>
    <n v="5689.4000000000005"/>
    <n v="0"/>
    <n v="5689.4000000000005"/>
    <x v="1"/>
    <x v="3"/>
    <s v="Ruwan Jayasuriya"/>
  </r>
  <r>
    <s v="ORD-1330"/>
    <d v="2024-03-10T00:00:00"/>
    <x v="11"/>
    <s v="Sanduni Fernando"/>
    <x v="4"/>
    <x v="0"/>
    <x v="5"/>
    <x v="32"/>
    <n v="2653.11"/>
    <n v="3"/>
    <n v="10"/>
    <n v="7959.33"/>
    <n v="795.93299999999999"/>
    <n v="7163.3969999999999"/>
    <x v="5"/>
    <x v="1"/>
    <s v="Kavya Fernando"/>
  </r>
  <r>
    <s v="ORD-1331"/>
    <d v="2024-03-11T00:00:00"/>
    <x v="11"/>
    <s v="Rajith Fernando"/>
    <x v="2"/>
    <x v="2"/>
    <x v="1"/>
    <x v="35"/>
    <n v="2521.06"/>
    <n v="2"/>
    <n v="0"/>
    <n v="5042.12"/>
    <n v="0"/>
    <n v="5042.12"/>
    <x v="5"/>
    <x v="0"/>
    <s v="Amara Perera"/>
  </r>
  <r>
    <s v="ORD-1332"/>
    <d v="2024-03-12T00:00:00"/>
    <x v="11"/>
    <s v="Nadeesha Jayasuriya"/>
    <x v="0"/>
    <x v="0"/>
    <x v="5"/>
    <x v="7"/>
    <n v="4050.62"/>
    <n v="5"/>
    <n v="0"/>
    <n v="20253.099999999999"/>
    <n v="0"/>
    <n v="20253.099999999999"/>
    <x v="1"/>
    <x v="0"/>
    <s v="Dinesh Silva"/>
  </r>
  <r>
    <s v="ORD-1333"/>
    <d v="2024-03-13T00:00:00"/>
    <x v="11"/>
    <s v="Nimali Perera"/>
    <x v="9"/>
    <x v="7"/>
    <x v="5"/>
    <x v="24"/>
    <n v="3692.06"/>
    <n v="5"/>
    <n v="10"/>
    <n v="18460.3"/>
    <n v="1846.03"/>
    <n v="16614.27"/>
    <x v="5"/>
    <x v="0"/>
    <s v="Ruwan Jayasuriya"/>
  </r>
  <r>
    <s v="ORD-1334"/>
    <d v="2024-03-14T00:00:00"/>
    <x v="11"/>
    <s v="Dilini Rajapaksa"/>
    <x v="3"/>
    <x v="3"/>
    <x v="2"/>
    <x v="27"/>
    <n v="876.14"/>
    <n v="4"/>
    <n v="0"/>
    <n v="3504.56"/>
    <n v="0"/>
    <n v="3504.56"/>
    <x v="2"/>
    <x v="1"/>
    <s v="Kavya Fernando"/>
  </r>
  <r>
    <s v="ORD-1335"/>
    <d v="2024-03-15T00:00:00"/>
    <x v="11"/>
    <s v="Asela Bandara"/>
    <x v="2"/>
    <x v="2"/>
    <x v="6"/>
    <x v="22"/>
    <n v="2078.2199999999998"/>
    <n v="5"/>
    <n v="0"/>
    <n v="10391.099999999999"/>
    <n v="0"/>
    <n v="10391.099999999999"/>
    <x v="2"/>
    <x v="0"/>
    <s v="Kavya Fernando"/>
  </r>
  <r>
    <s v="ORD-1336"/>
    <d v="2024-03-16T00:00:00"/>
    <x v="11"/>
    <s v="Sanduni Kumara"/>
    <x v="0"/>
    <x v="0"/>
    <x v="0"/>
    <x v="6"/>
    <n v="1760.98"/>
    <n v="5"/>
    <n v="10"/>
    <n v="8804.9"/>
    <n v="880.49"/>
    <n v="7924.41"/>
    <x v="1"/>
    <x v="3"/>
    <s v="Kavya Fernando"/>
  </r>
  <r>
    <s v="ORD-1337"/>
    <d v="2024-03-17T00:00:00"/>
    <x v="11"/>
    <s v="Ishara Pathirana"/>
    <x v="2"/>
    <x v="2"/>
    <x v="3"/>
    <x v="3"/>
    <n v="11137.54"/>
    <n v="1"/>
    <n v="15"/>
    <n v="11137.54"/>
    <n v="1670.6310000000001"/>
    <n v="9466.9090000000015"/>
    <x v="3"/>
    <x v="0"/>
    <s v="Dinesh Silva"/>
  </r>
  <r>
    <s v="ORD-1338"/>
    <d v="2024-03-18T00:00:00"/>
    <x v="11"/>
    <s v="Kamal Kumara"/>
    <x v="8"/>
    <x v="7"/>
    <x v="4"/>
    <x v="4"/>
    <n v="3335.65"/>
    <n v="2"/>
    <n v="0"/>
    <n v="6671.3"/>
    <n v="0"/>
    <n v="6671.3"/>
    <x v="5"/>
    <x v="0"/>
    <s v="Kavya Fernando"/>
  </r>
  <r>
    <s v="ORD-1339"/>
    <d v="2024-03-19T00:00:00"/>
    <x v="11"/>
    <s v="Kavindi Perera"/>
    <x v="0"/>
    <x v="0"/>
    <x v="4"/>
    <x v="23"/>
    <n v="12558.2"/>
    <n v="2"/>
    <n v="10"/>
    <n v="25116.400000000001"/>
    <n v="2511.64"/>
    <n v="22604.760000000002"/>
    <x v="2"/>
    <x v="0"/>
    <s v="Kavya Fernando"/>
  </r>
  <r>
    <s v="ORD-1340"/>
    <d v="2024-03-20T00:00:00"/>
    <x v="11"/>
    <s v="Bandara Silva"/>
    <x v="6"/>
    <x v="5"/>
    <x v="6"/>
    <x v="9"/>
    <n v="360.57"/>
    <n v="2"/>
    <n v="0"/>
    <n v="721.14"/>
    <n v="0"/>
    <n v="721.14"/>
    <x v="2"/>
    <x v="0"/>
    <s v="Amara Perera"/>
  </r>
  <r>
    <s v="ORD-1341"/>
    <d v="2024-03-21T00:00:00"/>
    <x v="11"/>
    <s v="Kasun Rajapaksa"/>
    <x v="3"/>
    <x v="3"/>
    <x v="3"/>
    <x v="10"/>
    <n v="82310.740000000005"/>
    <n v="4"/>
    <n v="0"/>
    <n v="329242.96000000002"/>
    <n v="0"/>
    <n v="329242.96000000002"/>
    <x v="5"/>
    <x v="3"/>
    <s v="Amara Perera"/>
  </r>
  <r>
    <s v="ORD-1342"/>
    <d v="2024-03-22T00:00:00"/>
    <x v="11"/>
    <s v="Nadeesha Senanayake"/>
    <x v="6"/>
    <x v="5"/>
    <x v="0"/>
    <x v="29"/>
    <n v="789.01"/>
    <n v="2"/>
    <n v="0"/>
    <n v="1578.02"/>
    <n v="0"/>
    <n v="1578.02"/>
    <x v="2"/>
    <x v="0"/>
    <s v="Amara Perera"/>
  </r>
  <r>
    <s v="ORD-1343"/>
    <d v="2024-03-23T00:00:00"/>
    <x v="11"/>
    <s v="Thilak Jayasuriya"/>
    <x v="4"/>
    <x v="0"/>
    <x v="4"/>
    <x v="12"/>
    <n v="4699.83"/>
    <n v="5"/>
    <n v="0"/>
    <n v="23499.15"/>
    <n v="0"/>
    <n v="23499.15"/>
    <x v="3"/>
    <x v="0"/>
    <s v="Dinesh Silva"/>
  </r>
  <r>
    <s v="ORD-1344"/>
    <d v="2024-03-24T00:00:00"/>
    <x v="11"/>
    <s v="Nimali Dissanayake"/>
    <x v="2"/>
    <x v="2"/>
    <x v="5"/>
    <x v="7"/>
    <n v="4188.2299999999996"/>
    <n v="3"/>
    <n v="15"/>
    <n v="12564.689999999999"/>
    <n v="1884.7034999999998"/>
    <n v="10679.986499999999"/>
    <x v="2"/>
    <x v="0"/>
    <s v="Kavya Fernando"/>
  </r>
  <r>
    <s v="ORD-1345"/>
    <d v="2024-03-25T00:00:00"/>
    <x v="11"/>
    <s v="Dhanushka Senanayake"/>
    <x v="6"/>
    <x v="5"/>
    <x v="1"/>
    <x v="34"/>
    <n v="1357.72"/>
    <n v="2"/>
    <n v="0"/>
    <n v="2715.44"/>
    <n v="0"/>
    <n v="2715.44"/>
    <x v="3"/>
    <x v="0"/>
    <s v="Ruwan Jayasuriya"/>
  </r>
  <r>
    <s v="ORD-1346"/>
    <d v="2024-03-26T00:00:00"/>
    <x v="11"/>
    <s v="Malika Dissanayake"/>
    <x v="6"/>
    <x v="5"/>
    <x v="4"/>
    <x v="15"/>
    <n v="2571.04"/>
    <n v="5"/>
    <n v="0"/>
    <n v="12855.2"/>
    <n v="0"/>
    <n v="12855.2"/>
    <x v="1"/>
    <x v="0"/>
    <s v="Ruwan Jayasuriya"/>
  </r>
  <r>
    <s v="ORD-1347"/>
    <d v="2024-03-27T00:00:00"/>
    <x v="11"/>
    <s v="Sanduni Gunasekara"/>
    <x v="0"/>
    <x v="0"/>
    <x v="2"/>
    <x v="8"/>
    <n v="595.80999999999995"/>
    <n v="2"/>
    <n v="15"/>
    <n v="1191.6199999999999"/>
    <n v="178.74299999999999"/>
    <n v="1012.877"/>
    <x v="0"/>
    <x v="0"/>
    <s v="Dinesh Silva"/>
  </r>
  <r>
    <s v="ORD-1348"/>
    <d v="2024-03-28T00:00:00"/>
    <x v="11"/>
    <s v="Thilini Silva"/>
    <x v="1"/>
    <x v="1"/>
    <x v="0"/>
    <x v="0"/>
    <n v="1592.45"/>
    <n v="4"/>
    <n v="5"/>
    <n v="6369.8"/>
    <n v="318.49"/>
    <n v="6051.31"/>
    <x v="1"/>
    <x v="3"/>
    <s v="Amara Perera"/>
  </r>
  <r>
    <s v="ORD-1349"/>
    <d v="2024-03-29T00:00:00"/>
    <x v="11"/>
    <s v="Dinesh Dissanayake"/>
    <x v="7"/>
    <x v="6"/>
    <x v="0"/>
    <x v="13"/>
    <n v="1217.45"/>
    <n v="2"/>
    <n v="15"/>
    <n v="2434.9"/>
    <n v="365.23500000000001"/>
    <n v="2069.665"/>
    <x v="3"/>
    <x v="0"/>
    <s v="Ruwan Jayasuriya"/>
  </r>
  <r>
    <s v="ORD-1350"/>
    <d v="2024-03-30T00:00:00"/>
    <x v="11"/>
    <s v="Nimali Bandara"/>
    <x v="2"/>
    <x v="2"/>
    <x v="5"/>
    <x v="17"/>
    <n v="9837.32"/>
    <n v="5"/>
    <n v="0"/>
    <n v="49186.6"/>
    <n v="0"/>
    <n v="49186.6"/>
    <x v="5"/>
    <x v="2"/>
    <s v="Ruwan Jayasuriya"/>
  </r>
  <r>
    <s v="ORD-1351"/>
    <d v="2024-03-31T00:00:00"/>
    <x v="11"/>
    <s v="Sanduni Jayasuriya"/>
    <x v="4"/>
    <x v="0"/>
    <x v="1"/>
    <x v="34"/>
    <n v="1477.01"/>
    <n v="4"/>
    <n v="0"/>
    <n v="5908.04"/>
    <n v="0"/>
    <n v="5908.04"/>
    <x v="1"/>
    <x v="2"/>
    <s v="Thilini Bandara"/>
  </r>
  <r>
    <s v="ORD-1352"/>
    <d v="2024-04-01T00:00:00"/>
    <x v="0"/>
    <s v="Thilak Kumara"/>
    <x v="1"/>
    <x v="1"/>
    <x v="3"/>
    <x v="3"/>
    <n v="12135.27"/>
    <n v="5"/>
    <n v="0"/>
    <n v="60676.350000000006"/>
    <n v="0"/>
    <n v="60676.350000000006"/>
    <x v="3"/>
    <x v="3"/>
    <s v="Ruwan Jayasuriya"/>
  </r>
  <r>
    <s v="ORD-1353"/>
    <d v="2024-04-02T00:00:00"/>
    <x v="0"/>
    <s v="Asela Senanayake"/>
    <x v="2"/>
    <x v="2"/>
    <x v="5"/>
    <x v="7"/>
    <n v="4151.2700000000004"/>
    <n v="2"/>
    <n v="0"/>
    <n v="8302.5400000000009"/>
    <n v="0"/>
    <n v="8302.5400000000009"/>
    <x v="0"/>
    <x v="3"/>
    <s v="Thilini Bandara"/>
  </r>
  <r>
    <s v="ORD-1354"/>
    <d v="2024-04-03T00:00:00"/>
    <x v="0"/>
    <s v="Dilini Senanayake"/>
    <x v="1"/>
    <x v="1"/>
    <x v="6"/>
    <x v="22"/>
    <n v="2361.69"/>
    <n v="3"/>
    <n v="10"/>
    <n v="7085.07"/>
    <n v="708.50699999999995"/>
    <n v="6376.5630000000001"/>
    <x v="3"/>
    <x v="0"/>
    <s v="Ruwan Jayasuriya"/>
  </r>
  <r>
    <s v="ORD-1355"/>
    <d v="2024-04-04T00:00:00"/>
    <x v="0"/>
    <s v="Nadeesha Gunasekara"/>
    <x v="0"/>
    <x v="0"/>
    <x v="1"/>
    <x v="16"/>
    <n v="7844.76"/>
    <n v="5"/>
    <n v="0"/>
    <n v="39223.800000000003"/>
    <n v="0"/>
    <n v="39223.800000000003"/>
    <x v="2"/>
    <x v="0"/>
    <s v="Ruwan Jayasuriya"/>
  </r>
  <r>
    <s v="ORD-1356"/>
    <d v="2024-04-05T00:00:00"/>
    <x v="0"/>
    <s v="Asela Jayasuriya"/>
    <x v="0"/>
    <x v="0"/>
    <x v="0"/>
    <x v="13"/>
    <n v="1301"/>
    <n v="3"/>
    <n v="0"/>
    <n v="3903"/>
    <n v="0"/>
    <n v="3903"/>
    <x v="3"/>
    <x v="2"/>
    <s v="Kavya Fernando"/>
  </r>
  <r>
    <s v="ORD-1357"/>
    <d v="2024-04-06T00:00:00"/>
    <x v="0"/>
    <s v="Pradeep Gunasekara"/>
    <x v="1"/>
    <x v="1"/>
    <x v="6"/>
    <x v="14"/>
    <n v="602.47"/>
    <n v="4"/>
    <n v="10"/>
    <n v="2409.88"/>
    <n v="240.98800000000003"/>
    <n v="2168.8920000000003"/>
    <x v="3"/>
    <x v="1"/>
    <s v="Ruwan Jayasuriya"/>
  </r>
  <r>
    <s v="ORD-1358"/>
    <d v="2024-04-07T00:00:00"/>
    <x v="0"/>
    <s v="Dhanushka Silva"/>
    <x v="4"/>
    <x v="0"/>
    <x v="4"/>
    <x v="20"/>
    <n v="5954.78"/>
    <n v="4"/>
    <n v="0"/>
    <n v="23819.119999999999"/>
    <n v="0"/>
    <n v="23819.119999999999"/>
    <x v="0"/>
    <x v="2"/>
    <s v="Kavya Fernando"/>
  </r>
  <r>
    <s v="ORD-1359"/>
    <d v="2024-04-08T00:00:00"/>
    <x v="0"/>
    <s v="Dinesh Fernando"/>
    <x v="1"/>
    <x v="1"/>
    <x v="2"/>
    <x v="33"/>
    <n v="882.61"/>
    <n v="5"/>
    <n v="0"/>
    <n v="4413.05"/>
    <n v="0"/>
    <n v="4413.05"/>
    <x v="5"/>
    <x v="0"/>
    <s v="Dinesh Silva"/>
  </r>
  <r>
    <s v="ORD-1360"/>
    <d v="2024-04-09T00:00:00"/>
    <x v="0"/>
    <s v="Nimali Jayasuriya"/>
    <x v="0"/>
    <x v="0"/>
    <x v="4"/>
    <x v="4"/>
    <n v="3792.62"/>
    <n v="2"/>
    <n v="10"/>
    <n v="7585.24"/>
    <n v="758.52399999999989"/>
    <n v="6826.7160000000003"/>
    <x v="3"/>
    <x v="2"/>
    <s v="Ruwan Jayasuriya"/>
  </r>
  <r>
    <s v="ORD-1361"/>
    <d v="2024-04-10T00:00:00"/>
    <x v="0"/>
    <s v="Bandara Pathirana"/>
    <x v="1"/>
    <x v="1"/>
    <x v="0"/>
    <x v="29"/>
    <n v="758.71"/>
    <n v="4"/>
    <n v="10"/>
    <n v="3034.84"/>
    <n v="303.48400000000004"/>
    <n v="2731.3560000000002"/>
    <x v="2"/>
    <x v="0"/>
    <s v="Ruwan Jayasuriya"/>
  </r>
  <r>
    <s v="ORD-1362"/>
    <d v="2024-04-11T00:00:00"/>
    <x v="0"/>
    <s v="Hasini Rajapaksa"/>
    <x v="8"/>
    <x v="7"/>
    <x v="1"/>
    <x v="16"/>
    <n v="8398.34"/>
    <n v="1"/>
    <n v="0"/>
    <n v="8398.34"/>
    <n v="0"/>
    <n v="8398.34"/>
    <x v="5"/>
    <x v="0"/>
    <s v="Amara Perera"/>
  </r>
  <r>
    <s v="ORD-1363"/>
    <d v="2024-04-12T00:00:00"/>
    <x v="0"/>
    <s v="Rajith Jayasuriya"/>
    <x v="4"/>
    <x v="0"/>
    <x v="0"/>
    <x v="25"/>
    <n v="2588.85"/>
    <n v="3"/>
    <n v="15"/>
    <n v="7766.5499999999993"/>
    <n v="1164.9824999999998"/>
    <n v="6601.5674999999992"/>
    <x v="2"/>
    <x v="3"/>
    <s v="Amara Perera"/>
  </r>
  <r>
    <s v="ORD-1364"/>
    <d v="2024-04-13T00:00:00"/>
    <x v="0"/>
    <s v="Kasun Gunasekara"/>
    <x v="9"/>
    <x v="7"/>
    <x v="0"/>
    <x v="25"/>
    <n v="2550.5700000000002"/>
    <n v="1"/>
    <n v="15"/>
    <n v="2550.5700000000002"/>
    <n v="382.58550000000002"/>
    <n v="2167.9845"/>
    <x v="3"/>
    <x v="3"/>
    <s v="Kavya Fernando"/>
  </r>
  <r>
    <s v="ORD-1365"/>
    <d v="2024-04-14T00:00:00"/>
    <x v="0"/>
    <s v="Asela Pathirana"/>
    <x v="3"/>
    <x v="3"/>
    <x v="4"/>
    <x v="23"/>
    <n v="12843.81"/>
    <n v="4"/>
    <n v="15"/>
    <n v="51375.24"/>
    <n v="7706.2860000000001"/>
    <n v="43668.953999999998"/>
    <x v="1"/>
    <x v="0"/>
    <s v="Kavya Fernando"/>
  </r>
  <r>
    <s v="ORD-1366"/>
    <d v="2024-04-15T00:00:00"/>
    <x v="0"/>
    <s v="Dinesh Senanayake"/>
    <x v="5"/>
    <x v="4"/>
    <x v="5"/>
    <x v="30"/>
    <n v="7662.49"/>
    <n v="3"/>
    <n v="0"/>
    <n v="22987.47"/>
    <n v="0"/>
    <n v="22987.47"/>
    <x v="0"/>
    <x v="3"/>
    <s v="Kavya Fernando"/>
  </r>
  <r>
    <s v="ORD-1367"/>
    <d v="2024-04-16T00:00:00"/>
    <x v="0"/>
    <s v="Thilini Silva"/>
    <x v="6"/>
    <x v="5"/>
    <x v="3"/>
    <x v="36"/>
    <n v="71348.69"/>
    <n v="3"/>
    <n v="0"/>
    <n v="214046.07"/>
    <n v="0"/>
    <n v="214046.07"/>
    <x v="3"/>
    <x v="1"/>
    <s v="Kavya Fernando"/>
  </r>
  <r>
    <s v="ORD-1368"/>
    <d v="2024-04-17T00:00:00"/>
    <x v="0"/>
    <s v="Ruwan Bandara"/>
    <x v="4"/>
    <x v="0"/>
    <x v="3"/>
    <x v="18"/>
    <n v="117698.36"/>
    <n v="3"/>
    <n v="15"/>
    <n v="353095.08"/>
    <n v="52964.262000000002"/>
    <n v="300130.81800000003"/>
    <x v="1"/>
    <x v="1"/>
    <s v="Amara Perera"/>
  </r>
  <r>
    <s v="ORD-1369"/>
    <d v="2024-04-18T00:00:00"/>
    <x v="0"/>
    <s v="Roshani Wickramasinghe"/>
    <x v="3"/>
    <x v="3"/>
    <x v="4"/>
    <x v="23"/>
    <n v="11731.86"/>
    <n v="1"/>
    <n v="0"/>
    <n v="11731.86"/>
    <n v="0"/>
    <n v="11731.86"/>
    <x v="0"/>
    <x v="2"/>
    <s v="Dinesh Silva"/>
  </r>
  <r>
    <s v="ORD-1370"/>
    <d v="2024-04-19T00:00:00"/>
    <x v="0"/>
    <s v="Kavindi Kumara"/>
    <x v="4"/>
    <x v="0"/>
    <x v="0"/>
    <x v="6"/>
    <n v="1849.79"/>
    <n v="4"/>
    <n v="0"/>
    <n v="7399.16"/>
    <n v="0"/>
    <n v="7399.16"/>
    <x v="3"/>
    <x v="3"/>
    <s v="Kavya Fernando"/>
  </r>
  <r>
    <s v="ORD-1371"/>
    <d v="2024-04-20T00:00:00"/>
    <x v="0"/>
    <s v="Thilini Bandara"/>
    <x v="9"/>
    <x v="7"/>
    <x v="2"/>
    <x v="2"/>
    <n v="2485.39"/>
    <n v="3"/>
    <n v="15"/>
    <n v="7456.17"/>
    <n v="1118.4255000000001"/>
    <n v="6337.7444999999998"/>
    <x v="1"/>
    <x v="1"/>
    <s v="Kavya Fernando"/>
  </r>
  <r>
    <s v="ORD-1372"/>
    <d v="2024-04-21T00:00:00"/>
    <x v="0"/>
    <s v="Kamal Jayasuriya"/>
    <x v="8"/>
    <x v="7"/>
    <x v="1"/>
    <x v="26"/>
    <n v="1289.1400000000001"/>
    <n v="4"/>
    <n v="0"/>
    <n v="5156.5600000000004"/>
    <n v="0"/>
    <n v="5156.5600000000004"/>
    <x v="3"/>
    <x v="0"/>
    <s v="Thilini Bandara"/>
  </r>
  <r>
    <s v="ORD-1373"/>
    <d v="2024-04-22T00:00:00"/>
    <x v="0"/>
    <s v="Saman Silva"/>
    <x v="6"/>
    <x v="5"/>
    <x v="3"/>
    <x v="19"/>
    <n v="96587.92"/>
    <n v="5"/>
    <n v="0"/>
    <n v="482939.6"/>
    <n v="0"/>
    <n v="482939.6"/>
    <x v="2"/>
    <x v="0"/>
    <s v="Thilini Bandara"/>
  </r>
  <r>
    <s v="ORD-1374"/>
    <d v="2024-04-23T00:00:00"/>
    <x v="0"/>
    <s v="Thilini Dissanayake"/>
    <x v="7"/>
    <x v="6"/>
    <x v="2"/>
    <x v="8"/>
    <n v="546.49"/>
    <n v="2"/>
    <n v="10"/>
    <n v="1092.98"/>
    <n v="109.29799999999999"/>
    <n v="983.68200000000002"/>
    <x v="1"/>
    <x v="0"/>
    <s v="Ruwan Jayasuriya"/>
  </r>
  <r>
    <s v="ORD-1375"/>
    <d v="2024-04-24T00:00:00"/>
    <x v="0"/>
    <s v="Saman Fernando"/>
    <x v="8"/>
    <x v="7"/>
    <x v="6"/>
    <x v="14"/>
    <n v="686.26"/>
    <n v="4"/>
    <n v="0"/>
    <n v="2745.04"/>
    <n v="0"/>
    <n v="2745.04"/>
    <x v="1"/>
    <x v="0"/>
    <s v="Amara Perera"/>
  </r>
  <r>
    <s v="ORD-1376"/>
    <d v="2024-04-25T00:00:00"/>
    <x v="0"/>
    <s v="Saman Wickramasinghe"/>
    <x v="4"/>
    <x v="0"/>
    <x v="6"/>
    <x v="14"/>
    <n v="659.92"/>
    <n v="2"/>
    <n v="5"/>
    <n v="1319.84"/>
    <n v="65.992000000000004"/>
    <n v="1253.848"/>
    <x v="5"/>
    <x v="0"/>
    <s v="Thilini Bandara"/>
  </r>
  <r>
    <s v="ORD-1377"/>
    <d v="2024-04-26T00:00:00"/>
    <x v="0"/>
    <s v="Dhanushka Dissanayake"/>
    <x v="5"/>
    <x v="4"/>
    <x v="4"/>
    <x v="23"/>
    <n v="11719.96"/>
    <n v="1"/>
    <n v="0"/>
    <n v="11719.96"/>
    <n v="0"/>
    <n v="11719.96"/>
    <x v="1"/>
    <x v="1"/>
    <s v="Kavya Fernando"/>
  </r>
  <r>
    <s v="ORD-1378"/>
    <d v="2024-04-27T00:00:00"/>
    <x v="0"/>
    <s v="Thilak Bandara"/>
    <x v="4"/>
    <x v="0"/>
    <x v="3"/>
    <x v="19"/>
    <n v="85578.35"/>
    <n v="2"/>
    <n v="0"/>
    <n v="171156.7"/>
    <n v="0"/>
    <n v="171156.7"/>
    <x v="3"/>
    <x v="0"/>
    <s v="Dinesh Silva"/>
  </r>
  <r>
    <s v="ORD-1379"/>
    <d v="2024-04-28T00:00:00"/>
    <x v="0"/>
    <s v="Bandara Bandara"/>
    <x v="2"/>
    <x v="2"/>
    <x v="2"/>
    <x v="27"/>
    <n v="730.45"/>
    <n v="1"/>
    <n v="10"/>
    <n v="730.45"/>
    <n v="73.045000000000002"/>
    <n v="657.40500000000009"/>
    <x v="3"/>
    <x v="0"/>
    <s v="Thilini Bandara"/>
  </r>
  <r>
    <s v="ORD-1380"/>
    <d v="2024-04-29T00:00:00"/>
    <x v="0"/>
    <s v="Dinesh Rajapaksa"/>
    <x v="5"/>
    <x v="4"/>
    <x v="0"/>
    <x v="25"/>
    <n v="2421.37"/>
    <n v="4"/>
    <n v="0"/>
    <n v="9685.48"/>
    <n v="0"/>
    <n v="9685.48"/>
    <x v="1"/>
    <x v="0"/>
    <s v="Ruwan Jayasuriya"/>
  </r>
  <r>
    <s v="ORD-1381"/>
    <d v="2024-04-30T00:00:00"/>
    <x v="0"/>
    <s v="Ishara Jayasuriya"/>
    <x v="9"/>
    <x v="7"/>
    <x v="1"/>
    <x v="26"/>
    <n v="1085.26"/>
    <n v="5"/>
    <n v="5"/>
    <n v="5426.3"/>
    <n v="271.315"/>
    <n v="5154.9850000000006"/>
    <x v="5"/>
    <x v="0"/>
    <s v="Amara Perera"/>
  </r>
  <r>
    <s v="ORD-1382"/>
    <d v="2024-05-01T00:00:00"/>
    <x v="1"/>
    <s v="Dhanushka Wickramasinghe"/>
    <x v="7"/>
    <x v="6"/>
    <x v="5"/>
    <x v="30"/>
    <n v="8659.67"/>
    <n v="1"/>
    <n v="0"/>
    <n v="8659.67"/>
    <n v="0"/>
    <n v="8659.67"/>
    <x v="5"/>
    <x v="1"/>
    <s v="Amara Perera"/>
  </r>
  <r>
    <s v="ORD-1383"/>
    <d v="2024-05-02T00:00:00"/>
    <x v="1"/>
    <s v="Asela Silva"/>
    <x v="5"/>
    <x v="4"/>
    <x v="4"/>
    <x v="23"/>
    <n v="11096.63"/>
    <n v="3"/>
    <n v="0"/>
    <n v="33289.89"/>
    <n v="0"/>
    <n v="33289.89"/>
    <x v="1"/>
    <x v="0"/>
    <s v="Amara Perera"/>
  </r>
  <r>
    <s v="ORD-1384"/>
    <d v="2024-05-03T00:00:00"/>
    <x v="1"/>
    <s v="Kumari Pathirana"/>
    <x v="1"/>
    <x v="1"/>
    <x v="0"/>
    <x v="6"/>
    <n v="1717.19"/>
    <n v="5"/>
    <n v="10"/>
    <n v="8585.9500000000007"/>
    <n v="858.59500000000003"/>
    <n v="7727.3550000000005"/>
    <x v="1"/>
    <x v="0"/>
    <s v="Amara Perera"/>
  </r>
  <r>
    <s v="ORD-1385"/>
    <d v="2024-05-04T00:00:00"/>
    <x v="1"/>
    <s v="Kavindi Senanayake"/>
    <x v="1"/>
    <x v="1"/>
    <x v="2"/>
    <x v="2"/>
    <n v="2642.38"/>
    <n v="4"/>
    <n v="10"/>
    <n v="10569.52"/>
    <n v="1056.9520000000002"/>
    <n v="9512.5679999999993"/>
    <x v="0"/>
    <x v="0"/>
    <s v="Kavya Fernando"/>
  </r>
  <r>
    <s v="ORD-1386"/>
    <d v="2024-05-05T00:00:00"/>
    <x v="1"/>
    <s v="Chamara Rajapaksa"/>
    <x v="5"/>
    <x v="4"/>
    <x v="2"/>
    <x v="27"/>
    <n v="726.3"/>
    <n v="4"/>
    <n v="0"/>
    <n v="2905.2"/>
    <n v="0"/>
    <n v="2905.2"/>
    <x v="2"/>
    <x v="0"/>
    <s v="Dinesh Silva"/>
  </r>
  <r>
    <s v="ORD-1387"/>
    <d v="2024-05-06T00:00:00"/>
    <x v="1"/>
    <s v="Kasun Pathirana"/>
    <x v="1"/>
    <x v="1"/>
    <x v="3"/>
    <x v="18"/>
    <n v="124056.53"/>
    <n v="2"/>
    <n v="0"/>
    <n v="248113.06"/>
    <n v="0"/>
    <n v="248113.06"/>
    <x v="0"/>
    <x v="0"/>
    <s v="Amara Perera"/>
  </r>
  <r>
    <s v="ORD-1388"/>
    <d v="2024-05-07T00:00:00"/>
    <x v="1"/>
    <s v="Dhanushka Jayasuriya"/>
    <x v="6"/>
    <x v="5"/>
    <x v="2"/>
    <x v="31"/>
    <n v="1191.43"/>
    <n v="1"/>
    <n v="0"/>
    <n v="1191.43"/>
    <n v="0"/>
    <n v="1191.43"/>
    <x v="5"/>
    <x v="2"/>
    <s v="Kavya Fernando"/>
  </r>
  <r>
    <s v="ORD-1389"/>
    <d v="2024-05-08T00:00:00"/>
    <x v="1"/>
    <s v="Thilini Rajapaksa"/>
    <x v="5"/>
    <x v="4"/>
    <x v="0"/>
    <x v="29"/>
    <n v="735.2"/>
    <n v="1"/>
    <n v="0"/>
    <n v="735.2"/>
    <n v="0"/>
    <n v="735.2"/>
    <x v="1"/>
    <x v="1"/>
    <s v="Dinesh Silva"/>
  </r>
  <r>
    <s v="ORD-1390"/>
    <d v="2024-05-09T00:00:00"/>
    <x v="1"/>
    <s v="Anusha Gunasekara"/>
    <x v="2"/>
    <x v="2"/>
    <x v="2"/>
    <x v="2"/>
    <n v="2436.31"/>
    <n v="3"/>
    <n v="5"/>
    <n v="7308.93"/>
    <n v="365.44650000000001"/>
    <n v="6943.4835000000003"/>
    <x v="5"/>
    <x v="0"/>
    <s v="Ruwan Jayasuriya"/>
  </r>
  <r>
    <s v="ORD-1391"/>
    <d v="2024-05-10T00:00:00"/>
    <x v="1"/>
    <s v="Pradeep Dissanayake"/>
    <x v="6"/>
    <x v="5"/>
    <x v="6"/>
    <x v="21"/>
    <n v="1853.58"/>
    <n v="2"/>
    <n v="0"/>
    <n v="3707.16"/>
    <n v="0"/>
    <n v="3707.16"/>
    <x v="1"/>
    <x v="1"/>
    <s v="Amara Perera"/>
  </r>
  <r>
    <s v="ORD-1392"/>
    <d v="2024-05-11T00:00:00"/>
    <x v="1"/>
    <s v="Dilini Dissanayake"/>
    <x v="2"/>
    <x v="2"/>
    <x v="4"/>
    <x v="12"/>
    <n v="4660.55"/>
    <n v="2"/>
    <n v="10"/>
    <n v="9321.1"/>
    <n v="932.11"/>
    <n v="8388.99"/>
    <x v="2"/>
    <x v="2"/>
    <s v="Kavya Fernando"/>
  </r>
  <r>
    <s v="ORD-1393"/>
    <d v="2024-05-12T00:00:00"/>
    <x v="1"/>
    <s v="Kasun Pathirana"/>
    <x v="9"/>
    <x v="7"/>
    <x v="4"/>
    <x v="23"/>
    <n v="11071.05"/>
    <n v="4"/>
    <n v="15"/>
    <n v="44284.2"/>
    <n v="6642.63"/>
    <n v="37641.57"/>
    <x v="5"/>
    <x v="0"/>
    <s v="Kavya Fernando"/>
  </r>
  <r>
    <s v="ORD-1394"/>
    <d v="2024-05-13T00:00:00"/>
    <x v="1"/>
    <s v="Thilak Perera"/>
    <x v="7"/>
    <x v="6"/>
    <x v="6"/>
    <x v="9"/>
    <n v="365.66"/>
    <n v="2"/>
    <n v="15"/>
    <n v="731.32"/>
    <n v="109.69800000000001"/>
    <n v="621.62200000000007"/>
    <x v="3"/>
    <x v="3"/>
    <s v="Thilini Bandara"/>
  </r>
  <r>
    <s v="ORD-1395"/>
    <d v="2024-05-14T00:00:00"/>
    <x v="1"/>
    <s v="Asela Senanayake"/>
    <x v="1"/>
    <x v="1"/>
    <x v="4"/>
    <x v="20"/>
    <n v="5480.12"/>
    <n v="4"/>
    <n v="0"/>
    <n v="21920.48"/>
    <n v="0"/>
    <n v="21920.48"/>
    <x v="0"/>
    <x v="3"/>
    <s v="Amara Perera"/>
  </r>
  <r>
    <s v="ORD-1396"/>
    <d v="2024-05-15T00:00:00"/>
    <x v="1"/>
    <s v="Dhanushka Fernando"/>
    <x v="7"/>
    <x v="6"/>
    <x v="6"/>
    <x v="21"/>
    <n v="1926.67"/>
    <n v="2"/>
    <n v="0"/>
    <n v="3853.34"/>
    <n v="0"/>
    <n v="3853.34"/>
    <x v="2"/>
    <x v="0"/>
    <s v="Dinesh Silva"/>
  </r>
  <r>
    <s v="ORD-1397"/>
    <d v="2024-05-16T00:00:00"/>
    <x v="1"/>
    <s v="Pradeep Perera"/>
    <x v="7"/>
    <x v="6"/>
    <x v="1"/>
    <x v="28"/>
    <n v="5143.32"/>
    <n v="4"/>
    <n v="10"/>
    <n v="20573.28"/>
    <n v="2057.328"/>
    <n v="18515.951999999997"/>
    <x v="5"/>
    <x v="0"/>
    <s v="Ruwan Jayasuriya"/>
  </r>
  <r>
    <s v="ORD-1398"/>
    <d v="2024-05-17T00:00:00"/>
    <x v="1"/>
    <s v="Saman Silva"/>
    <x v="6"/>
    <x v="5"/>
    <x v="4"/>
    <x v="15"/>
    <n v="2586.48"/>
    <n v="4"/>
    <n v="5"/>
    <n v="10345.92"/>
    <n v="517.29599999999994"/>
    <n v="9828.6239999999998"/>
    <x v="5"/>
    <x v="0"/>
    <s v="Ruwan Jayasuriya"/>
  </r>
  <r>
    <s v="ORD-1399"/>
    <d v="2024-05-18T00:00:00"/>
    <x v="1"/>
    <s v="Nimali Bandara"/>
    <x v="7"/>
    <x v="6"/>
    <x v="3"/>
    <x v="10"/>
    <n v="89960.320000000007"/>
    <n v="5"/>
    <n v="0"/>
    <n v="449801.60000000003"/>
    <n v="0"/>
    <n v="449801.60000000003"/>
    <x v="3"/>
    <x v="3"/>
    <s v="Thilini Bandara"/>
  </r>
  <r>
    <s v="ORD-1400"/>
    <d v="2024-05-19T00:00:00"/>
    <x v="1"/>
    <s v="Dhanushka Pathirana"/>
    <x v="6"/>
    <x v="5"/>
    <x v="2"/>
    <x v="31"/>
    <n v="1278.07"/>
    <n v="2"/>
    <n v="10"/>
    <n v="2556.14"/>
    <n v="255.61399999999998"/>
    <n v="2300.5259999999998"/>
    <x v="3"/>
    <x v="3"/>
    <s v="Thilini Bandara"/>
  </r>
  <r>
    <s v="ORD-1401"/>
    <d v="2024-05-20T00:00:00"/>
    <x v="1"/>
    <s v="Roshani Kumara"/>
    <x v="8"/>
    <x v="7"/>
    <x v="0"/>
    <x v="13"/>
    <n v="1107.3699999999999"/>
    <n v="2"/>
    <n v="10"/>
    <n v="2214.7399999999998"/>
    <n v="221.47399999999999"/>
    <n v="1993.2659999999998"/>
    <x v="3"/>
    <x v="0"/>
    <s v="Kavya Fernando"/>
  </r>
  <r>
    <s v="ORD-1402"/>
    <d v="2024-05-21T00:00:00"/>
    <x v="1"/>
    <s v="Dinesh Rajapaksa"/>
    <x v="1"/>
    <x v="1"/>
    <x v="3"/>
    <x v="5"/>
    <n v="149772.66"/>
    <n v="4"/>
    <n v="0"/>
    <n v="599090.64"/>
    <n v="0"/>
    <n v="599090.64"/>
    <x v="3"/>
    <x v="3"/>
    <s v="Dinesh Silva"/>
  </r>
  <r>
    <s v="ORD-1403"/>
    <d v="2024-05-22T00:00:00"/>
    <x v="1"/>
    <s v="Dilini Dissanayake"/>
    <x v="4"/>
    <x v="0"/>
    <x v="4"/>
    <x v="20"/>
    <n v="5738.47"/>
    <n v="1"/>
    <n v="0"/>
    <n v="5738.47"/>
    <n v="0"/>
    <n v="5738.47"/>
    <x v="5"/>
    <x v="1"/>
    <s v="Thilini Bandara"/>
  </r>
  <r>
    <s v="ORD-1404"/>
    <d v="2024-05-23T00:00:00"/>
    <x v="1"/>
    <s v="Saman Gunasekara"/>
    <x v="2"/>
    <x v="2"/>
    <x v="5"/>
    <x v="24"/>
    <n v="3824.7"/>
    <n v="1"/>
    <n v="10"/>
    <n v="3824.7"/>
    <n v="382.47"/>
    <n v="3442.2299999999996"/>
    <x v="5"/>
    <x v="3"/>
    <s v="Ruwan Jayasuriya"/>
  </r>
  <r>
    <s v="ORD-1405"/>
    <d v="2024-05-24T00:00:00"/>
    <x v="1"/>
    <s v="Roshani Bandara"/>
    <x v="9"/>
    <x v="7"/>
    <x v="0"/>
    <x v="6"/>
    <n v="1682.51"/>
    <n v="2"/>
    <n v="10"/>
    <n v="3365.02"/>
    <n v="336.50199999999995"/>
    <n v="3028.518"/>
    <x v="2"/>
    <x v="1"/>
    <s v="Thilini Bandara"/>
  </r>
  <r>
    <s v="ORD-1406"/>
    <d v="2024-05-25T00:00:00"/>
    <x v="1"/>
    <s v="Thilak Bandara"/>
    <x v="5"/>
    <x v="4"/>
    <x v="4"/>
    <x v="12"/>
    <n v="4874.32"/>
    <n v="2"/>
    <n v="5"/>
    <n v="9748.64"/>
    <n v="487.43199999999996"/>
    <n v="9261.2079999999987"/>
    <x v="2"/>
    <x v="0"/>
    <s v="Kavya Fernando"/>
  </r>
  <r>
    <s v="ORD-1407"/>
    <d v="2024-05-26T00:00:00"/>
    <x v="1"/>
    <s v="Ruwan Fernando"/>
    <x v="5"/>
    <x v="4"/>
    <x v="5"/>
    <x v="17"/>
    <n v="9117.93"/>
    <n v="5"/>
    <n v="0"/>
    <n v="45589.65"/>
    <n v="0"/>
    <n v="45589.65"/>
    <x v="0"/>
    <x v="1"/>
    <s v="Dinesh Silva"/>
  </r>
  <r>
    <s v="ORD-1408"/>
    <d v="2024-05-27T00:00:00"/>
    <x v="1"/>
    <s v="Chamara Senanayake"/>
    <x v="3"/>
    <x v="3"/>
    <x v="0"/>
    <x v="0"/>
    <n v="1626.36"/>
    <n v="2"/>
    <n v="15"/>
    <n v="3252.72"/>
    <n v="487.90799999999996"/>
    <n v="2764.8119999999999"/>
    <x v="1"/>
    <x v="3"/>
    <s v="Thilini Bandara"/>
  </r>
  <r>
    <s v="ORD-1409"/>
    <d v="2024-05-28T00:00:00"/>
    <x v="1"/>
    <s v="Dhanushka Rajapaksa"/>
    <x v="1"/>
    <x v="1"/>
    <x v="6"/>
    <x v="22"/>
    <n v="2227.4"/>
    <n v="5"/>
    <n v="0"/>
    <n v="11137"/>
    <n v="0"/>
    <n v="11137"/>
    <x v="2"/>
    <x v="1"/>
    <s v="Thilini Bandara"/>
  </r>
  <r>
    <s v="ORD-1410"/>
    <d v="2024-05-29T00:00:00"/>
    <x v="1"/>
    <s v="Kumari Perera"/>
    <x v="7"/>
    <x v="6"/>
    <x v="3"/>
    <x v="10"/>
    <n v="82974.8"/>
    <n v="1"/>
    <n v="0"/>
    <n v="82974.8"/>
    <n v="0"/>
    <n v="82974.8"/>
    <x v="5"/>
    <x v="0"/>
    <s v="Kavya Fernando"/>
  </r>
  <r>
    <s v="ORD-1411"/>
    <d v="2024-05-30T00:00:00"/>
    <x v="1"/>
    <s v="Malika Pathirana"/>
    <x v="3"/>
    <x v="3"/>
    <x v="1"/>
    <x v="34"/>
    <n v="1557.18"/>
    <n v="3"/>
    <n v="5"/>
    <n v="4671.54"/>
    <n v="233.577"/>
    <n v="4437.9629999999997"/>
    <x v="0"/>
    <x v="0"/>
    <s v="Kavya Fernando"/>
  </r>
  <r>
    <s v="ORD-1412"/>
    <d v="2024-05-31T00:00:00"/>
    <x v="1"/>
    <s v="Dilini Senanayake"/>
    <x v="7"/>
    <x v="6"/>
    <x v="6"/>
    <x v="14"/>
    <n v="681.51"/>
    <n v="5"/>
    <n v="15"/>
    <n v="3407.55"/>
    <n v="511.13249999999999"/>
    <n v="2896.4175"/>
    <x v="1"/>
    <x v="3"/>
    <s v="Kavya Fernando"/>
  </r>
  <r>
    <s v="ORD-1413"/>
    <d v="2024-06-01T00:00:00"/>
    <x v="2"/>
    <s v="Thilini Perera"/>
    <x v="5"/>
    <x v="4"/>
    <x v="4"/>
    <x v="23"/>
    <n v="13096.08"/>
    <n v="3"/>
    <n v="0"/>
    <n v="39288.239999999998"/>
    <n v="0"/>
    <n v="39288.239999999998"/>
    <x v="5"/>
    <x v="0"/>
    <s v="Kavya Fernando"/>
  </r>
  <r>
    <s v="ORD-1414"/>
    <d v="2024-06-02T00:00:00"/>
    <x v="2"/>
    <s v="Nadeesha Gunasekara"/>
    <x v="4"/>
    <x v="0"/>
    <x v="0"/>
    <x v="0"/>
    <n v="1576.53"/>
    <n v="5"/>
    <n v="0"/>
    <n v="7882.65"/>
    <n v="0"/>
    <n v="7882.65"/>
    <x v="1"/>
    <x v="2"/>
    <s v="Dinesh Silva"/>
  </r>
  <r>
    <s v="ORD-1415"/>
    <d v="2024-06-03T00:00:00"/>
    <x v="2"/>
    <s v="Saman Fernando"/>
    <x v="1"/>
    <x v="1"/>
    <x v="1"/>
    <x v="1"/>
    <n v="4711.57"/>
    <n v="1"/>
    <n v="10"/>
    <n v="4711.57"/>
    <n v="471.15699999999998"/>
    <n v="4240.4129999999996"/>
    <x v="5"/>
    <x v="0"/>
    <s v="Kavya Fernando"/>
  </r>
  <r>
    <s v="ORD-1416"/>
    <d v="2024-06-04T00:00:00"/>
    <x v="2"/>
    <s v="Pradeep Fernando"/>
    <x v="9"/>
    <x v="7"/>
    <x v="5"/>
    <x v="32"/>
    <n v="2252.8200000000002"/>
    <n v="4"/>
    <n v="0"/>
    <n v="9011.2800000000007"/>
    <n v="0"/>
    <n v="9011.2800000000007"/>
    <x v="1"/>
    <x v="0"/>
    <s v="Dinesh Silva"/>
  </r>
  <r>
    <s v="ORD-1417"/>
    <d v="2024-06-05T00:00:00"/>
    <x v="2"/>
    <s v="Nadeesha Perera"/>
    <x v="2"/>
    <x v="2"/>
    <x v="6"/>
    <x v="22"/>
    <n v="2195.84"/>
    <n v="5"/>
    <n v="10"/>
    <n v="10979.2"/>
    <n v="1097.92"/>
    <n v="9881.2800000000007"/>
    <x v="3"/>
    <x v="0"/>
    <s v="Kavya Fernando"/>
  </r>
  <r>
    <s v="ORD-1418"/>
    <d v="2024-06-06T00:00:00"/>
    <x v="2"/>
    <s v="Ishara Fernando"/>
    <x v="7"/>
    <x v="6"/>
    <x v="3"/>
    <x v="18"/>
    <n v="111824.89"/>
    <n v="5"/>
    <n v="0"/>
    <n v="559124.44999999995"/>
    <n v="0"/>
    <n v="559124.44999999995"/>
    <x v="2"/>
    <x v="0"/>
    <s v="Kavya Fernando"/>
  </r>
  <r>
    <s v="ORD-1419"/>
    <d v="2024-06-07T00:00:00"/>
    <x v="2"/>
    <s v="Chamara Pathirana"/>
    <x v="8"/>
    <x v="7"/>
    <x v="2"/>
    <x v="31"/>
    <n v="1150.46"/>
    <n v="5"/>
    <n v="0"/>
    <n v="5752.3"/>
    <n v="0"/>
    <n v="5752.3"/>
    <x v="2"/>
    <x v="3"/>
    <s v="Amara Perera"/>
  </r>
  <r>
    <s v="ORD-1420"/>
    <d v="2024-06-08T00:00:00"/>
    <x v="2"/>
    <s v="Thilini Rajapaksa"/>
    <x v="6"/>
    <x v="5"/>
    <x v="1"/>
    <x v="26"/>
    <n v="1227.29"/>
    <n v="5"/>
    <n v="5"/>
    <n v="6136.45"/>
    <n v="306.82249999999999"/>
    <n v="5829.6274999999996"/>
    <x v="5"/>
    <x v="1"/>
    <s v="Kavya Fernando"/>
  </r>
  <r>
    <s v="ORD-1421"/>
    <d v="2024-06-09T00:00:00"/>
    <x v="2"/>
    <s v="Dilini Dissanayake"/>
    <x v="3"/>
    <x v="3"/>
    <x v="5"/>
    <x v="32"/>
    <n v="2262.35"/>
    <n v="5"/>
    <n v="5"/>
    <n v="11311.75"/>
    <n v="565.58749999999998"/>
    <n v="10746.1625"/>
    <x v="0"/>
    <x v="2"/>
    <s v="Thilini Bandara"/>
  </r>
  <r>
    <s v="ORD-1422"/>
    <d v="2024-06-10T00:00:00"/>
    <x v="2"/>
    <s v="Roshani Perera"/>
    <x v="3"/>
    <x v="3"/>
    <x v="0"/>
    <x v="25"/>
    <n v="2410.16"/>
    <n v="1"/>
    <n v="10"/>
    <n v="2410.16"/>
    <n v="241.01599999999999"/>
    <n v="2169.1439999999998"/>
    <x v="1"/>
    <x v="2"/>
    <s v="Thilini Bandara"/>
  </r>
  <r>
    <s v="ORD-1423"/>
    <d v="2024-06-11T00:00:00"/>
    <x v="2"/>
    <s v="Kasun Pathirana"/>
    <x v="1"/>
    <x v="1"/>
    <x v="1"/>
    <x v="26"/>
    <n v="1231.08"/>
    <n v="2"/>
    <n v="0"/>
    <n v="2462.16"/>
    <n v="0"/>
    <n v="2462.16"/>
    <x v="2"/>
    <x v="2"/>
    <s v="Amara Perera"/>
  </r>
  <r>
    <s v="ORD-1424"/>
    <d v="2024-06-12T00:00:00"/>
    <x v="2"/>
    <s v="Hasini Kumara"/>
    <x v="5"/>
    <x v="4"/>
    <x v="0"/>
    <x v="29"/>
    <n v="839.5"/>
    <n v="2"/>
    <n v="0"/>
    <n v="1679"/>
    <n v="0"/>
    <n v="1679"/>
    <x v="2"/>
    <x v="1"/>
    <s v="Kavya Fernando"/>
  </r>
  <r>
    <s v="ORD-1425"/>
    <d v="2024-06-13T00:00:00"/>
    <x v="2"/>
    <s v="Kamal Silva"/>
    <x v="0"/>
    <x v="0"/>
    <x v="1"/>
    <x v="16"/>
    <n v="8092.93"/>
    <n v="5"/>
    <n v="5"/>
    <n v="40464.65"/>
    <n v="2023.2325000000001"/>
    <n v="38441.417500000003"/>
    <x v="3"/>
    <x v="0"/>
    <s v="Ruwan Jayasuriya"/>
  </r>
  <r>
    <s v="ORD-1426"/>
    <d v="2024-06-14T00:00:00"/>
    <x v="2"/>
    <s v="Dhanushka Dissanayake"/>
    <x v="5"/>
    <x v="4"/>
    <x v="2"/>
    <x v="2"/>
    <n v="2444.75"/>
    <n v="1"/>
    <n v="0"/>
    <n v="2444.75"/>
    <n v="0"/>
    <n v="2444.75"/>
    <x v="5"/>
    <x v="1"/>
    <s v="Thilini Bandara"/>
  </r>
  <r>
    <s v="ORD-1427"/>
    <d v="2024-06-15T00:00:00"/>
    <x v="2"/>
    <s v="Kavindi Senanayake"/>
    <x v="0"/>
    <x v="0"/>
    <x v="0"/>
    <x v="29"/>
    <n v="777.23"/>
    <n v="5"/>
    <n v="10"/>
    <n v="3886.15"/>
    <n v="388.61500000000001"/>
    <n v="3497.5349999999999"/>
    <x v="3"/>
    <x v="2"/>
    <s v="Kavya Fernando"/>
  </r>
  <r>
    <s v="ORD-1428"/>
    <d v="2024-06-16T00:00:00"/>
    <x v="2"/>
    <s v="Kamal Wickramasinghe"/>
    <x v="6"/>
    <x v="5"/>
    <x v="4"/>
    <x v="23"/>
    <n v="12773.09"/>
    <n v="1"/>
    <n v="0"/>
    <n v="12773.09"/>
    <n v="0"/>
    <n v="12773.09"/>
    <x v="1"/>
    <x v="3"/>
    <s v="Dinesh Silva"/>
  </r>
  <r>
    <s v="ORD-1429"/>
    <d v="2024-06-17T00:00:00"/>
    <x v="2"/>
    <s v="Kavindi Dissanayake"/>
    <x v="7"/>
    <x v="6"/>
    <x v="2"/>
    <x v="27"/>
    <n v="767.69"/>
    <n v="3"/>
    <n v="0"/>
    <n v="2303.0700000000002"/>
    <n v="0"/>
    <n v="2303.0700000000002"/>
    <x v="0"/>
    <x v="2"/>
    <s v="Thilini Bandara"/>
  </r>
  <r>
    <s v="ORD-1430"/>
    <d v="2024-06-18T00:00:00"/>
    <x v="2"/>
    <s v="Dilini Perera"/>
    <x v="0"/>
    <x v="0"/>
    <x v="5"/>
    <x v="17"/>
    <n v="9298.76"/>
    <n v="5"/>
    <n v="0"/>
    <n v="46493.8"/>
    <n v="0"/>
    <n v="46493.8"/>
    <x v="3"/>
    <x v="0"/>
    <s v="Kavya Fernando"/>
  </r>
  <r>
    <s v="ORD-1431"/>
    <d v="2024-06-19T00:00:00"/>
    <x v="2"/>
    <s v="Kumari Pathirana"/>
    <x v="7"/>
    <x v="6"/>
    <x v="1"/>
    <x v="1"/>
    <n v="4215.59"/>
    <n v="5"/>
    <n v="15"/>
    <n v="21077.95"/>
    <n v="3161.6925000000001"/>
    <n v="17916.2575"/>
    <x v="1"/>
    <x v="0"/>
    <s v="Dinesh Silva"/>
  </r>
  <r>
    <s v="ORD-1432"/>
    <d v="2024-06-20T00:00:00"/>
    <x v="2"/>
    <s v="Rajith Perera"/>
    <x v="7"/>
    <x v="6"/>
    <x v="4"/>
    <x v="12"/>
    <n v="4115.83"/>
    <n v="1"/>
    <n v="5"/>
    <n v="4115.83"/>
    <n v="205.79150000000001"/>
    <n v="3910.0385000000001"/>
    <x v="5"/>
    <x v="0"/>
    <s v="Thilini Bandara"/>
  </r>
  <r>
    <s v="ORD-1433"/>
    <d v="2024-06-21T00:00:00"/>
    <x v="2"/>
    <s v="Thilak Rajapaksa"/>
    <x v="9"/>
    <x v="7"/>
    <x v="0"/>
    <x v="25"/>
    <n v="2300.02"/>
    <n v="5"/>
    <n v="5"/>
    <n v="11500.1"/>
    <n v="575.005"/>
    <n v="10925.095000000001"/>
    <x v="1"/>
    <x v="0"/>
    <s v="Ruwan Jayasuriya"/>
  </r>
  <r>
    <s v="ORD-1434"/>
    <d v="2024-06-22T00:00:00"/>
    <x v="2"/>
    <s v="Thilak Senanayake"/>
    <x v="3"/>
    <x v="3"/>
    <x v="0"/>
    <x v="6"/>
    <n v="1674.86"/>
    <n v="5"/>
    <n v="0"/>
    <n v="8374.2999999999993"/>
    <n v="0"/>
    <n v="8374.2999999999993"/>
    <x v="3"/>
    <x v="0"/>
    <s v="Dinesh Silva"/>
  </r>
  <r>
    <s v="ORD-1435"/>
    <d v="2024-06-23T00:00:00"/>
    <x v="2"/>
    <s v="Thilak Jayasuriya"/>
    <x v="4"/>
    <x v="0"/>
    <x v="0"/>
    <x v="13"/>
    <n v="1146.4000000000001"/>
    <n v="3"/>
    <n v="5"/>
    <n v="3439.2000000000003"/>
    <n v="171.96"/>
    <n v="3267.2400000000002"/>
    <x v="3"/>
    <x v="0"/>
    <s v="Ruwan Jayasuriya"/>
  </r>
  <r>
    <s v="ORD-1436"/>
    <d v="2024-06-24T00:00:00"/>
    <x v="2"/>
    <s v="Anusha Wickramasinghe"/>
    <x v="6"/>
    <x v="5"/>
    <x v="5"/>
    <x v="30"/>
    <n v="7948.81"/>
    <n v="5"/>
    <n v="10"/>
    <n v="39744.050000000003"/>
    <n v="3974.4050000000002"/>
    <n v="35769.645000000004"/>
    <x v="3"/>
    <x v="2"/>
    <s v="Dinesh Silva"/>
  </r>
  <r>
    <s v="ORD-1437"/>
    <d v="2024-06-25T00:00:00"/>
    <x v="2"/>
    <s v="Chamara Wickramasinghe"/>
    <x v="1"/>
    <x v="1"/>
    <x v="0"/>
    <x v="29"/>
    <n v="862.74"/>
    <n v="5"/>
    <n v="10"/>
    <n v="4313.7"/>
    <n v="431.37"/>
    <n v="3882.33"/>
    <x v="5"/>
    <x v="2"/>
    <s v="Thilini Bandara"/>
  </r>
  <r>
    <s v="ORD-1438"/>
    <d v="2024-06-26T00:00:00"/>
    <x v="2"/>
    <s v="Bandara Senanayake"/>
    <x v="4"/>
    <x v="0"/>
    <x v="3"/>
    <x v="18"/>
    <n v="114254.79"/>
    <n v="5"/>
    <n v="0"/>
    <n v="571273.94999999995"/>
    <n v="0"/>
    <n v="571273.94999999995"/>
    <x v="1"/>
    <x v="0"/>
    <s v="Ruwan Jayasuriya"/>
  </r>
  <r>
    <s v="ORD-1439"/>
    <d v="2024-06-27T00:00:00"/>
    <x v="2"/>
    <s v="Rajith Kumara"/>
    <x v="3"/>
    <x v="3"/>
    <x v="1"/>
    <x v="35"/>
    <n v="2500.56"/>
    <n v="1"/>
    <n v="15"/>
    <n v="2500.56"/>
    <n v="375.084"/>
    <n v="2125.4760000000001"/>
    <x v="3"/>
    <x v="3"/>
    <s v="Amara Perera"/>
  </r>
  <r>
    <s v="ORD-1440"/>
    <d v="2024-06-28T00:00:00"/>
    <x v="2"/>
    <s v="Ishara Senanayake"/>
    <x v="9"/>
    <x v="7"/>
    <x v="6"/>
    <x v="9"/>
    <n v="324.83"/>
    <n v="2"/>
    <n v="15"/>
    <n v="649.66"/>
    <n v="97.448999999999998"/>
    <n v="552.21100000000001"/>
    <x v="0"/>
    <x v="3"/>
    <s v="Dinesh Silva"/>
  </r>
  <r>
    <s v="ORD-1441"/>
    <d v="2024-06-29T00:00:00"/>
    <x v="2"/>
    <s v="Kavindi Gunasekara"/>
    <x v="8"/>
    <x v="7"/>
    <x v="3"/>
    <x v="5"/>
    <n v="157844.17000000001"/>
    <n v="2"/>
    <n v="0"/>
    <n v="315688.34000000003"/>
    <n v="0"/>
    <n v="315688.34000000003"/>
    <x v="3"/>
    <x v="0"/>
    <s v="Dinesh Silva"/>
  </r>
  <r>
    <s v="ORD-1442"/>
    <d v="2024-06-30T00:00:00"/>
    <x v="2"/>
    <s v="Thilini Jayasuriya"/>
    <x v="7"/>
    <x v="6"/>
    <x v="6"/>
    <x v="22"/>
    <n v="2150.7600000000002"/>
    <n v="4"/>
    <n v="0"/>
    <n v="8603.0400000000009"/>
    <n v="0"/>
    <n v="8603.0400000000009"/>
    <x v="5"/>
    <x v="1"/>
    <s v="Kavya Fernando"/>
  </r>
  <r>
    <s v="ORD-1443"/>
    <d v="2024-07-01T00:00:00"/>
    <x v="3"/>
    <s v="Asela Bandara"/>
    <x v="3"/>
    <x v="3"/>
    <x v="6"/>
    <x v="22"/>
    <n v="2234.6"/>
    <n v="5"/>
    <n v="0"/>
    <n v="11173"/>
    <n v="0"/>
    <n v="11173"/>
    <x v="2"/>
    <x v="1"/>
    <s v="Ruwan Jayasuriya"/>
  </r>
  <r>
    <s v="ORD-1444"/>
    <d v="2024-07-02T00:00:00"/>
    <x v="3"/>
    <s v="Rajith Pathirana"/>
    <x v="1"/>
    <x v="1"/>
    <x v="5"/>
    <x v="32"/>
    <n v="2438.16"/>
    <n v="2"/>
    <n v="5"/>
    <n v="4876.32"/>
    <n v="243.81599999999997"/>
    <n v="4632.5039999999999"/>
    <x v="2"/>
    <x v="0"/>
    <s v="Kavya Fernando"/>
  </r>
  <r>
    <s v="ORD-1445"/>
    <d v="2024-07-03T00:00:00"/>
    <x v="3"/>
    <s v="Roshani Senanayake"/>
    <x v="0"/>
    <x v="0"/>
    <x v="5"/>
    <x v="24"/>
    <n v="3457.93"/>
    <n v="2"/>
    <n v="0"/>
    <n v="6915.86"/>
    <n v="0"/>
    <n v="6915.86"/>
    <x v="0"/>
    <x v="1"/>
    <s v="Kavya Fernando"/>
  </r>
  <r>
    <s v="ORD-1446"/>
    <d v="2024-07-04T00:00:00"/>
    <x v="3"/>
    <s v="Ruwan Fernando"/>
    <x v="9"/>
    <x v="7"/>
    <x v="2"/>
    <x v="33"/>
    <n v="939.11"/>
    <n v="1"/>
    <n v="15"/>
    <n v="939.11"/>
    <n v="140.8665"/>
    <n v="798.24350000000004"/>
    <x v="1"/>
    <x v="0"/>
    <s v="Kavya Fernando"/>
  </r>
  <r>
    <s v="ORD-1447"/>
    <d v="2024-07-05T00:00:00"/>
    <x v="3"/>
    <s v="Dilini Gunasekara"/>
    <x v="6"/>
    <x v="5"/>
    <x v="4"/>
    <x v="20"/>
    <n v="5599.87"/>
    <n v="4"/>
    <n v="10"/>
    <n v="22399.48"/>
    <n v="2239.9479999999999"/>
    <n v="20159.531999999999"/>
    <x v="1"/>
    <x v="0"/>
    <s v="Dinesh Silva"/>
  </r>
  <r>
    <s v="ORD-1448"/>
    <d v="2024-07-06T00:00:00"/>
    <x v="3"/>
    <s v="Rajith Fernando"/>
    <x v="9"/>
    <x v="7"/>
    <x v="0"/>
    <x v="6"/>
    <n v="1634.11"/>
    <n v="5"/>
    <n v="0"/>
    <n v="8170.5499999999993"/>
    <n v="0"/>
    <n v="8170.5499999999993"/>
    <x v="5"/>
    <x v="0"/>
    <s v="Kavya Fernando"/>
  </r>
  <r>
    <s v="ORD-1449"/>
    <d v="2024-07-07T00:00:00"/>
    <x v="3"/>
    <s v="Dinesh Dissanayake"/>
    <x v="2"/>
    <x v="2"/>
    <x v="5"/>
    <x v="30"/>
    <n v="9143.4699999999993"/>
    <n v="3"/>
    <n v="5"/>
    <n v="27430.409999999996"/>
    <n v="1371.5204999999999"/>
    <n v="26058.889499999997"/>
    <x v="1"/>
    <x v="0"/>
    <s v="Thilini Bandara"/>
  </r>
  <r>
    <s v="ORD-1450"/>
    <d v="2024-07-08T00:00:00"/>
    <x v="3"/>
    <s v="Roshani Fernando"/>
    <x v="4"/>
    <x v="0"/>
    <x v="6"/>
    <x v="21"/>
    <n v="1836.3"/>
    <n v="5"/>
    <n v="0"/>
    <n v="9181.5"/>
    <n v="0"/>
    <n v="9181.5"/>
    <x v="0"/>
    <x v="1"/>
    <s v="Thilini Bandara"/>
  </r>
  <r>
    <s v="ORD-1451"/>
    <d v="2024-07-09T00:00:00"/>
    <x v="3"/>
    <s v="Sanduni Kumara"/>
    <x v="8"/>
    <x v="7"/>
    <x v="4"/>
    <x v="12"/>
    <n v="4581.54"/>
    <n v="2"/>
    <n v="0"/>
    <n v="9163.08"/>
    <n v="0"/>
    <n v="9163.08"/>
    <x v="2"/>
    <x v="0"/>
    <s v="Amara Perera"/>
  </r>
  <r>
    <s v="ORD-1452"/>
    <d v="2024-07-10T00:00:00"/>
    <x v="3"/>
    <s v="Chamara Bandara"/>
    <x v="7"/>
    <x v="6"/>
    <x v="0"/>
    <x v="13"/>
    <n v="1278.3599999999999"/>
    <n v="5"/>
    <n v="10"/>
    <n v="6391.7999999999993"/>
    <n v="639.17999999999995"/>
    <n v="5752.619999999999"/>
    <x v="1"/>
    <x v="0"/>
    <s v="Thilini Bandara"/>
  </r>
  <r>
    <s v="ORD-1453"/>
    <d v="2024-07-11T00:00:00"/>
    <x v="3"/>
    <s v="Nimali Bandara"/>
    <x v="7"/>
    <x v="6"/>
    <x v="6"/>
    <x v="11"/>
    <n v="1377.96"/>
    <n v="2"/>
    <n v="15"/>
    <n v="2755.92"/>
    <n v="413.38800000000003"/>
    <n v="2342.5320000000002"/>
    <x v="0"/>
    <x v="2"/>
    <s v="Amara Perera"/>
  </r>
  <r>
    <s v="ORD-1454"/>
    <d v="2024-07-12T00:00:00"/>
    <x v="3"/>
    <s v="Dhanushka Dissanayake"/>
    <x v="7"/>
    <x v="6"/>
    <x v="4"/>
    <x v="15"/>
    <n v="3009.9"/>
    <n v="5"/>
    <n v="5"/>
    <n v="15049.5"/>
    <n v="752.47500000000002"/>
    <n v="14297.025"/>
    <x v="1"/>
    <x v="2"/>
    <s v="Ruwan Jayasuriya"/>
  </r>
  <r>
    <s v="ORD-1455"/>
    <d v="2024-07-13T00:00:00"/>
    <x v="3"/>
    <s v="Anusha Senanayake"/>
    <x v="2"/>
    <x v="2"/>
    <x v="3"/>
    <x v="3"/>
    <n v="11121.32"/>
    <n v="4"/>
    <n v="10"/>
    <n v="44485.279999999999"/>
    <n v="4448.5280000000002"/>
    <n v="40036.752"/>
    <x v="5"/>
    <x v="0"/>
    <s v="Thilini Bandara"/>
  </r>
  <r>
    <s v="ORD-1456"/>
    <d v="2024-07-14T00:00:00"/>
    <x v="3"/>
    <s v="Kumari Wickramasinghe"/>
    <x v="4"/>
    <x v="0"/>
    <x v="3"/>
    <x v="19"/>
    <n v="99629.27"/>
    <n v="1"/>
    <n v="0"/>
    <n v="99629.27"/>
    <n v="0"/>
    <n v="99629.27"/>
    <x v="0"/>
    <x v="0"/>
    <s v="Thilini Bandara"/>
  </r>
  <r>
    <s v="ORD-1457"/>
    <d v="2024-07-15T00:00:00"/>
    <x v="3"/>
    <s v="Bandara Pathirana"/>
    <x v="4"/>
    <x v="0"/>
    <x v="0"/>
    <x v="0"/>
    <n v="1472.65"/>
    <n v="1"/>
    <n v="0"/>
    <n v="1472.65"/>
    <n v="0"/>
    <n v="1472.65"/>
    <x v="2"/>
    <x v="1"/>
    <s v="Thilini Bandara"/>
  </r>
  <r>
    <s v="ORD-1458"/>
    <d v="2024-07-16T00:00:00"/>
    <x v="3"/>
    <s v="Pradeep Bandara"/>
    <x v="5"/>
    <x v="4"/>
    <x v="5"/>
    <x v="32"/>
    <n v="2555.94"/>
    <n v="4"/>
    <n v="5"/>
    <n v="10223.76"/>
    <n v="511.18800000000005"/>
    <n v="9712.5720000000001"/>
    <x v="2"/>
    <x v="3"/>
    <s v="Thilini Bandara"/>
  </r>
  <r>
    <s v="ORD-1459"/>
    <d v="2024-07-17T00:00:00"/>
    <x v="3"/>
    <s v="Sanduni Rajapaksa"/>
    <x v="7"/>
    <x v="6"/>
    <x v="5"/>
    <x v="7"/>
    <n v="4278.3999999999996"/>
    <n v="3"/>
    <n v="15"/>
    <n v="12835.199999999999"/>
    <n v="1925.2799999999997"/>
    <n v="10909.919999999998"/>
    <x v="3"/>
    <x v="2"/>
    <s v="Ruwan Jayasuriya"/>
  </r>
  <r>
    <s v="ORD-1460"/>
    <d v="2024-07-18T00:00:00"/>
    <x v="3"/>
    <s v="Ruwan Pathirana"/>
    <x v="1"/>
    <x v="1"/>
    <x v="0"/>
    <x v="25"/>
    <n v="2473.3000000000002"/>
    <n v="2"/>
    <n v="0"/>
    <n v="4946.6000000000004"/>
    <n v="0"/>
    <n v="4946.6000000000004"/>
    <x v="1"/>
    <x v="3"/>
    <s v="Ruwan Jayasuriya"/>
  </r>
  <r>
    <s v="ORD-1461"/>
    <d v="2024-07-19T00:00:00"/>
    <x v="3"/>
    <s v="Hasini Senanayake"/>
    <x v="0"/>
    <x v="0"/>
    <x v="1"/>
    <x v="35"/>
    <n v="2732.29"/>
    <n v="1"/>
    <n v="5"/>
    <n v="2732.29"/>
    <n v="136.61450000000002"/>
    <n v="2595.6754999999998"/>
    <x v="1"/>
    <x v="0"/>
    <s v="Thilini Bandara"/>
  </r>
  <r>
    <s v="ORD-1462"/>
    <d v="2024-07-20T00:00:00"/>
    <x v="3"/>
    <s v="Kamal Silva"/>
    <x v="3"/>
    <x v="3"/>
    <x v="1"/>
    <x v="16"/>
    <n v="7328.06"/>
    <n v="1"/>
    <n v="0"/>
    <n v="7328.06"/>
    <n v="0"/>
    <n v="7328.06"/>
    <x v="2"/>
    <x v="3"/>
    <s v="Thilini Bandara"/>
  </r>
  <r>
    <s v="ORD-1463"/>
    <d v="2024-07-21T00:00:00"/>
    <x v="3"/>
    <s v="Asela Senanayake"/>
    <x v="0"/>
    <x v="0"/>
    <x v="6"/>
    <x v="14"/>
    <n v="668.24"/>
    <n v="4"/>
    <n v="0"/>
    <n v="2672.96"/>
    <n v="0"/>
    <n v="2672.96"/>
    <x v="1"/>
    <x v="2"/>
    <s v="Thilini Bandara"/>
  </r>
  <r>
    <s v="ORD-1464"/>
    <d v="2024-07-22T00:00:00"/>
    <x v="3"/>
    <s v="Chamara Perera"/>
    <x v="2"/>
    <x v="2"/>
    <x v="5"/>
    <x v="17"/>
    <n v="9877.0499999999993"/>
    <n v="5"/>
    <n v="15"/>
    <n v="49385.25"/>
    <n v="7407.7875000000004"/>
    <n v="41977.462500000001"/>
    <x v="5"/>
    <x v="0"/>
    <s v="Dinesh Silva"/>
  </r>
  <r>
    <s v="ORD-1465"/>
    <d v="2024-07-23T00:00:00"/>
    <x v="3"/>
    <s v="Kasun Fernando"/>
    <x v="1"/>
    <x v="1"/>
    <x v="2"/>
    <x v="8"/>
    <n v="582.38"/>
    <n v="4"/>
    <n v="0"/>
    <n v="2329.52"/>
    <n v="0"/>
    <n v="2329.52"/>
    <x v="0"/>
    <x v="0"/>
    <s v="Thilini Bandara"/>
  </r>
  <r>
    <s v="ORD-1466"/>
    <d v="2024-07-24T00:00:00"/>
    <x v="3"/>
    <s v="Kavindi Kumara"/>
    <x v="1"/>
    <x v="1"/>
    <x v="3"/>
    <x v="18"/>
    <n v="114827.85"/>
    <n v="5"/>
    <n v="0"/>
    <n v="574139.25"/>
    <n v="0"/>
    <n v="574139.25"/>
    <x v="3"/>
    <x v="0"/>
    <s v="Kavya Fernando"/>
  </r>
  <r>
    <s v="ORD-1467"/>
    <d v="2024-07-25T00:00:00"/>
    <x v="3"/>
    <s v="Nadeesha Jayasuriya"/>
    <x v="6"/>
    <x v="5"/>
    <x v="4"/>
    <x v="12"/>
    <n v="4054.19"/>
    <n v="2"/>
    <n v="0"/>
    <n v="8108.38"/>
    <n v="0"/>
    <n v="8108.38"/>
    <x v="0"/>
    <x v="0"/>
    <s v="Thilini Bandara"/>
  </r>
  <r>
    <s v="ORD-1468"/>
    <d v="2024-07-26T00:00:00"/>
    <x v="3"/>
    <s v="Dinesh Wickramasinghe"/>
    <x v="8"/>
    <x v="7"/>
    <x v="3"/>
    <x v="18"/>
    <n v="130961.02"/>
    <n v="5"/>
    <n v="5"/>
    <n v="654805.1"/>
    <n v="32740.255000000001"/>
    <n v="622064.84499999997"/>
    <x v="3"/>
    <x v="1"/>
    <s v="Ruwan Jayasuriya"/>
  </r>
  <r>
    <s v="ORD-1469"/>
    <d v="2024-07-27T00:00:00"/>
    <x v="3"/>
    <s v="Rajith Gunasekara"/>
    <x v="4"/>
    <x v="0"/>
    <x v="6"/>
    <x v="22"/>
    <n v="2402.9499999999998"/>
    <n v="4"/>
    <n v="5"/>
    <n v="9611.7999999999993"/>
    <n v="480.59"/>
    <n v="9131.2099999999991"/>
    <x v="2"/>
    <x v="3"/>
    <s v="Amara Perera"/>
  </r>
  <r>
    <s v="ORD-1470"/>
    <d v="2024-07-28T00:00:00"/>
    <x v="3"/>
    <s v="Dilini Wickramasinghe"/>
    <x v="1"/>
    <x v="1"/>
    <x v="4"/>
    <x v="20"/>
    <n v="5694.6"/>
    <n v="2"/>
    <n v="10"/>
    <n v="11389.2"/>
    <n v="1138.92"/>
    <n v="10250.280000000001"/>
    <x v="2"/>
    <x v="0"/>
    <s v="Thilini Bandara"/>
  </r>
  <r>
    <s v="ORD-1471"/>
    <d v="2024-07-29T00:00:00"/>
    <x v="3"/>
    <s v="Kasun Kumara"/>
    <x v="3"/>
    <x v="3"/>
    <x v="1"/>
    <x v="16"/>
    <n v="7348.82"/>
    <n v="3"/>
    <n v="0"/>
    <n v="22046.46"/>
    <n v="0"/>
    <n v="22046.46"/>
    <x v="0"/>
    <x v="0"/>
    <s v="Ruwan Jayasuriya"/>
  </r>
  <r>
    <s v="ORD-1472"/>
    <d v="2024-07-30T00:00:00"/>
    <x v="3"/>
    <s v="Anusha Jayasuriya"/>
    <x v="2"/>
    <x v="2"/>
    <x v="2"/>
    <x v="27"/>
    <n v="871.54"/>
    <n v="2"/>
    <n v="0"/>
    <n v="1743.08"/>
    <n v="0"/>
    <n v="1743.08"/>
    <x v="1"/>
    <x v="0"/>
    <s v="Dinesh Silva"/>
  </r>
  <r>
    <s v="ORD-1473"/>
    <d v="2024-07-31T00:00:00"/>
    <x v="3"/>
    <s v="Chamara Jayasuriya"/>
    <x v="4"/>
    <x v="0"/>
    <x v="6"/>
    <x v="14"/>
    <n v="693.72"/>
    <n v="3"/>
    <n v="15"/>
    <n v="2081.16"/>
    <n v="312.17399999999998"/>
    <n v="1768.9859999999999"/>
    <x v="5"/>
    <x v="0"/>
    <s v="Amara Perera"/>
  </r>
  <r>
    <s v="ORD-1474"/>
    <d v="2024-08-01T00:00:00"/>
    <x v="4"/>
    <s v="Thilini Gunasekara"/>
    <x v="2"/>
    <x v="2"/>
    <x v="3"/>
    <x v="18"/>
    <n v="130991.83"/>
    <n v="4"/>
    <n v="10"/>
    <n v="523967.32"/>
    <n v="52396.732000000004"/>
    <n v="471570.58799999999"/>
    <x v="0"/>
    <x v="0"/>
    <s v="Ruwan Jayasuriya"/>
  </r>
  <r>
    <s v="ORD-1475"/>
    <d v="2024-08-02T00:00:00"/>
    <x v="4"/>
    <s v="Pradeep Gunasekara"/>
    <x v="9"/>
    <x v="7"/>
    <x v="6"/>
    <x v="9"/>
    <n v="334.62"/>
    <n v="2"/>
    <n v="5"/>
    <n v="669.24"/>
    <n v="33.461999999999996"/>
    <n v="635.77800000000002"/>
    <x v="1"/>
    <x v="0"/>
    <s v="Thilini Bandara"/>
  </r>
  <r>
    <s v="ORD-1476"/>
    <d v="2024-08-03T00:00:00"/>
    <x v="4"/>
    <s v="Roshani Bandara"/>
    <x v="0"/>
    <x v="0"/>
    <x v="5"/>
    <x v="32"/>
    <n v="2446.86"/>
    <n v="2"/>
    <n v="5"/>
    <n v="4893.72"/>
    <n v="244.68600000000004"/>
    <n v="4649.0340000000006"/>
    <x v="5"/>
    <x v="1"/>
    <s v="Thilini Bandara"/>
  </r>
  <r>
    <s v="ORD-1477"/>
    <d v="2024-08-04T00:00:00"/>
    <x v="4"/>
    <s v="Thilak Kumara"/>
    <x v="0"/>
    <x v="0"/>
    <x v="3"/>
    <x v="19"/>
    <n v="89504.3"/>
    <n v="5"/>
    <n v="0"/>
    <n v="447521.5"/>
    <n v="0"/>
    <n v="447521.5"/>
    <x v="3"/>
    <x v="0"/>
    <s v="Thilini Bandara"/>
  </r>
  <r>
    <s v="ORD-1478"/>
    <d v="2024-08-05T00:00:00"/>
    <x v="4"/>
    <s v="Sanduni Bandara"/>
    <x v="3"/>
    <x v="3"/>
    <x v="1"/>
    <x v="16"/>
    <n v="7954.15"/>
    <n v="5"/>
    <n v="5"/>
    <n v="39770.75"/>
    <n v="1988.5374999999999"/>
    <n v="37782.212500000001"/>
    <x v="3"/>
    <x v="0"/>
    <s v="Ruwan Jayasuriya"/>
  </r>
  <r>
    <s v="ORD-1479"/>
    <d v="2024-08-06T00:00:00"/>
    <x v="4"/>
    <s v="Chamara Dissanayake"/>
    <x v="8"/>
    <x v="7"/>
    <x v="2"/>
    <x v="8"/>
    <n v="573.55999999999995"/>
    <n v="2"/>
    <n v="0"/>
    <n v="1147.1199999999999"/>
    <n v="0"/>
    <n v="1147.1199999999999"/>
    <x v="1"/>
    <x v="3"/>
    <s v="Dinesh Silva"/>
  </r>
  <r>
    <s v="ORD-1480"/>
    <d v="2024-08-07T00:00:00"/>
    <x v="4"/>
    <s v="Kavindi Wickramasinghe"/>
    <x v="4"/>
    <x v="0"/>
    <x v="5"/>
    <x v="7"/>
    <n v="4820.68"/>
    <n v="2"/>
    <n v="0"/>
    <n v="9641.36"/>
    <n v="0"/>
    <n v="9641.36"/>
    <x v="1"/>
    <x v="0"/>
    <s v="Amara Perera"/>
  </r>
  <r>
    <s v="ORD-1481"/>
    <d v="2024-08-08T00:00:00"/>
    <x v="4"/>
    <s v="Kumari Gunasekara"/>
    <x v="9"/>
    <x v="7"/>
    <x v="6"/>
    <x v="9"/>
    <n v="352.38"/>
    <n v="3"/>
    <n v="10"/>
    <n v="1057.1399999999999"/>
    <n v="105.71399999999998"/>
    <n v="951.42599999999993"/>
    <x v="3"/>
    <x v="0"/>
    <s v="Thilini Bandara"/>
  </r>
  <r>
    <s v="ORD-1482"/>
    <d v="2024-08-09T00:00:00"/>
    <x v="4"/>
    <s v="Nimali Dissanayake"/>
    <x v="1"/>
    <x v="1"/>
    <x v="0"/>
    <x v="25"/>
    <n v="2280.02"/>
    <n v="3"/>
    <n v="0"/>
    <n v="6840.0599999999995"/>
    <n v="0"/>
    <n v="6840.0599999999995"/>
    <x v="5"/>
    <x v="0"/>
    <s v="Kavya Fernando"/>
  </r>
  <r>
    <s v="ORD-1483"/>
    <d v="2024-08-10T00:00:00"/>
    <x v="4"/>
    <s v="Anusha Rajapaksa"/>
    <x v="7"/>
    <x v="6"/>
    <x v="5"/>
    <x v="32"/>
    <n v="2422.0700000000002"/>
    <n v="4"/>
    <n v="0"/>
    <n v="9688.2800000000007"/>
    <n v="0"/>
    <n v="9688.2800000000007"/>
    <x v="3"/>
    <x v="2"/>
    <s v="Thilini Bandara"/>
  </r>
  <r>
    <s v="ORD-1484"/>
    <d v="2024-08-11T00:00:00"/>
    <x v="4"/>
    <s v="Rajith Senanayake"/>
    <x v="7"/>
    <x v="6"/>
    <x v="1"/>
    <x v="16"/>
    <n v="7768.17"/>
    <n v="5"/>
    <n v="10"/>
    <n v="38840.85"/>
    <n v="3884.085"/>
    <n v="34956.764999999999"/>
    <x v="2"/>
    <x v="0"/>
    <s v="Ruwan Jayasuriya"/>
  </r>
  <r>
    <s v="ORD-1485"/>
    <d v="2024-08-12T00:00:00"/>
    <x v="4"/>
    <s v="Malika Gunasekara"/>
    <x v="9"/>
    <x v="7"/>
    <x v="6"/>
    <x v="14"/>
    <n v="668.28"/>
    <n v="3"/>
    <n v="0"/>
    <n v="2004.84"/>
    <n v="0"/>
    <n v="2004.84"/>
    <x v="0"/>
    <x v="3"/>
    <s v="Ruwan Jayasuriya"/>
  </r>
  <r>
    <s v="ORD-1486"/>
    <d v="2024-08-13T00:00:00"/>
    <x v="4"/>
    <s v="Kamal Fernando"/>
    <x v="8"/>
    <x v="7"/>
    <x v="1"/>
    <x v="16"/>
    <n v="7707.01"/>
    <n v="3"/>
    <n v="0"/>
    <n v="23121.03"/>
    <n v="0"/>
    <n v="23121.03"/>
    <x v="3"/>
    <x v="3"/>
    <s v="Ruwan Jayasuriya"/>
  </r>
  <r>
    <s v="ORD-1487"/>
    <d v="2024-08-14T00:00:00"/>
    <x v="4"/>
    <s v="Saman Rajapaksa"/>
    <x v="2"/>
    <x v="2"/>
    <x v="5"/>
    <x v="7"/>
    <n v="4422.59"/>
    <n v="2"/>
    <n v="15"/>
    <n v="8845.18"/>
    <n v="1326.777"/>
    <n v="7518.4030000000002"/>
    <x v="1"/>
    <x v="1"/>
    <s v="Dinesh Silva"/>
  </r>
  <r>
    <s v="ORD-1488"/>
    <d v="2024-08-15T00:00:00"/>
    <x v="4"/>
    <s v="Pradeep Kumara"/>
    <x v="1"/>
    <x v="1"/>
    <x v="1"/>
    <x v="1"/>
    <n v="4407.34"/>
    <n v="1"/>
    <n v="0"/>
    <n v="4407.34"/>
    <n v="0"/>
    <n v="4407.34"/>
    <x v="2"/>
    <x v="3"/>
    <s v="Amara Perera"/>
  </r>
  <r>
    <s v="ORD-1489"/>
    <d v="2024-08-16T00:00:00"/>
    <x v="4"/>
    <s v="Bandara Bandara"/>
    <x v="1"/>
    <x v="1"/>
    <x v="3"/>
    <x v="36"/>
    <n v="66535.33"/>
    <n v="1"/>
    <n v="0"/>
    <n v="66535.33"/>
    <n v="0"/>
    <n v="66535.33"/>
    <x v="2"/>
    <x v="0"/>
    <s v="Dinesh Silva"/>
  </r>
  <r>
    <s v="ORD-1490"/>
    <d v="2024-08-17T00:00:00"/>
    <x v="4"/>
    <s v="Kavindi Wickramasinghe"/>
    <x v="6"/>
    <x v="5"/>
    <x v="0"/>
    <x v="25"/>
    <n v="2315.64"/>
    <n v="2"/>
    <n v="0"/>
    <n v="4631.28"/>
    <n v="0"/>
    <n v="4631.28"/>
    <x v="5"/>
    <x v="1"/>
    <s v="Kavya Fernando"/>
  </r>
  <r>
    <s v="ORD-1491"/>
    <d v="2024-08-18T00:00:00"/>
    <x v="4"/>
    <s v="Roshani Gunasekara"/>
    <x v="7"/>
    <x v="6"/>
    <x v="2"/>
    <x v="33"/>
    <n v="890.07"/>
    <n v="5"/>
    <n v="15"/>
    <n v="4450.3500000000004"/>
    <n v="667.55250000000001"/>
    <n v="3782.7975000000006"/>
    <x v="0"/>
    <x v="3"/>
    <s v="Ruwan Jayasuriya"/>
  </r>
  <r>
    <s v="ORD-1492"/>
    <d v="2024-08-19T00:00:00"/>
    <x v="4"/>
    <s v="Kavindi Pathirana"/>
    <x v="2"/>
    <x v="2"/>
    <x v="4"/>
    <x v="12"/>
    <n v="4625.8100000000004"/>
    <n v="5"/>
    <n v="0"/>
    <n v="23129.050000000003"/>
    <n v="0"/>
    <n v="23129.050000000003"/>
    <x v="3"/>
    <x v="0"/>
    <s v="Thilini Bandara"/>
  </r>
  <r>
    <s v="ORD-1493"/>
    <d v="2024-08-20T00:00:00"/>
    <x v="4"/>
    <s v="Kamal Gunasekara"/>
    <x v="3"/>
    <x v="3"/>
    <x v="2"/>
    <x v="8"/>
    <n v="571.17999999999995"/>
    <n v="3"/>
    <n v="0"/>
    <n v="1713.54"/>
    <n v="0"/>
    <n v="1713.54"/>
    <x v="5"/>
    <x v="3"/>
    <s v="Dinesh Silva"/>
  </r>
  <r>
    <s v="ORD-1494"/>
    <d v="2024-08-21T00:00:00"/>
    <x v="4"/>
    <s v="Malika Gunasekara"/>
    <x v="7"/>
    <x v="6"/>
    <x v="3"/>
    <x v="19"/>
    <n v="103019.68"/>
    <n v="4"/>
    <n v="0"/>
    <n v="412078.72"/>
    <n v="0"/>
    <n v="412078.72"/>
    <x v="5"/>
    <x v="2"/>
    <s v="Ruwan Jayasuriya"/>
  </r>
  <r>
    <s v="ORD-1495"/>
    <d v="2024-08-22T00:00:00"/>
    <x v="4"/>
    <s v="Nadeesha Jayasuriya"/>
    <x v="0"/>
    <x v="0"/>
    <x v="5"/>
    <x v="32"/>
    <n v="2344.29"/>
    <n v="5"/>
    <n v="15"/>
    <n v="11721.45"/>
    <n v="1758.2175"/>
    <n v="9963.2325000000001"/>
    <x v="2"/>
    <x v="0"/>
    <s v="Dinesh Silva"/>
  </r>
  <r>
    <s v="ORD-1496"/>
    <d v="2024-08-23T00:00:00"/>
    <x v="4"/>
    <s v="Kavindi Pathirana"/>
    <x v="5"/>
    <x v="4"/>
    <x v="6"/>
    <x v="21"/>
    <n v="1699.41"/>
    <n v="1"/>
    <n v="15"/>
    <n v="1699.41"/>
    <n v="254.91150000000002"/>
    <n v="1444.4985000000001"/>
    <x v="1"/>
    <x v="3"/>
    <s v="Thilini Bandara"/>
  </r>
  <r>
    <s v="ORD-1497"/>
    <d v="2024-08-24T00:00:00"/>
    <x v="4"/>
    <s v="Thilini Wickramasinghe"/>
    <x v="3"/>
    <x v="3"/>
    <x v="0"/>
    <x v="6"/>
    <n v="1911.17"/>
    <n v="4"/>
    <n v="0"/>
    <n v="7644.68"/>
    <n v="0"/>
    <n v="7644.68"/>
    <x v="5"/>
    <x v="0"/>
    <s v="Dinesh Silva"/>
  </r>
  <r>
    <s v="ORD-1498"/>
    <d v="2024-08-25T00:00:00"/>
    <x v="4"/>
    <s v="Dilini Pathirana"/>
    <x v="6"/>
    <x v="5"/>
    <x v="5"/>
    <x v="7"/>
    <n v="4294.92"/>
    <n v="5"/>
    <n v="0"/>
    <n v="21474.6"/>
    <n v="0"/>
    <n v="21474.6"/>
    <x v="1"/>
    <x v="0"/>
    <s v="Amara Perera"/>
  </r>
  <r>
    <s v="ORD-1499"/>
    <d v="2024-08-26T00:00:00"/>
    <x v="4"/>
    <s v="Nimali Bandara"/>
    <x v="0"/>
    <x v="0"/>
    <x v="1"/>
    <x v="34"/>
    <n v="1434.63"/>
    <n v="2"/>
    <n v="0"/>
    <n v="2869.26"/>
    <n v="0"/>
    <n v="2869.26"/>
    <x v="5"/>
    <x v="0"/>
    <s v="Amara Perera"/>
  </r>
  <r>
    <s v="ORD-1500"/>
    <d v="2024-08-27T00:00:00"/>
    <x v="4"/>
    <s v="Kasun Gunasekara"/>
    <x v="4"/>
    <x v="0"/>
    <x v="2"/>
    <x v="8"/>
    <n v="577.39"/>
    <n v="4"/>
    <n v="0"/>
    <n v="2309.56"/>
    <n v="0"/>
    <n v="2309.56"/>
    <x v="2"/>
    <x v="1"/>
    <s v="Amara Perera"/>
  </r>
  <r>
    <s v="ORD-1501"/>
    <d v="2024-08-28T00:00:00"/>
    <x v="4"/>
    <s v="Kamal Fernando"/>
    <x v="0"/>
    <x v="0"/>
    <x v="2"/>
    <x v="8"/>
    <n v="548.57000000000005"/>
    <n v="4"/>
    <n v="5"/>
    <n v="2194.2800000000002"/>
    <n v="109.71400000000001"/>
    <n v="2084.5660000000003"/>
    <x v="1"/>
    <x v="2"/>
    <s v="Kavya Fernando"/>
  </r>
  <r>
    <s v="ORD-1502"/>
    <d v="2024-08-29T00:00:00"/>
    <x v="4"/>
    <s v="Kasun Silva"/>
    <x v="4"/>
    <x v="0"/>
    <x v="4"/>
    <x v="23"/>
    <n v="11393.19"/>
    <n v="1"/>
    <n v="10"/>
    <n v="11393.19"/>
    <n v="1139.3190000000002"/>
    <n v="10253.871000000001"/>
    <x v="2"/>
    <x v="1"/>
    <s v="Amara Perera"/>
  </r>
  <r>
    <s v="ORD-1503"/>
    <d v="2024-08-30T00:00:00"/>
    <x v="4"/>
    <s v="Thilini Jayasuriya"/>
    <x v="6"/>
    <x v="5"/>
    <x v="4"/>
    <x v="15"/>
    <n v="3044.28"/>
    <n v="2"/>
    <n v="10"/>
    <n v="6088.56"/>
    <n v="608.85600000000011"/>
    <n v="5479.7040000000006"/>
    <x v="5"/>
    <x v="1"/>
    <s v="Thilini Bandara"/>
  </r>
  <r>
    <s v="ORD-1504"/>
    <d v="2024-08-31T00:00:00"/>
    <x v="4"/>
    <s v="Dilini Wickramasinghe"/>
    <x v="6"/>
    <x v="5"/>
    <x v="0"/>
    <x v="0"/>
    <n v="1409.62"/>
    <n v="1"/>
    <n v="15"/>
    <n v="1409.62"/>
    <n v="211.44299999999998"/>
    <n v="1198.1769999999999"/>
    <x v="1"/>
    <x v="0"/>
    <s v="Dinesh Silva"/>
  </r>
  <r>
    <s v="ORD-1505"/>
    <d v="2024-09-01T00:00:00"/>
    <x v="5"/>
    <s v="Kumari Rajapaksa"/>
    <x v="0"/>
    <x v="0"/>
    <x v="1"/>
    <x v="16"/>
    <n v="8135.51"/>
    <n v="4"/>
    <n v="15"/>
    <n v="32542.04"/>
    <n v="4881.3060000000005"/>
    <n v="27660.734"/>
    <x v="5"/>
    <x v="0"/>
    <s v="Thilini Bandara"/>
  </r>
  <r>
    <s v="ORD-1506"/>
    <d v="2024-09-02T00:00:00"/>
    <x v="5"/>
    <s v="Roshani Kumara"/>
    <x v="2"/>
    <x v="2"/>
    <x v="1"/>
    <x v="16"/>
    <n v="8433.2800000000007"/>
    <n v="2"/>
    <n v="0"/>
    <n v="16866.560000000001"/>
    <n v="0"/>
    <n v="16866.560000000001"/>
    <x v="2"/>
    <x v="0"/>
    <s v="Thilini Bandara"/>
  </r>
  <r>
    <s v="ORD-1507"/>
    <d v="2024-09-03T00:00:00"/>
    <x v="5"/>
    <s v="Dhanushka Perera"/>
    <x v="0"/>
    <x v="0"/>
    <x v="2"/>
    <x v="27"/>
    <n v="832.21"/>
    <n v="1"/>
    <n v="10"/>
    <n v="832.21"/>
    <n v="83.221000000000004"/>
    <n v="748.98900000000003"/>
    <x v="2"/>
    <x v="0"/>
    <s v="Kavya Fernando"/>
  </r>
  <r>
    <s v="ORD-1508"/>
    <d v="2024-09-04T00:00:00"/>
    <x v="5"/>
    <s v="Dhanushka Rajapaksa"/>
    <x v="6"/>
    <x v="5"/>
    <x v="0"/>
    <x v="25"/>
    <n v="2260.6799999999998"/>
    <n v="4"/>
    <n v="5"/>
    <n v="9042.7199999999993"/>
    <n v="452.13599999999997"/>
    <n v="8590.5839999999989"/>
    <x v="1"/>
    <x v="0"/>
    <s v="Amara Perera"/>
  </r>
  <r>
    <s v="ORD-1509"/>
    <d v="2024-09-05T00:00:00"/>
    <x v="5"/>
    <s v="Asela Gunasekara"/>
    <x v="7"/>
    <x v="6"/>
    <x v="2"/>
    <x v="33"/>
    <n v="935.47"/>
    <n v="2"/>
    <n v="0"/>
    <n v="1870.94"/>
    <n v="0"/>
    <n v="1870.94"/>
    <x v="1"/>
    <x v="3"/>
    <s v="Kavya Fernando"/>
  </r>
  <r>
    <s v="ORD-1510"/>
    <d v="2024-09-06T00:00:00"/>
    <x v="5"/>
    <s v="Kavindi Gunasekara"/>
    <x v="3"/>
    <x v="3"/>
    <x v="6"/>
    <x v="9"/>
    <n v="379.01"/>
    <n v="5"/>
    <n v="5"/>
    <n v="1895.05"/>
    <n v="94.752499999999998"/>
    <n v="1800.2974999999999"/>
    <x v="5"/>
    <x v="3"/>
    <s v="Dinesh Silva"/>
  </r>
  <r>
    <s v="ORD-1511"/>
    <d v="2024-09-07T00:00:00"/>
    <x v="5"/>
    <s v="Malika Wickramasinghe"/>
    <x v="7"/>
    <x v="6"/>
    <x v="2"/>
    <x v="8"/>
    <n v="540.09"/>
    <n v="5"/>
    <n v="0"/>
    <n v="2700.4500000000003"/>
    <n v="0"/>
    <n v="2700.4500000000003"/>
    <x v="1"/>
    <x v="0"/>
    <s v="Thilini Bandara"/>
  </r>
  <r>
    <s v="ORD-1512"/>
    <d v="2024-09-08T00:00:00"/>
    <x v="5"/>
    <s v="Nadeesha Jayasuriya"/>
    <x v="8"/>
    <x v="7"/>
    <x v="0"/>
    <x v="29"/>
    <n v="825.33"/>
    <n v="5"/>
    <n v="10"/>
    <n v="4126.6500000000005"/>
    <n v="412.66500000000008"/>
    <n v="3713.9850000000006"/>
    <x v="1"/>
    <x v="3"/>
    <s v="Ruwan Jayasuriya"/>
  </r>
  <r>
    <s v="ORD-1513"/>
    <d v="2024-09-09T00:00:00"/>
    <x v="5"/>
    <s v="Ruwan Senanayake"/>
    <x v="3"/>
    <x v="3"/>
    <x v="2"/>
    <x v="8"/>
    <n v="616.91"/>
    <n v="1"/>
    <n v="0"/>
    <n v="616.91"/>
    <n v="0"/>
    <n v="616.91"/>
    <x v="0"/>
    <x v="1"/>
    <s v="Amara Perera"/>
  </r>
  <r>
    <s v="ORD-1514"/>
    <d v="2024-09-10T00:00:00"/>
    <x v="5"/>
    <s v="Ruwan Fernando"/>
    <x v="0"/>
    <x v="0"/>
    <x v="1"/>
    <x v="34"/>
    <n v="1495.61"/>
    <n v="1"/>
    <n v="15"/>
    <n v="1495.61"/>
    <n v="224.34149999999997"/>
    <n v="1271.2684999999999"/>
    <x v="0"/>
    <x v="1"/>
    <s v="Ruwan Jayasuriya"/>
  </r>
  <r>
    <s v="ORD-1515"/>
    <d v="2024-09-11T00:00:00"/>
    <x v="5"/>
    <s v="Roshani Bandara"/>
    <x v="2"/>
    <x v="2"/>
    <x v="0"/>
    <x v="6"/>
    <n v="1712.14"/>
    <n v="3"/>
    <n v="0"/>
    <n v="5136.42"/>
    <n v="0"/>
    <n v="5136.42"/>
    <x v="0"/>
    <x v="1"/>
    <s v="Amara Perera"/>
  </r>
  <r>
    <s v="ORD-1516"/>
    <d v="2024-09-12T00:00:00"/>
    <x v="5"/>
    <s v="Chamara Pathirana"/>
    <x v="6"/>
    <x v="5"/>
    <x v="6"/>
    <x v="11"/>
    <n v="1490.42"/>
    <n v="1"/>
    <n v="0"/>
    <n v="1490.42"/>
    <n v="0"/>
    <n v="1490.42"/>
    <x v="0"/>
    <x v="1"/>
    <s v="Ruwan Jayasuriya"/>
  </r>
  <r>
    <s v="ORD-1517"/>
    <d v="2024-09-13T00:00:00"/>
    <x v="5"/>
    <s v="Asela Perera"/>
    <x v="2"/>
    <x v="2"/>
    <x v="2"/>
    <x v="33"/>
    <n v="817.32"/>
    <n v="1"/>
    <n v="0"/>
    <n v="817.32"/>
    <n v="0"/>
    <n v="817.32"/>
    <x v="5"/>
    <x v="0"/>
    <s v="Thilini Bandara"/>
  </r>
  <r>
    <s v="ORD-1518"/>
    <d v="2024-09-14T00:00:00"/>
    <x v="5"/>
    <s v="Dilini Kumara"/>
    <x v="4"/>
    <x v="0"/>
    <x v="5"/>
    <x v="7"/>
    <n v="4220.51"/>
    <n v="5"/>
    <n v="10"/>
    <n v="21102.550000000003"/>
    <n v="2110.2550000000001"/>
    <n v="18992.295000000002"/>
    <x v="1"/>
    <x v="3"/>
    <s v="Dinesh Silva"/>
  </r>
  <r>
    <s v="ORD-1519"/>
    <d v="2024-09-15T00:00:00"/>
    <x v="5"/>
    <s v="Kavindi Bandara"/>
    <x v="5"/>
    <x v="4"/>
    <x v="0"/>
    <x v="29"/>
    <n v="842.61"/>
    <n v="5"/>
    <n v="0"/>
    <n v="4213.05"/>
    <n v="0"/>
    <n v="4213.05"/>
    <x v="2"/>
    <x v="1"/>
    <s v="Ruwan Jayasuriya"/>
  </r>
  <r>
    <s v="ORD-1520"/>
    <d v="2024-09-16T00:00:00"/>
    <x v="5"/>
    <s v="Sanduni Fernando"/>
    <x v="7"/>
    <x v="6"/>
    <x v="4"/>
    <x v="12"/>
    <n v="4353.76"/>
    <n v="2"/>
    <n v="0"/>
    <n v="8707.52"/>
    <n v="0"/>
    <n v="8707.52"/>
    <x v="0"/>
    <x v="0"/>
    <s v="Kavya Fernando"/>
  </r>
  <r>
    <s v="ORD-1521"/>
    <d v="2024-09-17T00:00:00"/>
    <x v="5"/>
    <s v="Hasini Rajapaksa"/>
    <x v="8"/>
    <x v="7"/>
    <x v="4"/>
    <x v="23"/>
    <n v="12782.77"/>
    <n v="3"/>
    <n v="0"/>
    <n v="38348.31"/>
    <n v="0"/>
    <n v="38348.31"/>
    <x v="1"/>
    <x v="3"/>
    <s v="Thilini Bandara"/>
  </r>
  <r>
    <s v="ORD-1522"/>
    <d v="2024-09-18T00:00:00"/>
    <x v="5"/>
    <s v="Bandara Bandara"/>
    <x v="3"/>
    <x v="3"/>
    <x v="2"/>
    <x v="8"/>
    <n v="593.70000000000005"/>
    <n v="4"/>
    <n v="0"/>
    <n v="2374.8000000000002"/>
    <n v="0"/>
    <n v="2374.8000000000002"/>
    <x v="5"/>
    <x v="0"/>
    <s v="Thilini Bandara"/>
  </r>
  <r>
    <s v="ORD-1523"/>
    <d v="2024-09-19T00:00:00"/>
    <x v="5"/>
    <s v="Dinesh Fernando"/>
    <x v="3"/>
    <x v="3"/>
    <x v="3"/>
    <x v="36"/>
    <n v="71297.13"/>
    <n v="2"/>
    <n v="10"/>
    <n v="142594.26"/>
    <n v="14259.426000000001"/>
    <n v="128334.834"/>
    <x v="5"/>
    <x v="2"/>
    <s v="Kavya Fernando"/>
  </r>
  <r>
    <s v="ORD-1524"/>
    <d v="2024-09-20T00:00:00"/>
    <x v="5"/>
    <s v="Dinesh Bandara"/>
    <x v="2"/>
    <x v="2"/>
    <x v="5"/>
    <x v="24"/>
    <n v="3216"/>
    <n v="4"/>
    <n v="0"/>
    <n v="12864"/>
    <n v="0"/>
    <n v="12864"/>
    <x v="1"/>
    <x v="0"/>
    <s v="Kavya Fernando"/>
  </r>
  <r>
    <s v="ORD-1525"/>
    <d v="2024-09-21T00:00:00"/>
    <x v="5"/>
    <s v="Rajith Jayasuriya"/>
    <x v="4"/>
    <x v="0"/>
    <x v="2"/>
    <x v="31"/>
    <n v="1102.06"/>
    <n v="4"/>
    <n v="15"/>
    <n v="4408.24"/>
    <n v="661.23599999999988"/>
    <n v="3747.0039999999999"/>
    <x v="1"/>
    <x v="1"/>
    <s v="Amara Perera"/>
  </r>
  <r>
    <s v="ORD-1526"/>
    <d v="2024-09-22T00:00:00"/>
    <x v="5"/>
    <s v="Thilak Gunasekara"/>
    <x v="9"/>
    <x v="7"/>
    <x v="4"/>
    <x v="12"/>
    <n v="4787.5600000000004"/>
    <n v="1"/>
    <n v="5"/>
    <n v="4787.5600000000004"/>
    <n v="239.37800000000004"/>
    <n v="4548.1820000000007"/>
    <x v="3"/>
    <x v="0"/>
    <s v="Thilini Bandara"/>
  </r>
  <r>
    <s v="ORD-1527"/>
    <d v="2024-09-23T00:00:00"/>
    <x v="5"/>
    <s v="Kamal Perera"/>
    <x v="8"/>
    <x v="7"/>
    <x v="2"/>
    <x v="8"/>
    <n v="589.98"/>
    <n v="1"/>
    <n v="0"/>
    <n v="589.98"/>
    <n v="0"/>
    <n v="589.98"/>
    <x v="0"/>
    <x v="0"/>
    <s v="Ruwan Jayasuriya"/>
  </r>
  <r>
    <s v="ORD-1528"/>
    <d v="2024-09-24T00:00:00"/>
    <x v="5"/>
    <s v="Malika Bandara"/>
    <x v="0"/>
    <x v="0"/>
    <x v="2"/>
    <x v="33"/>
    <n v="911.68"/>
    <n v="3"/>
    <n v="15"/>
    <n v="2735.04"/>
    <n v="410.25599999999997"/>
    <n v="2324.7840000000001"/>
    <x v="1"/>
    <x v="0"/>
    <s v="Amara Perera"/>
  </r>
  <r>
    <s v="ORD-1529"/>
    <d v="2024-09-25T00:00:00"/>
    <x v="5"/>
    <s v="Kavindi Dissanayake"/>
    <x v="6"/>
    <x v="5"/>
    <x v="6"/>
    <x v="9"/>
    <n v="355.27"/>
    <n v="1"/>
    <n v="0"/>
    <n v="355.27"/>
    <n v="0"/>
    <n v="355.27"/>
    <x v="2"/>
    <x v="0"/>
    <s v="Ruwan Jayasuriya"/>
  </r>
  <r>
    <s v="ORD-1530"/>
    <d v="2024-09-26T00:00:00"/>
    <x v="5"/>
    <s v="Ruwan Rajapaksa"/>
    <x v="1"/>
    <x v="1"/>
    <x v="4"/>
    <x v="12"/>
    <n v="4720.78"/>
    <n v="5"/>
    <n v="10"/>
    <n v="23603.899999999998"/>
    <n v="2360.39"/>
    <n v="21243.51"/>
    <x v="3"/>
    <x v="0"/>
    <s v="Ruwan Jayasuriya"/>
  </r>
  <r>
    <s v="ORD-1531"/>
    <d v="2024-09-27T00:00:00"/>
    <x v="5"/>
    <s v="Kumari Kumara"/>
    <x v="9"/>
    <x v="7"/>
    <x v="6"/>
    <x v="14"/>
    <n v="647.52"/>
    <n v="2"/>
    <n v="0"/>
    <n v="1295.04"/>
    <n v="0"/>
    <n v="1295.04"/>
    <x v="2"/>
    <x v="1"/>
    <s v="Thilini Bandara"/>
  </r>
  <r>
    <s v="ORD-1532"/>
    <d v="2024-09-28T00:00:00"/>
    <x v="5"/>
    <s v="Hasini Senanayake"/>
    <x v="7"/>
    <x v="6"/>
    <x v="1"/>
    <x v="1"/>
    <n v="4114.4799999999996"/>
    <n v="4"/>
    <n v="15"/>
    <n v="16457.919999999998"/>
    <n v="2468.6880000000001"/>
    <n v="13989.231999999998"/>
    <x v="0"/>
    <x v="0"/>
    <s v="Amara Perera"/>
  </r>
  <r>
    <s v="ORD-1533"/>
    <d v="2024-09-29T00:00:00"/>
    <x v="5"/>
    <s v="Kumari Dissanayake"/>
    <x v="8"/>
    <x v="7"/>
    <x v="2"/>
    <x v="27"/>
    <n v="771.32"/>
    <n v="5"/>
    <n v="0"/>
    <n v="3856.6000000000004"/>
    <n v="0"/>
    <n v="3856.6000000000004"/>
    <x v="5"/>
    <x v="2"/>
    <s v="Kavya Fernando"/>
  </r>
  <r>
    <s v="ORD-1534"/>
    <d v="2024-09-30T00:00:00"/>
    <x v="5"/>
    <s v="Anusha Senanayake"/>
    <x v="6"/>
    <x v="5"/>
    <x v="5"/>
    <x v="24"/>
    <n v="3458.32"/>
    <n v="2"/>
    <n v="0"/>
    <n v="6916.64"/>
    <n v="0"/>
    <n v="6916.64"/>
    <x v="3"/>
    <x v="0"/>
    <s v="Amara Perera"/>
  </r>
  <r>
    <s v="ORD-1535"/>
    <d v="2024-10-01T00:00:00"/>
    <x v="6"/>
    <s v="Kavindi Perera"/>
    <x v="4"/>
    <x v="0"/>
    <x v="5"/>
    <x v="24"/>
    <n v="3758.13"/>
    <n v="3"/>
    <n v="0"/>
    <n v="11274.39"/>
    <n v="0"/>
    <n v="11274.39"/>
    <x v="3"/>
    <x v="1"/>
    <s v="Amara Perera"/>
  </r>
  <r>
    <s v="ORD-1536"/>
    <d v="2024-10-02T00:00:00"/>
    <x v="6"/>
    <s v="Saman Gunasekara"/>
    <x v="0"/>
    <x v="0"/>
    <x v="2"/>
    <x v="27"/>
    <n v="838.4"/>
    <n v="2"/>
    <n v="10"/>
    <n v="1676.8"/>
    <n v="167.68"/>
    <n v="1509.12"/>
    <x v="0"/>
    <x v="3"/>
    <s v="Kavya Fernando"/>
  </r>
  <r>
    <s v="ORD-1537"/>
    <d v="2024-10-03T00:00:00"/>
    <x v="6"/>
    <s v="Roshani Senanayake"/>
    <x v="9"/>
    <x v="7"/>
    <x v="0"/>
    <x v="29"/>
    <n v="780.26"/>
    <n v="5"/>
    <n v="0"/>
    <n v="3901.3"/>
    <n v="0"/>
    <n v="3901.3"/>
    <x v="3"/>
    <x v="0"/>
    <s v="Amara Perera"/>
  </r>
  <r>
    <s v="ORD-1538"/>
    <d v="2024-10-04T00:00:00"/>
    <x v="6"/>
    <s v="Chamara Kumara"/>
    <x v="2"/>
    <x v="2"/>
    <x v="2"/>
    <x v="2"/>
    <n v="2482.48"/>
    <n v="1"/>
    <n v="15"/>
    <n v="2482.48"/>
    <n v="372.37199999999996"/>
    <n v="2110.1080000000002"/>
    <x v="2"/>
    <x v="1"/>
    <s v="Kavya Fernando"/>
  </r>
  <r>
    <s v="ORD-1539"/>
    <d v="2024-10-05T00:00:00"/>
    <x v="6"/>
    <s v="Thilini Rajapaksa"/>
    <x v="1"/>
    <x v="1"/>
    <x v="3"/>
    <x v="36"/>
    <n v="69776.34"/>
    <n v="4"/>
    <n v="0"/>
    <n v="279105.36"/>
    <n v="0"/>
    <n v="279105.36"/>
    <x v="2"/>
    <x v="3"/>
    <s v="Amara Perera"/>
  </r>
  <r>
    <s v="ORD-1540"/>
    <d v="2024-10-06T00:00:00"/>
    <x v="6"/>
    <s v="Roshani Senanayake"/>
    <x v="7"/>
    <x v="6"/>
    <x v="3"/>
    <x v="5"/>
    <n v="140966.26"/>
    <n v="4"/>
    <n v="10"/>
    <n v="563865.04"/>
    <n v="56386.504000000001"/>
    <n v="507478.53600000002"/>
    <x v="5"/>
    <x v="0"/>
    <s v="Dinesh Silva"/>
  </r>
  <r>
    <s v="ORD-1541"/>
    <d v="2024-10-07T00:00:00"/>
    <x v="6"/>
    <s v="Malika Rajapaksa"/>
    <x v="6"/>
    <x v="5"/>
    <x v="4"/>
    <x v="20"/>
    <n v="4970.21"/>
    <n v="3"/>
    <n v="0"/>
    <n v="14910.630000000001"/>
    <n v="0"/>
    <n v="14910.630000000001"/>
    <x v="3"/>
    <x v="0"/>
    <s v="Thilini Bandara"/>
  </r>
  <r>
    <s v="ORD-1542"/>
    <d v="2024-10-08T00:00:00"/>
    <x v="6"/>
    <s v="Nimali Pathirana"/>
    <x v="3"/>
    <x v="3"/>
    <x v="4"/>
    <x v="4"/>
    <n v="3810.9"/>
    <n v="3"/>
    <n v="15"/>
    <n v="11432.7"/>
    <n v="1714.905"/>
    <n v="9717.7950000000001"/>
    <x v="1"/>
    <x v="0"/>
    <s v="Ruwan Jayasuriya"/>
  </r>
  <r>
    <s v="ORD-1543"/>
    <d v="2024-10-09T00:00:00"/>
    <x v="6"/>
    <s v="Ruwan Silva"/>
    <x v="5"/>
    <x v="4"/>
    <x v="5"/>
    <x v="17"/>
    <n v="10208.129999999999"/>
    <n v="2"/>
    <n v="5"/>
    <n v="20416.259999999998"/>
    <n v="1020.8129999999999"/>
    <n v="19395.447"/>
    <x v="1"/>
    <x v="3"/>
    <s v="Dinesh Silva"/>
  </r>
  <r>
    <s v="ORD-1544"/>
    <d v="2024-10-10T00:00:00"/>
    <x v="6"/>
    <s v="Malika Senanayake"/>
    <x v="8"/>
    <x v="7"/>
    <x v="4"/>
    <x v="12"/>
    <n v="4168.59"/>
    <n v="2"/>
    <n v="0"/>
    <n v="8337.18"/>
    <n v="0"/>
    <n v="8337.18"/>
    <x v="0"/>
    <x v="1"/>
    <s v="Dinesh Silva"/>
  </r>
  <r>
    <s v="ORD-1545"/>
    <d v="2024-10-11T00:00:00"/>
    <x v="6"/>
    <s v="Malika Kumara"/>
    <x v="7"/>
    <x v="6"/>
    <x v="1"/>
    <x v="35"/>
    <n v="2747.84"/>
    <n v="2"/>
    <n v="0"/>
    <n v="5495.68"/>
    <n v="0"/>
    <n v="5495.68"/>
    <x v="0"/>
    <x v="0"/>
    <s v="Kavya Fernando"/>
  </r>
  <r>
    <s v="ORD-1546"/>
    <d v="2024-10-12T00:00:00"/>
    <x v="6"/>
    <s v="Hasini Bandara"/>
    <x v="1"/>
    <x v="1"/>
    <x v="1"/>
    <x v="16"/>
    <n v="8543.24"/>
    <n v="2"/>
    <n v="0"/>
    <n v="17086.48"/>
    <n v="0"/>
    <n v="17086.48"/>
    <x v="3"/>
    <x v="0"/>
    <s v="Ruwan Jayasuriya"/>
  </r>
  <r>
    <s v="ORD-1547"/>
    <d v="2024-10-13T00:00:00"/>
    <x v="6"/>
    <s v="Saman Kumara"/>
    <x v="3"/>
    <x v="3"/>
    <x v="1"/>
    <x v="1"/>
    <n v="4146.09"/>
    <n v="2"/>
    <n v="10"/>
    <n v="8292.18"/>
    <n v="829.21800000000007"/>
    <n v="7462.9620000000004"/>
    <x v="0"/>
    <x v="3"/>
    <s v="Kavya Fernando"/>
  </r>
  <r>
    <s v="ORD-1548"/>
    <d v="2024-10-14T00:00:00"/>
    <x v="6"/>
    <s v="Rajith Senanayake"/>
    <x v="4"/>
    <x v="0"/>
    <x v="5"/>
    <x v="24"/>
    <n v="3311.64"/>
    <n v="1"/>
    <n v="0"/>
    <n v="3311.64"/>
    <n v="0"/>
    <n v="3311.64"/>
    <x v="5"/>
    <x v="1"/>
    <s v="Ruwan Jayasuriya"/>
  </r>
  <r>
    <s v="ORD-1549"/>
    <d v="2024-10-15T00:00:00"/>
    <x v="6"/>
    <s v="Dinesh Senanayake"/>
    <x v="6"/>
    <x v="5"/>
    <x v="0"/>
    <x v="0"/>
    <n v="1405.19"/>
    <n v="4"/>
    <n v="0"/>
    <n v="5620.76"/>
    <n v="0"/>
    <n v="5620.76"/>
    <x v="2"/>
    <x v="0"/>
    <s v="Dinesh Silva"/>
  </r>
  <r>
    <s v="ORD-1550"/>
    <d v="2024-10-16T00:00:00"/>
    <x v="6"/>
    <s v="Ishara Perera"/>
    <x v="5"/>
    <x v="4"/>
    <x v="6"/>
    <x v="11"/>
    <n v="1627.63"/>
    <n v="4"/>
    <n v="0"/>
    <n v="6510.52"/>
    <n v="0"/>
    <n v="6510.52"/>
    <x v="1"/>
    <x v="2"/>
    <s v="Dinesh Silva"/>
  </r>
  <r>
    <s v="ORD-1551"/>
    <d v="2024-10-17T00:00:00"/>
    <x v="6"/>
    <s v="Sanduni Gunasekara"/>
    <x v="2"/>
    <x v="2"/>
    <x v="4"/>
    <x v="15"/>
    <n v="3005.39"/>
    <n v="2"/>
    <n v="10"/>
    <n v="6010.78"/>
    <n v="601.07799999999997"/>
    <n v="5409.7019999999993"/>
    <x v="2"/>
    <x v="2"/>
    <s v="Amara Perera"/>
  </r>
  <r>
    <s v="ORD-1552"/>
    <d v="2024-10-18T00:00:00"/>
    <x v="6"/>
    <s v="Kavindi Dissanayake"/>
    <x v="8"/>
    <x v="7"/>
    <x v="4"/>
    <x v="12"/>
    <n v="4895.2299999999996"/>
    <n v="5"/>
    <n v="10"/>
    <n v="24476.149999999998"/>
    <n v="2447.6149999999998"/>
    <n v="22028.534999999996"/>
    <x v="0"/>
    <x v="3"/>
    <s v="Amara Perera"/>
  </r>
  <r>
    <s v="ORD-1553"/>
    <d v="2024-10-19T00:00:00"/>
    <x v="6"/>
    <s v="Dilini Gunasekara"/>
    <x v="6"/>
    <x v="5"/>
    <x v="6"/>
    <x v="11"/>
    <n v="1613.33"/>
    <n v="2"/>
    <n v="10"/>
    <n v="3226.66"/>
    <n v="322.666"/>
    <n v="2903.9939999999997"/>
    <x v="0"/>
    <x v="0"/>
    <s v="Amara Perera"/>
  </r>
  <r>
    <s v="ORD-1554"/>
    <d v="2024-10-20T00:00:00"/>
    <x v="6"/>
    <s v="Bandara Bandara"/>
    <x v="0"/>
    <x v="0"/>
    <x v="1"/>
    <x v="16"/>
    <n v="7903.29"/>
    <n v="3"/>
    <n v="0"/>
    <n v="23709.87"/>
    <n v="0"/>
    <n v="23709.87"/>
    <x v="2"/>
    <x v="0"/>
    <s v="Ruwan Jayasuriya"/>
  </r>
  <r>
    <s v="ORD-1555"/>
    <d v="2024-10-21T00:00:00"/>
    <x v="6"/>
    <s v="Nadeesha Perera"/>
    <x v="7"/>
    <x v="6"/>
    <x v="1"/>
    <x v="35"/>
    <n v="2664.95"/>
    <n v="4"/>
    <n v="10"/>
    <n v="10659.8"/>
    <n v="1065.98"/>
    <n v="9593.82"/>
    <x v="0"/>
    <x v="0"/>
    <s v="Dinesh Silva"/>
  </r>
  <r>
    <s v="ORD-1556"/>
    <d v="2024-10-22T00:00:00"/>
    <x v="6"/>
    <s v="Asela Bandara"/>
    <x v="9"/>
    <x v="7"/>
    <x v="4"/>
    <x v="23"/>
    <n v="11576.31"/>
    <n v="1"/>
    <n v="5"/>
    <n v="11576.31"/>
    <n v="578.81549999999993"/>
    <n v="10997.494499999999"/>
    <x v="2"/>
    <x v="3"/>
    <s v="Dinesh Silva"/>
  </r>
  <r>
    <s v="ORD-1557"/>
    <d v="2024-10-23T00:00:00"/>
    <x v="6"/>
    <s v="Kamal Wickramasinghe"/>
    <x v="8"/>
    <x v="7"/>
    <x v="0"/>
    <x v="25"/>
    <n v="2609.19"/>
    <n v="1"/>
    <n v="15"/>
    <n v="2609.19"/>
    <n v="391.37849999999997"/>
    <n v="2217.8115000000003"/>
    <x v="5"/>
    <x v="1"/>
    <s v="Ruwan Jayasuriya"/>
  </r>
  <r>
    <s v="ORD-1558"/>
    <d v="2024-10-24T00:00:00"/>
    <x v="6"/>
    <s v="Anusha Silva"/>
    <x v="7"/>
    <x v="6"/>
    <x v="0"/>
    <x v="13"/>
    <n v="1254.45"/>
    <n v="5"/>
    <n v="5"/>
    <n v="6272.25"/>
    <n v="313.61250000000001"/>
    <n v="5958.6374999999998"/>
    <x v="1"/>
    <x v="0"/>
    <s v="Thilini Bandara"/>
  </r>
  <r>
    <s v="ORD-1559"/>
    <d v="2024-10-25T00:00:00"/>
    <x v="6"/>
    <s v="Nimali Fernando"/>
    <x v="8"/>
    <x v="7"/>
    <x v="5"/>
    <x v="24"/>
    <n v="3263.49"/>
    <n v="2"/>
    <n v="0"/>
    <n v="6526.98"/>
    <n v="0"/>
    <n v="6526.98"/>
    <x v="5"/>
    <x v="0"/>
    <s v="Kavya Fernando"/>
  </r>
  <r>
    <s v="ORD-1560"/>
    <d v="2024-10-26T00:00:00"/>
    <x v="6"/>
    <s v="Kavindi Gunasekara"/>
    <x v="3"/>
    <x v="3"/>
    <x v="0"/>
    <x v="25"/>
    <n v="2308.7800000000002"/>
    <n v="2"/>
    <n v="0"/>
    <n v="4617.5600000000004"/>
    <n v="0"/>
    <n v="4617.5600000000004"/>
    <x v="5"/>
    <x v="3"/>
    <s v="Kavya Fernando"/>
  </r>
  <r>
    <s v="ORD-1561"/>
    <d v="2024-10-27T00:00:00"/>
    <x v="6"/>
    <s v="Saman Gunasekara"/>
    <x v="6"/>
    <x v="5"/>
    <x v="5"/>
    <x v="30"/>
    <n v="8683.57"/>
    <n v="4"/>
    <n v="5"/>
    <n v="34734.28"/>
    <n v="1736.7139999999999"/>
    <n v="32997.565999999999"/>
    <x v="1"/>
    <x v="3"/>
    <s v="Ruwan Jayasuriya"/>
  </r>
  <r>
    <s v="ORD-1562"/>
    <d v="2024-10-28T00:00:00"/>
    <x v="6"/>
    <s v="Kumari Gunasekara"/>
    <x v="1"/>
    <x v="1"/>
    <x v="5"/>
    <x v="17"/>
    <n v="8562.49"/>
    <n v="5"/>
    <n v="0"/>
    <n v="42812.45"/>
    <n v="0"/>
    <n v="42812.45"/>
    <x v="0"/>
    <x v="1"/>
    <s v="Thilini Bandara"/>
  </r>
  <r>
    <s v="ORD-1563"/>
    <d v="2024-10-29T00:00:00"/>
    <x v="6"/>
    <s v="Nimali Fernando"/>
    <x v="9"/>
    <x v="7"/>
    <x v="3"/>
    <x v="19"/>
    <n v="92131.38"/>
    <n v="2"/>
    <n v="0"/>
    <n v="184262.76"/>
    <n v="0"/>
    <n v="184262.76"/>
    <x v="0"/>
    <x v="2"/>
    <s v="Thilini Bandara"/>
  </r>
  <r>
    <s v="ORD-1564"/>
    <d v="2024-10-30T00:00:00"/>
    <x v="6"/>
    <s v="Thilak Silva"/>
    <x v="0"/>
    <x v="0"/>
    <x v="3"/>
    <x v="3"/>
    <n v="13184.96"/>
    <n v="2"/>
    <n v="10"/>
    <n v="26369.919999999998"/>
    <n v="2636.9919999999997"/>
    <n v="23732.928"/>
    <x v="3"/>
    <x v="3"/>
    <s v="Thilini Bandara"/>
  </r>
  <r>
    <s v="ORD-1565"/>
    <d v="2024-10-31T00:00:00"/>
    <x v="6"/>
    <s v="Hasini Fernando"/>
    <x v="6"/>
    <x v="5"/>
    <x v="0"/>
    <x v="6"/>
    <n v="1749.67"/>
    <n v="1"/>
    <n v="5"/>
    <n v="1749.67"/>
    <n v="87.483500000000006"/>
    <n v="1662.1865"/>
    <x v="3"/>
    <x v="0"/>
    <s v="Kavya Fernando"/>
  </r>
  <r>
    <s v="ORD-1566"/>
    <d v="2024-11-01T00:00:00"/>
    <x v="7"/>
    <s v="Kamal Dissanayake"/>
    <x v="7"/>
    <x v="6"/>
    <x v="3"/>
    <x v="36"/>
    <n v="64620.62"/>
    <n v="1"/>
    <n v="5"/>
    <n v="64620.62"/>
    <n v="3231.0310000000004"/>
    <n v="61389.589"/>
    <x v="3"/>
    <x v="0"/>
    <s v="Thilini Bandara"/>
  </r>
  <r>
    <s v="ORD-1567"/>
    <d v="2024-11-02T00:00:00"/>
    <x v="7"/>
    <s v="Dinesh Jayasuriya"/>
    <x v="4"/>
    <x v="0"/>
    <x v="5"/>
    <x v="30"/>
    <n v="7835.81"/>
    <n v="5"/>
    <n v="15"/>
    <n v="39179.050000000003"/>
    <n v="5876.8575000000001"/>
    <n v="33302.192500000005"/>
    <x v="2"/>
    <x v="1"/>
    <s v="Thilini Bandara"/>
  </r>
  <r>
    <s v="ORD-1568"/>
    <d v="2024-11-03T00:00:00"/>
    <x v="7"/>
    <s v="Malika Dissanayake"/>
    <x v="2"/>
    <x v="2"/>
    <x v="6"/>
    <x v="22"/>
    <n v="2094.25"/>
    <n v="5"/>
    <n v="10"/>
    <n v="10471.25"/>
    <n v="1047.125"/>
    <n v="9424.125"/>
    <x v="3"/>
    <x v="0"/>
    <s v="Thilini Bandara"/>
  </r>
  <r>
    <s v="ORD-1569"/>
    <d v="2024-11-04T00:00:00"/>
    <x v="7"/>
    <s v="Roshani Bandara"/>
    <x v="6"/>
    <x v="5"/>
    <x v="4"/>
    <x v="20"/>
    <n v="5922.03"/>
    <n v="2"/>
    <n v="0"/>
    <n v="11844.06"/>
    <n v="0"/>
    <n v="11844.06"/>
    <x v="3"/>
    <x v="0"/>
    <s v="Amara Perera"/>
  </r>
  <r>
    <s v="ORD-1570"/>
    <d v="2024-11-05T00:00:00"/>
    <x v="7"/>
    <s v="Kasun Gunasekara"/>
    <x v="1"/>
    <x v="1"/>
    <x v="0"/>
    <x v="25"/>
    <n v="2649.78"/>
    <n v="4"/>
    <n v="10"/>
    <n v="10599.12"/>
    <n v="1059.912"/>
    <n v="9539.2080000000005"/>
    <x v="5"/>
    <x v="0"/>
    <s v="Kavya Fernando"/>
  </r>
  <r>
    <s v="ORD-1571"/>
    <d v="2024-11-06T00:00:00"/>
    <x v="7"/>
    <s v="Dhanushka Jayasuriya"/>
    <x v="0"/>
    <x v="0"/>
    <x v="0"/>
    <x v="25"/>
    <n v="2595.0100000000002"/>
    <n v="3"/>
    <n v="10"/>
    <n v="7785.0300000000007"/>
    <n v="778.50300000000004"/>
    <n v="7006.527000000001"/>
    <x v="3"/>
    <x v="0"/>
    <s v="Thilini Bandara"/>
  </r>
  <r>
    <s v="ORD-1572"/>
    <d v="2024-11-07T00:00:00"/>
    <x v="7"/>
    <s v="Thilak Perera"/>
    <x v="1"/>
    <x v="1"/>
    <x v="0"/>
    <x v="0"/>
    <n v="1452.41"/>
    <n v="5"/>
    <n v="0"/>
    <n v="7262.05"/>
    <n v="0"/>
    <n v="7262.05"/>
    <x v="5"/>
    <x v="2"/>
    <s v="Dinesh Silva"/>
  </r>
  <r>
    <s v="ORD-1573"/>
    <d v="2024-11-08T00:00:00"/>
    <x v="7"/>
    <s v="Thilak Rajapaksa"/>
    <x v="6"/>
    <x v="5"/>
    <x v="4"/>
    <x v="4"/>
    <n v="3601.96"/>
    <n v="4"/>
    <n v="0"/>
    <n v="14407.84"/>
    <n v="0"/>
    <n v="14407.84"/>
    <x v="2"/>
    <x v="2"/>
    <s v="Thilini Bandara"/>
  </r>
  <r>
    <s v="ORD-1574"/>
    <d v="2024-11-09T00:00:00"/>
    <x v="7"/>
    <s v="Saman Dissanayake"/>
    <x v="0"/>
    <x v="0"/>
    <x v="6"/>
    <x v="9"/>
    <n v="335.95"/>
    <n v="3"/>
    <n v="10"/>
    <n v="1007.8499999999999"/>
    <n v="100.785"/>
    <n v="907.06499999999994"/>
    <x v="0"/>
    <x v="0"/>
    <s v="Dinesh Silva"/>
  </r>
  <r>
    <s v="ORD-1575"/>
    <d v="2024-11-10T00:00:00"/>
    <x v="7"/>
    <s v="Thilini Rajapaksa"/>
    <x v="8"/>
    <x v="7"/>
    <x v="3"/>
    <x v="5"/>
    <n v="143413.79999999999"/>
    <n v="1"/>
    <n v="0"/>
    <n v="143413.79999999999"/>
    <n v="0"/>
    <n v="143413.79999999999"/>
    <x v="2"/>
    <x v="1"/>
    <s v="Thilini Bandara"/>
  </r>
  <r>
    <s v="ORD-1576"/>
    <d v="2024-11-11T00:00:00"/>
    <x v="7"/>
    <s v="Rajith Senanayake"/>
    <x v="5"/>
    <x v="4"/>
    <x v="1"/>
    <x v="28"/>
    <n v="4616.84"/>
    <n v="3"/>
    <n v="0"/>
    <n v="13850.52"/>
    <n v="0"/>
    <n v="13850.52"/>
    <x v="3"/>
    <x v="1"/>
    <s v="Amara Perera"/>
  </r>
  <r>
    <s v="ORD-1577"/>
    <d v="2024-11-12T00:00:00"/>
    <x v="7"/>
    <s v="Kumari Silva"/>
    <x v="6"/>
    <x v="5"/>
    <x v="1"/>
    <x v="16"/>
    <n v="7923.05"/>
    <n v="3"/>
    <n v="0"/>
    <n v="23769.15"/>
    <n v="0"/>
    <n v="23769.15"/>
    <x v="0"/>
    <x v="0"/>
    <s v="Dinesh Silva"/>
  </r>
  <r>
    <s v="ORD-1578"/>
    <d v="2024-11-13T00:00:00"/>
    <x v="7"/>
    <s v="Anusha Perera"/>
    <x v="4"/>
    <x v="0"/>
    <x v="3"/>
    <x v="3"/>
    <n v="12014.39"/>
    <n v="4"/>
    <n v="5"/>
    <n v="48057.56"/>
    <n v="2402.8779999999997"/>
    <n v="45654.682000000001"/>
    <x v="1"/>
    <x v="0"/>
    <s v="Kavya Fernando"/>
  </r>
  <r>
    <s v="ORD-1579"/>
    <d v="2024-11-14T00:00:00"/>
    <x v="7"/>
    <s v="Kavindi Bandara"/>
    <x v="3"/>
    <x v="3"/>
    <x v="6"/>
    <x v="22"/>
    <n v="2043.05"/>
    <n v="1"/>
    <n v="5"/>
    <n v="2043.05"/>
    <n v="102.1525"/>
    <n v="1940.8975"/>
    <x v="1"/>
    <x v="0"/>
    <s v="Amara Perera"/>
  </r>
  <r>
    <s v="ORD-1580"/>
    <d v="2024-11-15T00:00:00"/>
    <x v="7"/>
    <s v="Bandara Kumara"/>
    <x v="7"/>
    <x v="6"/>
    <x v="3"/>
    <x v="10"/>
    <n v="81786.679999999993"/>
    <n v="1"/>
    <n v="0"/>
    <n v="81786.679999999993"/>
    <n v="0"/>
    <n v="81786.679999999993"/>
    <x v="0"/>
    <x v="2"/>
    <s v="Amara Perera"/>
  </r>
  <r>
    <s v="ORD-1581"/>
    <d v="2024-11-16T00:00:00"/>
    <x v="7"/>
    <s v="Saman Perera"/>
    <x v="1"/>
    <x v="1"/>
    <x v="5"/>
    <x v="32"/>
    <n v="2261.2399999999998"/>
    <n v="3"/>
    <n v="0"/>
    <n v="6783.7199999999993"/>
    <n v="0"/>
    <n v="6783.7199999999993"/>
    <x v="1"/>
    <x v="0"/>
    <s v="Dinesh Silva"/>
  </r>
  <r>
    <s v="ORD-1582"/>
    <d v="2024-11-17T00:00:00"/>
    <x v="7"/>
    <s v="Malika Wickramasinghe"/>
    <x v="7"/>
    <x v="6"/>
    <x v="2"/>
    <x v="8"/>
    <n v="620.53"/>
    <n v="3"/>
    <n v="0"/>
    <n v="1861.59"/>
    <n v="0"/>
    <n v="1861.59"/>
    <x v="1"/>
    <x v="0"/>
    <s v="Amara Perera"/>
  </r>
  <r>
    <s v="ORD-1583"/>
    <d v="2024-11-18T00:00:00"/>
    <x v="7"/>
    <s v="Nadeesha Bandara"/>
    <x v="7"/>
    <x v="6"/>
    <x v="3"/>
    <x v="5"/>
    <n v="151275.85999999999"/>
    <n v="5"/>
    <n v="10"/>
    <n v="756379.29999999993"/>
    <n v="75637.929999999993"/>
    <n v="680741.36999999988"/>
    <x v="3"/>
    <x v="0"/>
    <s v="Kavya Fernando"/>
  </r>
  <r>
    <s v="ORD-1584"/>
    <d v="2024-11-19T00:00:00"/>
    <x v="7"/>
    <s v="Ishara Fernando"/>
    <x v="1"/>
    <x v="1"/>
    <x v="2"/>
    <x v="33"/>
    <n v="970.6"/>
    <n v="5"/>
    <n v="5"/>
    <n v="4853"/>
    <n v="242.65"/>
    <n v="4610.3500000000004"/>
    <x v="5"/>
    <x v="0"/>
    <s v="Amara Perera"/>
  </r>
  <r>
    <s v="ORD-1585"/>
    <d v="2024-11-20T00:00:00"/>
    <x v="7"/>
    <s v="Thilini Perera"/>
    <x v="1"/>
    <x v="1"/>
    <x v="4"/>
    <x v="4"/>
    <n v="3210.28"/>
    <n v="4"/>
    <n v="10"/>
    <n v="12841.12"/>
    <n v="1284.1120000000001"/>
    <n v="11557.008000000002"/>
    <x v="0"/>
    <x v="3"/>
    <s v="Ruwan Jayasuriya"/>
  </r>
  <r>
    <s v="ORD-1586"/>
    <d v="2024-11-21T00:00:00"/>
    <x v="7"/>
    <s v="Anusha Wickramasinghe"/>
    <x v="8"/>
    <x v="7"/>
    <x v="6"/>
    <x v="14"/>
    <n v="677.68"/>
    <n v="5"/>
    <n v="0"/>
    <n v="3388.3999999999996"/>
    <n v="0"/>
    <n v="3388.3999999999996"/>
    <x v="2"/>
    <x v="3"/>
    <s v="Dinesh Silva"/>
  </r>
  <r>
    <s v="ORD-1587"/>
    <d v="2024-11-22T00:00:00"/>
    <x v="7"/>
    <s v="Asela Gunasekara"/>
    <x v="1"/>
    <x v="1"/>
    <x v="4"/>
    <x v="15"/>
    <n v="2903.31"/>
    <n v="4"/>
    <n v="10"/>
    <n v="11613.24"/>
    <n v="1161.3239999999998"/>
    <n v="10451.915999999999"/>
    <x v="1"/>
    <x v="0"/>
    <s v="Dinesh Silva"/>
  </r>
  <r>
    <s v="ORD-1588"/>
    <d v="2024-11-23T00:00:00"/>
    <x v="7"/>
    <s v="Pradeep Rajapaksa"/>
    <x v="5"/>
    <x v="4"/>
    <x v="1"/>
    <x v="26"/>
    <n v="1300.1400000000001"/>
    <n v="3"/>
    <n v="0"/>
    <n v="3900.42"/>
    <n v="0"/>
    <n v="3900.42"/>
    <x v="2"/>
    <x v="0"/>
    <s v="Amara Perera"/>
  </r>
  <r>
    <s v="ORD-1589"/>
    <d v="2024-11-24T00:00:00"/>
    <x v="7"/>
    <s v="Roshani Silva"/>
    <x v="8"/>
    <x v="7"/>
    <x v="4"/>
    <x v="23"/>
    <n v="12829.84"/>
    <n v="3"/>
    <n v="10"/>
    <n v="38489.520000000004"/>
    <n v="3848.9520000000007"/>
    <n v="34640.568000000007"/>
    <x v="0"/>
    <x v="3"/>
    <s v="Dinesh Silva"/>
  </r>
  <r>
    <s v="ORD-1590"/>
    <d v="2024-11-25T00:00:00"/>
    <x v="7"/>
    <s v="Dilini Dissanayake"/>
    <x v="1"/>
    <x v="1"/>
    <x v="2"/>
    <x v="33"/>
    <n v="926.9"/>
    <n v="3"/>
    <n v="5"/>
    <n v="2780.7"/>
    <n v="139.035"/>
    <n v="2641.665"/>
    <x v="2"/>
    <x v="0"/>
    <s v="Thilini Bandara"/>
  </r>
  <r>
    <s v="ORD-1591"/>
    <d v="2024-11-26T00:00:00"/>
    <x v="7"/>
    <s v="Ishara Senanayake"/>
    <x v="4"/>
    <x v="0"/>
    <x v="5"/>
    <x v="24"/>
    <n v="3831.72"/>
    <n v="4"/>
    <n v="5"/>
    <n v="15326.88"/>
    <n v="766.34399999999994"/>
    <n v="14560.536"/>
    <x v="3"/>
    <x v="0"/>
    <s v="Thilini Bandara"/>
  </r>
  <r>
    <s v="ORD-1592"/>
    <d v="2024-11-27T00:00:00"/>
    <x v="7"/>
    <s v="Kumari Senanayake"/>
    <x v="8"/>
    <x v="7"/>
    <x v="5"/>
    <x v="24"/>
    <n v="3271.16"/>
    <n v="1"/>
    <n v="0"/>
    <n v="3271.16"/>
    <n v="0"/>
    <n v="3271.16"/>
    <x v="0"/>
    <x v="2"/>
    <s v="Ruwan Jayasuriya"/>
  </r>
  <r>
    <s v="ORD-1593"/>
    <d v="2024-11-28T00:00:00"/>
    <x v="7"/>
    <s v="Rajith Senanayake"/>
    <x v="6"/>
    <x v="5"/>
    <x v="2"/>
    <x v="33"/>
    <n v="827.58"/>
    <n v="4"/>
    <n v="10"/>
    <n v="3310.32"/>
    <n v="331.03200000000004"/>
    <n v="2979.288"/>
    <x v="3"/>
    <x v="0"/>
    <s v="Amara Perera"/>
  </r>
  <r>
    <s v="ORD-1594"/>
    <d v="2024-11-29T00:00:00"/>
    <x v="7"/>
    <s v="Dilini Pathirana"/>
    <x v="2"/>
    <x v="2"/>
    <x v="6"/>
    <x v="21"/>
    <n v="1737.87"/>
    <n v="1"/>
    <n v="10"/>
    <n v="1737.87"/>
    <n v="173.78699999999998"/>
    <n v="1564.0829999999999"/>
    <x v="1"/>
    <x v="2"/>
    <s v="Dinesh Silva"/>
  </r>
  <r>
    <s v="ORD-1595"/>
    <d v="2024-11-30T00:00:00"/>
    <x v="7"/>
    <s v="Dhanushka Perera"/>
    <x v="9"/>
    <x v="7"/>
    <x v="0"/>
    <x v="25"/>
    <n v="2476.4899999999998"/>
    <n v="3"/>
    <n v="0"/>
    <n v="7429.4699999999993"/>
    <n v="0"/>
    <n v="7429.4699999999993"/>
    <x v="0"/>
    <x v="3"/>
    <s v="Ruwan Jayasuriya"/>
  </r>
  <r>
    <s v="ORD-1596"/>
    <d v="2024-12-01T00:00:00"/>
    <x v="8"/>
    <s v="Chamara Pathirana"/>
    <x v="8"/>
    <x v="7"/>
    <x v="2"/>
    <x v="33"/>
    <n v="952.98"/>
    <n v="3"/>
    <n v="0"/>
    <n v="2858.94"/>
    <n v="0"/>
    <n v="2858.94"/>
    <x v="3"/>
    <x v="0"/>
    <s v="Thilini Bandara"/>
  </r>
  <r>
    <s v="ORD-1597"/>
    <d v="2024-12-02T00:00:00"/>
    <x v="8"/>
    <s v="Nadeesha Bandara"/>
    <x v="5"/>
    <x v="4"/>
    <x v="6"/>
    <x v="14"/>
    <n v="695.83"/>
    <n v="1"/>
    <n v="15"/>
    <n v="695.83"/>
    <n v="104.37450000000001"/>
    <n v="591.45550000000003"/>
    <x v="0"/>
    <x v="0"/>
    <s v="Amara Perera"/>
  </r>
  <r>
    <s v="ORD-1598"/>
    <d v="2024-12-03T00:00:00"/>
    <x v="8"/>
    <s v="Hasini Rajapaksa"/>
    <x v="1"/>
    <x v="1"/>
    <x v="6"/>
    <x v="22"/>
    <n v="2360.9"/>
    <n v="2"/>
    <n v="15"/>
    <n v="4721.8"/>
    <n v="708.27"/>
    <n v="4013.53"/>
    <x v="0"/>
    <x v="0"/>
    <s v="Kavya Fernando"/>
  </r>
  <r>
    <s v="ORD-1599"/>
    <d v="2024-12-04T00:00:00"/>
    <x v="8"/>
    <s v="Bandara Dissanayake"/>
    <x v="5"/>
    <x v="4"/>
    <x v="4"/>
    <x v="12"/>
    <n v="4240.09"/>
    <n v="2"/>
    <n v="5"/>
    <n v="8480.18"/>
    <n v="424.00900000000001"/>
    <n v="8056.1710000000003"/>
    <x v="1"/>
    <x v="0"/>
    <s v="Thilini Bandara"/>
  </r>
  <r>
    <s v="ORD-1600"/>
    <d v="2024-12-05T00:00:00"/>
    <x v="8"/>
    <s v="Anusha Dissanayake"/>
    <x v="9"/>
    <x v="7"/>
    <x v="2"/>
    <x v="27"/>
    <n v="741.48"/>
    <n v="1"/>
    <n v="15"/>
    <n v="741.48"/>
    <n v="111.22200000000001"/>
    <n v="630.25800000000004"/>
    <x v="5"/>
    <x v="0"/>
    <s v="Ruwan Jayasuriya"/>
  </r>
  <r>
    <s v="ORD-1601"/>
    <d v="2024-12-06T00:00:00"/>
    <x v="8"/>
    <s v="Kumari Fernando"/>
    <x v="1"/>
    <x v="1"/>
    <x v="1"/>
    <x v="26"/>
    <n v="1273.43"/>
    <n v="4"/>
    <n v="0"/>
    <n v="5093.72"/>
    <n v="0"/>
    <n v="5093.72"/>
    <x v="0"/>
    <x v="0"/>
    <s v="Thilini Bandara"/>
  </r>
  <r>
    <s v="ORD-1602"/>
    <d v="2024-12-07T00:00:00"/>
    <x v="8"/>
    <s v="Saman Bandara"/>
    <x v="5"/>
    <x v="4"/>
    <x v="5"/>
    <x v="7"/>
    <n v="4396.24"/>
    <n v="2"/>
    <n v="10"/>
    <n v="8792.48"/>
    <n v="879.24799999999993"/>
    <n v="7913.232"/>
    <x v="2"/>
    <x v="3"/>
    <s v="Amara Perera"/>
  </r>
  <r>
    <s v="ORD-1603"/>
    <d v="2024-12-08T00:00:00"/>
    <x v="8"/>
    <s v="Roshani Kumara"/>
    <x v="4"/>
    <x v="0"/>
    <x v="0"/>
    <x v="6"/>
    <n v="1716.93"/>
    <n v="5"/>
    <n v="10"/>
    <n v="8584.65"/>
    <n v="858.46500000000003"/>
    <n v="7726.1849999999995"/>
    <x v="3"/>
    <x v="0"/>
    <s v="Amara Perera"/>
  </r>
  <r>
    <s v="ORD-1604"/>
    <d v="2024-12-09T00:00:00"/>
    <x v="8"/>
    <s v="Roshani Kumara"/>
    <x v="8"/>
    <x v="7"/>
    <x v="3"/>
    <x v="18"/>
    <n v="119556.79"/>
    <n v="1"/>
    <n v="5"/>
    <n v="119556.79"/>
    <n v="5977.8394999999991"/>
    <n v="113578.95049999999"/>
    <x v="0"/>
    <x v="2"/>
    <s v="Kavya Fernando"/>
  </r>
  <r>
    <s v="ORD-1605"/>
    <d v="2024-12-10T00:00:00"/>
    <x v="8"/>
    <s v="Dinesh Silva"/>
    <x v="7"/>
    <x v="6"/>
    <x v="5"/>
    <x v="30"/>
    <n v="8066.89"/>
    <n v="1"/>
    <n v="0"/>
    <n v="8066.89"/>
    <n v="0"/>
    <n v="8066.89"/>
    <x v="0"/>
    <x v="2"/>
    <s v="Thilini Bandara"/>
  </r>
  <r>
    <s v="ORD-1606"/>
    <d v="2024-12-11T00:00:00"/>
    <x v="8"/>
    <s v="Nadeesha Perera"/>
    <x v="8"/>
    <x v="7"/>
    <x v="5"/>
    <x v="30"/>
    <n v="8447.08"/>
    <n v="5"/>
    <n v="5"/>
    <n v="42235.4"/>
    <n v="2111.77"/>
    <n v="40123.630000000005"/>
    <x v="0"/>
    <x v="1"/>
    <s v="Kavya Fernando"/>
  </r>
  <r>
    <s v="ORD-1607"/>
    <d v="2024-12-12T00:00:00"/>
    <x v="8"/>
    <s v="Anusha Wickramasinghe"/>
    <x v="3"/>
    <x v="3"/>
    <x v="1"/>
    <x v="34"/>
    <n v="1558.52"/>
    <n v="5"/>
    <n v="15"/>
    <n v="7792.6"/>
    <n v="1168.8900000000001"/>
    <n v="6623.71"/>
    <x v="0"/>
    <x v="0"/>
    <s v="Amara Perera"/>
  </r>
  <r>
    <s v="ORD-1608"/>
    <d v="2024-12-13T00:00:00"/>
    <x v="8"/>
    <s v="Roshani Senanayake"/>
    <x v="9"/>
    <x v="7"/>
    <x v="5"/>
    <x v="30"/>
    <n v="8765.74"/>
    <n v="3"/>
    <n v="0"/>
    <n v="26297.22"/>
    <n v="0"/>
    <n v="26297.22"/>
    <x v="5"/>
    <x v="0"/>
    <s v="Ruwan Jayasuriya"/>
  </r>
  <r>
    <s v="ORD-1609"/>
    <d v="2024-12-14T00:00:00"/>
    <x v="8"/>
    <s v="Ruwan Bandara"/>
    <x v="1"/>
    <x v="1"/>
    <x v="6"/>
    <x v="22"/>
    <n v="2090.9"/>
    <n v="5"/>
    <n v="0"/>
    <n v="10454.5"/>
    <n v="0"/>
    <n v="10454.5"/>
    <x v="3"/>
    <x v="2"/>
    <s v="Kavya Fernando"/>
  </r>
  <r>
    <s v="ORD-1610"/>
    <d v="2024-12-15T00:00:00"/>
    <x v="8"/>
    <s v="Kavindi Silva"/>
    <x v="2"/>
    <x v="2"/>
    <x v="1"/>
    <x v="28"/>
    <n v="5238.97"/>
    <n v="4"/>
    <n v="5"/>
    <n v="20955.88"/>
    <n v="1047.7940000000001"/>
    <n v="19908.085999999999"/>
    <x v="1"/>
    <x v="0"/>
    <s v="Dinesh Silva"/>
  </r>
  <r>
    <s v="ORD-1611"/>
    <d v="2024-12-16T00:00:00"/>
    <x v="8"/>
    <s v="Sanduni Bandara"/>
    <x v="0"/>
    <x v="0"/>
    <x v="2"/>
    <x v="2"/>
    <n v="2733.67"/>
    <n v="5"/>
    <n v="5"/>
    <n v="13668.35"/>
    <n v="683.41750000000002"/>
    <n v="12984.932500000001"/>
    <x v="2"/>
    <x v="2"/>
    <s v="Ruwan Jayasuriya"/>
  </r>
  <r>
    <s v="ORD-1612"/>
    <d v="2024-12-17T00:00:00"/>
    <x v="8"/>
    <s v="Ishara Pathirana"/>
    <x v="6"/>
    <x v="5"/>
    <x v="0"/>
    <x v="25"/>
    <n v="2355.4299999999998"/>
    <n v="3"/>
    <n v="0"/>
    <n v="7066.2899999999991"/>
    <n v="0"/>
    <n v="7066.2899999999991"/>
    <x v="3"/>
    <x v="2"/>
    <s v="Amara Perera"/>
  </r>
  <r>
    <s v="ORD-1613"/>
    <d v="2024-12-18T00:00:00"/>
    <x v="8"/>
    <s v="Sanduni Gunasekara"/>
    <x v="5"/>
    <x v="4"/>
    <x v="4"/>
    <x v="15"/>
    <n v="2786.71"/>
    <n v="5"/>
    <n v="5"/>
    <n v="13933.55"/>
    <n v="696.67750000000001"/>
    <n v="13236.872499999999"/>
    <x v="2"/>
    <x v="1"/>
    <s v="Ruwan Jayasuriya"/>
  </r>
  <r>
    <s v="ORD-1614"/>
    <d v="2024-12-19T00:00:00"/>
    <x v="8"/>
    <s v="Pradeep Fernando"/>
    <x v="7"/>
    <x v="6"/>
    <x v="6"/>
    <x v="21"/>
    <n v="1624.27"/>
    <n v="4"/>
    <n v="0"/>
    <n v="6497.08"/>
    <n v="0"/>
    <n v="6497.08"/>
    <x v="3"/>
    <x v="3"/>
    <s v="Amara Perera"/>
  </r>
  <r>
    <s v="ORD-1615"/>
    <d v="2024-12-20T00:00:00"/>
    <x v="8"/>
    <s v="Hasini Pathirana"/>
    <x v="8"/>
    <x v="7"/>
    <x v="6"/>
    <x v="21"/>
    <n v="1839.77"/>
    <n v="3"/>
    <n v="0"/>
    <n v="5519.3099999999995"/>
    <n v="0"/>
    <n v="5519.3099999999995"/>
    <x v="3"/>
    <x v="0"/>
    <s v="Amara Perera"/>
  </r>
  <r>
    <s v="ORD-1616"/>
    <d v="2024-12-21T00:00:00"/>
    <x v="8"/>
    <s v="Dhanushka Senanayake"/>
    <x v="5"/>
    <x v="4"/>
    <x v="4"/>
    <x v="20"/>
    <n v="5757.74"/>
    <n v="5"/>
    <n v="0"/>
    <n v="28788.699999999997"/>
    <n v="0"/>
    <n v="28788.699999999997"/>
    <x v="0"/>
    <x v="0"/>
    <s v="Dinesh Silva"/>
  </r>
  <r>
    <s v="ORD-1617"/>
    <d v="2024-12-22T00:00:00"/>
    <x v="8"/>
    <s v="Hasini Perera"/>
    <x v="0"/>
    <x v="0"/>
    <x v="6"/>
    <x v="11"/>
    <n v="1353.59"/>
    <n v="1"/>
    <n v="0"/>
    <n v="1353.59"/>
    <n v="0"/>
    <n v="1353.59"/>
    <x v="5"/>
    <x v="1"/>
    <s v="Ruwan Jayasuriya"/>
  </r>
  <r>
    <s v="ORD-1618"/>
    <d v="2024-12-23T00:00:00"/>
    <x v="8"/>
    <s v="Ishara Kumara"/>
    <x v="3"/>
    <x v="3"/>
    <x v="2"/>
    <x v="27"/>
    <n v="725.45"/>
    <n v="5"/>
    <n v="10"/>
    <n v="3627.25"/>
    <n v="362.72500000000002"/>
    <n v="3264.5250000000001"/>
    <x v="5"/>
    <x v="3"/>
    <s v="Dinesh Silva"/>
  </r>
  <r>
    <s v="ORD-1619"/>
    <d v="2024-12-24T00:00:00"/>
    <x v="8"/>
    <s v="Dhanushka Silva"/>
    <x v="1"/>
    <x v="1"/>
    <x v="3"/>
    <x v="18"/>
    <n v="111117.77"/>
    <n v="5"/>
    <n v="0"/>
    <n v="555588.85"/>
    <n v="0"/>
    <n v="555588.85"/>
    <x v="5"/>
    <x v="1"/>
    <s v="Dinesh Silva"/>
  </r>
  <r>
    <s v="ORD-1620"/>
    <d v="2024-12-25T00:00:00"/>
    <x v="8"/>
    <s v="Malika Gunasekara"/>
    <x v="1"/>
    <x v="1"/>
    <x v="0"/>
    <x v="13"/>
    <n v="1301.45"/>
    <n v="3"/>
    <n v="0"/>
    <n v="3904.3500000000004"/>
    <n v="0"/>
    <n v="3904.3500000000004"/>
    <x v="3"/>
    <x v="0"/>
    <s v="Dinesh Silva"/>
  </r>
  <r>
    <s v="ORD-1621"/>
    <d v="2024-12-26T00:00:00"/>
    <x v="8"/>
    <s v="Pradeep Perera"/>
    <x v="5"/>
    <x v="4"/>
    <x v="4"/>
    <x v="15"/>
    <n v="3077.74"/>
    <n v="3"/>
    <n v="5"/>
    <n v="9233.2199999999993"/>
    <n v="461.661"/>
    <n v="8771.5589999999993"/>
    <x v="1"/>
    <x v="0"/>
    <s v="Amara Perera"/>
  </r>
  <r>
    <s v="ORD-1622"/>
    <d v="2024-12-27T00:00:00"/>
    <x v="8"/>
    <s v="Chamara Senanayake"/>
    <x v="5"/>
    <x v="4"/>
    <x v="1"/>
    <x v="26"/>
    <n v="1198.0899999999999"/>
    <n v="2"/>
    <n v="15"/>
    <n v="2396.1799999999998"/>
    <n v="359.42699999999996"/>
    <n v="2036.7529999999999"/>
    <x v="2"/>
    <x v="0"/>
    <s v="Thilini Bandara"/>
  </r>
  <r>
    <s v="ORD-1623"/>
    <d v="2024-12-28T00:00:00"/>
    <x v="8"/>
    <s v="Dilini Gunasekara"/>
    <x v="3"/>
    <x v="3"/>
    <x v="3"/>
    <x v="10"/>
    <n v="77739.63"/>
    <n v="5"/>
    <n v="0"/>
    <n v="388698.15"/>
    <n v="0"/>
    <n v="388698.15"/>
    <x v="2"/>
    <x v="0"/>
    <s v="Ruwan Jayasuriya"/>
  </r>
  <r>
    <s v="ORD-1624"/>
    <d v="2024-12-29T00:00:00"/>
    <x v="8"/>
    <s v="Dhanushka Pathirana"/>
    <x v="0"/>
    <x v="0"/>
    <x v="3"/>
    <x v="19"/>
    <n v="92919.19"/>
    <n v="2"/>
    <n v="0"/>
    <n v="185838.38"/>
    <n v="0"/>
    <n v="185838.38"/>
    <x v="3"/>
    <x v="0"/>
    <s v="Thilini Bandara"/>
  </r>
  <r>
    <s v="ORD-1625"/>
    <d v="2024-12-30T00:00:00"/>
    <x v="8"/>
    <s v="Dinesh Kumara"/>
    <x v="6"/>
    <x v="5"/>
    <x v="4"/>
    <x v="23"/>
    <n v="11769.39"/>
    <n v="1"/>
    <n v="15"/>
    <n v="11769.39"/>
    <n v="1765.4084999999998"/>
    <n v="10003.9815"/>
    <x v="1"/>
    <x v="0"/>
    <s v="Ruwan Jayasuriya"/>
  </r>
  <r>
    <s v="ORD-1626"/>
    <d v="2024-12-31T00:00:00"/>
    <x v="8"/>
    <s v="Roshani Silva"/>
    <x v="2"/>
    <x v="2"/>
    <x v="5"/>
    <x v="32"/>
    <n v="2416.7199999999998"/>
    <n v="3"/>
    <n v="0"/>
    <n v="7250.16"/>
    <n v="0"/>
    <n v="7250.16"/>
    <x v="5"/>
    <x v="1"/>
    <s v="Amara Perera"/>
  </r>
  <r>
    <s v="ORD-1627"/>
    <d v="2025-01-01T00:00:00"/>
    <x v="9"/>
    <s v="Hasini Rajapaksa"/>
    <x v="1"/>
    <x v="1"/>
    <x v="6"/>
    <x v="21"/>
    <n v="1893.76"/>
    <n v="3"/>
    <n v="0"/>
    <n v="5681.28"/>
    <n v="0"/>
    <n v="5681.28"/>
    <x v="1"/>
    <x v="0"/>
    <s v="Thilini Bandara"/>
  </r>
  <r>
    <s v="ORD-1628"/>
    <d v="2025-01-02T00:00:00"/>
    <x v="9"/>
    <s v="Bandara Pathirana"/>
    <x v="4"/>
    <x v="0"/>
    <x v="2"/>
    <x v="8"/>
    <n v="647.58000000000004"/>
    <n v="3"/>
    <n v="15"/>
    <n v="1942.7400000000002"/>
    <n v="291.411"/>
    <n v="1651.3290000000002"/>
    <x v="5"/>
    <x v="1"/>
    <s v="Ruwan Jayasuriya"/>
  </r>
  <r>
    <s v="ORD-1629"/>
    <d v="2025-01-03T00:00:00"/>
    <x v="9"/>
    <s v="Chamara Fernando"/>
    <x v="0"/>
    <x v="0"/>
    <x v="1"/>
    <x v="34"/>
    <n v="1565.92"/>
    <n v="5"/>
    <n v="10"/>
    <n v="7829.6"/>
    <n v="782.96"/>
    <n v="7046.64"/>
    <x v="2"/>
    <x v="0"/>
    <s v="Amara Perera"/>
  </r>
  <r>
    <s v="ORD-1630"/>
    <d v="2025-01-04T00:00:00"/>
    <x v="9"/>
    <s v="Dhanushka Wickramasinghe"/>
    <x v="6"/>
    <x v="5"/>
    <x v="5"/>
    <x v="7"/>
    <n v="4919.92"/>
    <n v="1"/>
    <n v="15"/>
    <n v="4919.92"/>
    <n v="737.98800000000006"/>
    <n v="4181.9319999999998"/>
    <x v="3"/>
    <x v="0"/>
    <s v="Kavya Fernando"/>
  </r>
  <r>
    <s v="ORD-1631"/>
    <d v="2025-01-05T00:00:00"/>
    <x v="9"/>
    <s v="Nimali Dissanayake"/>
    <x v="1"/>
    <x v="1"/>
    <x v="1"/>
    <x v="26"/>
    <n v="1240.1600000000001"/>
    <n v="4"/>
    <n v="0"/>
    <n v="4960.6400000000003"/>
    <n v="0"/>
    <n v="4960.6400000000003"/>
    <x v="0"/>
    <x v="0"/>
    <s v="Thilini Bandara"/>
  </r>
  <r>
    <s v="ORD-1632"/>
    <d v="2025-01-06T00:00:00"/>
    <x v="9"/>
    <s v="Kamal Perera"/>
    <x v="9"/>
    <x v="7"/>
    <x v="4"/>
    <x v="4"/>
    <n v="3479.85"/>
    <n v="5"/>
    <n v="0"/>
    <n v="17399.25"/>
    <n v="0"/>
    <n v="17399.25"/>
    <x v="1"/>
    <x v="1"/>
    <s v="Dinesh Silva"/>
  </r>
  <r>
    <s v="ORD-1633"/>
    <d v="2025-01-07T00:00:00"/>
    <x v="9"/>
    <s v="Sanduni Pathirana"/>
    <x v="0"/>
    <x v="0"/>
    <x v="2"/>
    <x v="2"/>
    <n v="2478.09"/>
    <n v="2"/>
    <n v="0"/>
    <n v="4956.18"/>
    <n v="0"/>
    <n v="4956.18"/>
    <x v="5"/>
    <x v="2"/>
    <s v="Amara Perera"/>
  </r>
  <r>
    <s v="ORD-1634"/>
    <d v="2025-01-08T00:00:00"/>
    <x v="9"/>
    <s v="Roshani Senanayake"/>
    <x v="2"/>
    <x v="2"/>
    <x v="1"/>
    <x v="34"/>
    <n v="1591.34"/>
    <n v="4"/>
    <n v="15"/>
    <n v="6365.36"/>
    <n v="954.80399999999997"/>
    <n v="5410.5559999999996"/>
    <x v="2"/>
    <x v="0"/>
    <s v="Amara Perera"/>
  </r>
  <r>
    <s v="ORD-1635"/>
    <d v="2025-01-09T00:00:00"/>
    <x v="9"/>
    <s v="Rajith Bandara"/>
    <x v="9"/>
    <x v="7"/>
    <x v="2"/>
    <x v="27"/>
    <n v="842.28"/>
    <n v="5"/>
    <n v="0"/>
    <n v="4211.3999999999996"/>
    <n v="0"/>
    <n v="4211.3999999999996"/>
    <x v="3"/>
    <x v="0"/>
    <s v="Amara Perera"/>
  </r>
  <r>
    <s v="ORD-1636"/>
    <d v="2025-01-10T00:00:00"/>
    <x v="9"/>
    <s v="Ruwan Dissanayake"/>
    <x v="9"/>
    <x v="7"/>
    <x v="0"/>
    <x v="0"/>
    <n v="1516.02"/>
    <n v="4"/>
    <n v="0"/>
    <n v="6064.08"/>
    <n v="0"/>
    <n v="6064.08"/>
    <x v="0"/>
    <x v="0"/>
    <s v="Dinesh Silva"/>
  </r>
  <r>
    <s v="ORD-1637"/>
    <d v="2025-01-11T00:00:00"/>
    <x v="9"/>
    <s v="Dhanushka Senanayake"/>
    <x v="5"/>
    <x v="4"/>
    <x v="6"/>
    <x v="14"/>
    <n v="587.03"/>
    <n v="4"/>
    <n v="0"/>
    <n v="2348.12"/>
    <n v="0"/>
    <n v="2348.12"/>
    <x v="5"/>
    <x v="0"/>
    <s v="Dinesh Silva"/>
  </r>
  <r>
    <s v="ORD-1638"/>
    <d v="2025-01-12T00:00:00"/>
    <x v="9"/>
    <s v="Asela Pathirana"/>
    <x v="2"/>
    <x v="2"/>
    <x v="2"/>
    <x v="8"/>
    <n v="623.22"/>
    <n v="4"/>
    <n v="15"/>
    <n v="2492.88"/>
    <n v="373.93200000000002"/>
    <n v="2118.9480000000003"/>
    <x v="1"/>
    <x v="0"/>
    <s v="Dinesh Silva"/>
  </r>
  <r>
    <s v="ORD-1639"/>
    <d v="2025-01-13T00:00:00"/>
    <x v="9"/>
    <s v="Pradeep Bandara"/>
    <x v="6"/>
    <x v="5"/>
    <x v="4"/>
    <x v="20"/>
    <n v="5981.9"/>
    <n v="5"/>
    <n v="15"/>
    <n v="29909.5"/>
    <n v="4486.4250000000002"/>
    <n v="25423.075000000001"/>
    <x v="5"/>
    <x v="3"/>
    <s v="Dinesh Silva"/>
  </r>
  <r>
    <s v="ORD-1640"/>
    <d v="2025-01-14T00:00:00"/>
    <x v="9"/>
    <s v="Roshani Senanayake"/>
    <x v="1"/>
    <x v="1"/>
    <x v="0"/>
    <x v="0"/>
    <n v="1454.36"/>
    <n v="1"/>
    <n v="10"/>
    <n v="1454.36"/>
    <n v="145.43599999999998"/>
    <n v="1308.924"/>
    <x v="1"/>
    <x v="0"/>
    <s v="Amara Perera"/>
  </r>
  <r>
    <s v="ORD-1641"/>
    <d v="2025-01-15T00:00:00"/>
    <x v="9"/>
    <s v="Dilini Senanayake"/>
    <x v="8"/>
    <x v="7"/>
    <x v="6"/>
    <x v="9"/>
    <n v="350.53"/>
    <n v="4"/>
    <n v="0"/>
    <n v="1402.12"/>
    <n v="0"/>
    <n v="1402.12"/>
    <x v="1"/>
    <x v="0"/>
    <s v="Amara Perera"/>
  </r>
  <r>
    <s v="ORD-1642"/>
    <d v="2025-01-16T00:00:00"/>
    <x v="9"/>
    <s v="Dilini Fernando"/>
    <x v="6"/>
    <x v="5"/>
    <x v="4"/>
    <x v="20"/>
    <n v="5125.74"/>
    <n v="1"/>
    <n v="5"/>
    <n v="5125.74"/>
    <n v="256.28699999999998"/>
    <n v="4869.4529999999995"/>
    <x v="3"/>
    <x v="0"/>
    <s v="Dinesh Silva"/>
  </r>
  <r>
    <s v="ORD-1643"/>
    <d v="2025-01-17T00:00:00"/>
    <x v="9"/>
    <s v="Pradeep Rajapaksa"/>
    <x v="2"/>
    <x v="2"/>
    <x v="6"/>
    <x v="21"/>
    <n v="1635.59"/>
    <n v="1"/>
    <n v="5"/>
    <n v="1635.59"/>
    <n v="81.779499999999999"/>
    <n v="1553.8104999999998"/>
    <x v="1"/>
    <x v="0"/>
    <s v="Amara Perera"/>
  </r>
  <r>
    <s v="ORD-1644"/>
    <d v="2025-01-18T00:00:00"/>
    <x v="9"/>
    <s v="Dinesh Silva"/>
    <x v="1"/>
    <x v="1"/>
    <x v="1"/>
    <x v="26"/>
    <n v="1186.76"/>
    <n v="5"/>
    <n v="0"/>
    <n v="5933.8"/>
    <n v="0"/>
    <n v="5933.8"/>
    <x v="2"/>
    <x v="0"/>
    <s v="Kavya Fernando"/>
  </r>
  <r>
    <s v="ORD-1645"/>
    <d v="2025-01-19T00:00:00"/>
    <x v="9"/>
    <s v="Dilini Rajapaksa"/>
    <x v="4"/>
    <x v="0"/>
    <x v="3"/>
    <x v="5"/>
    <n v="157132.44"/>
    <n v="2"/>
    <n v="10"/>
    <n v="314264.88"/>
    <n v="31426.487999999998"/>
    <n v="282838.39199999999"/>
    <x v="1"/>
    <x v="0"/>
    <s v="Ruwan Jayasuriya"/>
  </r>
  <r>
    <s v="ORD-1646"/>
    <d v="2025-01-20T00:00:00"/>
    <x v="9"/>
    <s v="Roshani Perera"/>
    <x v="5"/>
    <x v="4"/>
    <x v="1"/>
    <x v="1"/>
    <n v="4885.1000000000004"/>
    <n v="4"/>
    <n v="5"/>
    <n v="19540.400000000001"/>
    <n v="977.02"/>
    <n v="18563.38"/>
    <x v="2"/>
    <x v="0"/>
    <s v="Dinesh Silva"/>
  </r>
  <r>
    <s v="ORD-1647"/>
    <d v="2025-01-21T00:00:00"/>
    <x v="9"/>
    <s v="Kavindi Jayasuriya"/>
    <x v="8"/>
    <x v="7"/>
    <x v="2"/>
    <x v="27"/>
    <n v="773.74"/>
    <n v="1"/>
    <n v="0"/>
    <n v="773.74"/>
    <n v="0"/>
    <n v="773.74"/>
    <x v="0"/>
    <x v="0"/>
    <s v="Kavya Fernando"/>
  </r>
  <r>
    <s v="ORD-1648"/>
    <d v="2025-01-22T00:00:00"/>
    <x v="9"/>
    <s v="Dilini Gunasekara"/>
    <x v="6"/>
    <x v="5"/>
    <x v="4"/>
    <x v="20"/>
    <n v="5786.37"/>
    <n v="2"/>
    <n v="0"/>
    <n v="11572.74"/>
    <n v="0"/>
    <n v="11572.74"/>
    <x v="0"/>
    <x v="0"/>
    <s v="Thilini Bandara"/>
  </r>
  <r>
    <s v="ORD-1649"/>
    <d v="2025-01-23T00:00:00"/>
    <x v="9"/>
    <s v="Rajith Bandara"/>
    <x v="4"/>
    <x v="0"/>
    <x v="3"/>
    <x v="3"/>
    <n v="12856.74"/>
    <n v="4"/>
    <n v="0"/>
    <n v="51426.96"/>
    <n v="0"/>
    <n v="51426.96"/>
    <x v="0"/>
    <x v="0"/>
    <s v="Ruwan Jayasuriya"/>
  </r>
  <r>
    <s v="ORD-1650"/>
    <d v="2025-01-24T00:00:00"/>
    <x v="9"/>
    <s v="Kasun Kumara"/>
    <x v="5"/>
    <x v="4"/>
    <x v="0"/>
    <x v="25"/>
    <n v="2373.92"/>
    <n v="4"/>
    <n v="10"/>
    <n v="9495.68"/>
    <n v="949.56799999999998"/>
    <n v="8546.112000000001"/>
    <x v="1"/>
    <x v="3"/>
    <s v="Dinesh Silva"/>
  </r>
  <r>
    <s v="ORD-1651"/>
    <d v="2025-01-25T00:00:00"/>
    <x v="9"/>
    <s v="Kasun Dissanayake"/>
    <x v="0"/>
    <x v="0"/>
    <x v="3"/>
    <x v="3"/>
    <n v="12560.34"/>
    <n v="5"/>
    <n v="5"/>
    <n v="62801.7"/>
    <n v="3140.085"/>
    <n v="59661.614999999998"/>
    <x v="2"/>
    <x v="3"/>
    <s v="Ruwan Jayasuriya"/>
  </r>
  <r>
    <s v="ORD-1652"/>
    <d v="2025-01-26T00:00:00"/>
    <x v="9"/>
    <s v="Asela Silva"/>
    <x v="6"/>
    <x v="5"/>
    <x v="4"/>
    <x v="20"/>
    <n v="5041.3999999999996"/>
    <n v="1"/>
    <n v="0"/>
    <n v="5041.3999999999996"/>
    <n v="0"/>
    <n v="5041.3999999999996"/>
    <x v="2"/>
    <x v="0"/>
    <s v="Dinesh Silva"/>
  </r>
  <r>
    <s v="ORD-1653"/>
    <d v="2025-01-27T00:00:00"/>
    <x v="9"/>
    <s v="Malika Jayasuriya"/>
    <x v="1"/>
    <x v="1"/>
    <x v="3"/>
    <x v="3"/>
    <n v="12405.69"/>
    <n v="2"/>
    <n v="15"/>
    <n v="24811.38"/>
    <n v="3721.7070000000003"/>
    <n v="21089.673000000003"/>
    <x v="2"/>
    <x v="2"/>
    <s v="Thilini Bandara"/>
  </r>
  <r>
    <s v="ORD-1654"/>
    <d v="2025-01-28T00:00:00"/>
    <x v="9"/>
    <s v="Rajith Perera"/>
    <x v="6"/>
    <x v="5"/>
    <x v="4"/>
    <x v="20"/>
    <n v="5911.62"/>
    <n v="4"/>
    <n v="15"/>
    <n v="23646.48"/>
    <n v="3546.9720000000002"/>
    <n v="20099.507999999998"/>
    <x v="3"/>
    <x v="1"/>
    <s v="Ruwan Jayasuriya"/>
  </r>
  <r>
    <s v="ORD-1655"/>
    <d v="2025-01-29T00:00:00"/>
    <x v="9"/>
    <s v="Dhanushka Perera"/>
    <x v="1"/>
    <x v="1"/>
    <x v="4"/>
    <x v="15"/>
    <n v="2817.32"/>
    <n v="3"/>
    <n v="10"/>
    <n v="8451.9600000000009"/>
    <n v="845.19600000000003"/>
    <n v="7606.764000000001"/>
    <x v="3"/>
    <x v="1"/>
    <s v="Thilini Bandara"/>
  </r>
  <r>
    <s v="ORD-1656"/>
    <d v="2025-01-30T00:00:00"/>
    <x v="9"/>
    <s v="Rajith Jayasuriya"/>
    <x v="1"/>
    <x v="1"/>
    <x v="5"/>
    <x v="32"/>
    <n v="2617.88"/>
    <n v="1"/>
    <n v="5"/>
    <n v="2617.88"/>
    <n v="130.89400000000001"/>
    <n v="2486.9859999999999"/>
    <x v="3"/>
    <x v="0"/>
    <s v="Amara Perera"/>
  </r>
  <r>
    <s v="ORD-1657"/>
    <d v="2025-01-31T00:00:00"/>
    <x v="9"/>
    <s v="Anusha Gunasekara"/>
    <x v="2"/>
    <x v="2"/>
    <x v="3"/>
    <x v="36"/>
    <n v="63263.63"/>
    <n v="5"/>
    <n v="0"/>
    <n v="316318.14999999997"/>
    <n v="0"/>
    <n v="316318.14999999997"/>
    <x v="5"/>
    <x v="3"/>
    <s v="Dinesh Silva"/>
  </r>
  <r>
    <s v="ORD-1658"/>
    <d v="2025-02-01T00:00:00"/>
    <x v="10"/>
    <s v="Thilak Jayasuriya"/>
    <x v="7"/>
    <x v="6"/>
    <x v="3"/>
    <x v="19"/>
    <n v="94591.38"/>
    <n v="5"/>
    <n v="0"/>
    <n v="472956.9"/>
    <n v="0"/>
    <n v="472956.9"/>
    <x v="1"/>
    <x v="2"/>
    <s v="Dinesh Silva"/>
  </r>
  <r>
    <s v="ORD-1659"/>
    <d v="2025-02-02T00:00:00"/>
    <x v="10"/>
    <s v="Anusha Wickramasinghe"/>
    <x v="7"/>
    <x v="6"/>
    <x v="0"/>
    <x v="13"/>
    <n v="1146.51"/>
    <n v="1"/>
    <n v="10"/>
    <n v="1146.51"/>
    <n v="114.65100000000001"/>
    <n v="1031.8589999999999"/>
    <x v="3"/>
    <x v="0"/>
    <s v="Ruwan Jayasuriya"/>
  </r>
  <r>
    <s v="ORD-1660"/>
    <d v="2025-02-03T00:00:00"/>
    <x v="10"/>
    <s v="Dinesh Silva"/>
    <x v="6"/>
    <x v="5"/>
    <x v="0"/>
    <x v="6"/>
    <n v="1864.19"/>
    <n v="5"/>
    <n v="15"/>
    <n v="9320.9500000000007"/>
    <n v="1398.1424999999999"/>
    <n v="7922.8075000000008"/>
    <x v="2"/>
    <x v="3"/>
    <s v="Kavya Fernando"/>
  </r>
  <r>
    <s v="ORD-1661"/>
    <d v="2025-02-04T00:00:00"/>
    <x v="10"/>
    <s v="Asela Silva"/>
    <x v="4"/>
    <x v="0"/>
    <x v="4"/>
    <x v="4"/>
    <n v="3206.12"/>
    <n v="2"/>
    <n v="0"/>
    <n v="6412.24"/>
    <n v="0"/>
    <n v="6412.24"/>
    <x v="5"/>
    <x v="0"/>
    <s v="Dinesh Silva"/>
  </r>
  <r>
    <s v="ORD-1662"/>
    <d v="2025-02-05T00:00:00"/>
    <x v="10"/>
    <s v="Dilini Kumara"/>
    <x v="9"/>
    <x v="7"/>
    <x v="4"/>
    <x v="20"/>
    <n v="5912.49"/>
    <n v="5"/>
    <n v="15"/>
    <n v="29562.449999999997"/>
    <n v="4434.3674999999994"/>
    <n v="25128.082499999997"/>
    <x v="5"/>
    <x v="0"/>
    <s v="Ruwan Jayasuriya"/>
  </r>
  <r>
    <s v="ORD-1663"/>
    <d v="2025-02-06T00:00:00"/>
    <x v="10"/>
    <s v="Hasini Fernando"/>
    <x v="6"/>
    <x v="5"/>
    <x v="2"/>
    <x v="8"/>
    <n v="593.26"/>
    <n v="1"/>
    <n v="0"/>
    <n v="593.26"/>
    <n v="0"/>
    <n v="593.26"/>
    <x v="1"/>
    <x v="0"/>
    <s v="Amara Perera"/>
  </r>
  <r>
    <s v="ORD-1664"/>
    <d v="2025-02-07T00:00:00"/>
    <x v="10"/>
    <s v="Dinesh Pathirana"/>
    <x v="8"/>
    <x v="7"/>
    <x v="4"/>
    <x v="12"/>
    <n v="4358.51"/>
    <n v="3"/>
    <n v="10"/>
    <n v="13075.53"/>
    <n v="1307.5530000000001"/>
    <n v="11767.977000000001"/>
    <x v="0"/>
    <x v="1"/>
    <s v="Thilini Bandara"/>
  </r>
  <r>
    <s v="ORD-1665"/>
    <d v="2025-02-08T00:00:00"/>
    <x v="10"/>
    <s v="Saman Gunasekara"/>
    <x v="3"/>
    <x v="3"/>
    <x v="5"/>
    <x v="24"/>
    <n v="3778.8"/>
    <n v="3"/>
    <n v="0"/>
    <n v="11336.400000000001"/>
    <n v="0"/>
    <n v="11336.400000000001"/>
    <x v="3"/>
    <x v="0"/>
    <s v="Ruwan Jayasuriya"/>
  </r>
  <r>
    <s v="ORD-1666"/>
    <d v="2025-02-09T00:00:00"/>
    <x v="10"/>
    <s v="Malika Perera"/>
    <x v="9"/>
    <x v="7"/>
    <x v="2"/>
    <x v="31"/>
    <n v="1189.42"/>
    <n v="2"/>
    <n v="0"/>
    <n v="2378.84"/>
    <n v="0"/>
    <n v="2378.84"/>
    <x v="1"/>
    <x v="1"/>
    <s v="Thilini Bandara"/>
  </r>
  <r>
    <s v="ORD-1667"/>
    <d v="2025-02-10T00:00:00"/>
    <x v="10"/>
    <s v="Sanduni Fernando"/>
    <x v="9"/>
    <x v="7"/>
    <x v="1"/>
    <x v="1"/>
    <n v="4155.2299999999996"/>
    <n v="3"/>
    <n v="0"/>
    <n v="12465.689999999999"/>
    <n v="0"/>
    <n v="12465.689999999999"/>
    <x v="1"/>
    <x v="0"/>
    <s v="Kavya Fernando"/>
  </r>
  <r>
    <s v="ORD-1668"/>
    <d v="2025-02-11T00:00:00"/>
    <x v="10"/>
    <s v="Sanduni Jayasuriya"/>
    <x v="7"/>
    <x v="6"/>
    <x v="0"/>
    <x v="29"/>
    <n v="826.49"/>
    <n v="3"/>
    <n v="0"/>
    <n v="2479.4700000000003"/>
    <n v="0"/>
    <n v="2479.4700000000003"/>
    <x v="3"/>
    <x v="0"/>
    <s v="Thilini Bandara"/>
  </r>
  <r>
    <s v="ORD-1669"/>
    <d v="2025-02-12T00:00:00"/>
    <x v="10"/>
    <s v="Hasini Wickramasinghe"/>
    <x v="1"/>
    <x v="1"/>
    <x v="3"/>
    <x v="3"/>
    <n v="13034.57"/>
    <n v="2"/>
    <n v="15"/>
    <n v="26069.14"/>
    <n v="3910.3709999999996"/>
    <n v="22158.769"/>
    <x v="3"/>
    <x v="0"/>
    <s v="Amara Perera"/>
  </r>
  <r>
    <s v="ORD-1670"/>
    <d v="2025-02-13T00:00:00"/>
    <x v="10"/>
    <s v="Hasini Bandara"/>
    <x v="8"/>
    <x v="7"/>
    <x v="0"/>
    <x v="0"/>
    <n v="1492.17"/>
    <n v="3"/>
    <n v="15"/>
    <n v="4476.51"/>
    <n v="671.4765000000001"/>
    <n v="3805.0335"/>
    <x v="1"/>
    <x v="2"/>
    <s v="Thilini Bandara"/>
  </r>
  <r>
    <s v="ORD-1671"/>
    <d v="2025-02-14T00:00:00"/>
    <x v="10"/>
    <s v="Saman Rajapaksa"/>
    <x v="1"/>
    <x v="1"/>
    <x v="0"/>
    <x v="13"/>
    <n v="1296.04"/>
    <n v="2"/>
    <n v="0"/>
    <n v="2592.08"/>
    <n v="0"/>
    <n v="2592.08"/>
    <x v="0"/>
    <x v="0"/>
    <s v="Kavya Fernando"/>
  </r>
  <r>
    <s v="ORD-1672"/>
    <d v="2025-02-15T00:00:00"/>
    <x v="10"/>
    <s v="Bandara Senanayake"/>
    <x v="4"/>
    <x v="0"/>
    <x v="4"/>
    <x v="15"/>
    <n v="2571.79"/>
    <n v="1"/>
    <n v="0"/>
    <n v="2571.79"/>
    <n v="0"/>
    <n v="2571.79"/>
    <x v="1"/>
    <x v="3"/>
    <s v="Thilini Bandara"/>
  </r>
  <r>
    <s v="ORD-1673"/>
    <d v="2025-02-16T00:00:00"/>
    <x v="10"/>
    <s v="Pradeep Jayasuriya"/>
    <x v="0"/>
    <x v="0"/>
    <x v="3"/>
    <x v="18"/>
    <n v="128386.83"/>
    <n v="1"/>
    <n v="0"/>
    <n v="128386.83"/>
    <n v="0"/>
    <n v="128386.83"/>
    <x v="2"/>
    <x v="0"/>
    <s v="Ruwan Jayasuriya"/>
  </r>
  <r>
    <s v="ORD-1674"/>
    <d v="2025-02-17T00:00:00"/>
    <x v="10"/>
    <s v="Nadeesha Senanayake"/>
    <x v="7"/>
    <x v="6"/>
    <x v="3"/>
    <x v="19"/>
    <n v="92360.23"/>
    <n v="2"/>
    <n v="0"/>
    <n v="184720.46"/>
    <n v="0"/>
    <n v="184720.46"/>
    <x v="3"/>
    <x v="0"/>
    <s v="Kavya Fernando"/>
  </r>
  <r>
    <s v="ORD-1675"/>
    <d v="2025-02-18T00:00:00"/>
    <x v="10"/>
    <s v="Malika Rajapaksa"/>
    <x v="8"/>
    <x v="7"/>
    <x v="2"/>
    <x v="8"/>
    <n v="644.91999999999996"/>
    <n v="1"/>
    <n v="5"/>
    <n v="644.91999999999996"/>
    <n v="32.246000000000002"/>
    <n v="612.67399999999998"/>
    <x v="2"/>
    <x v="1"/>
    <s v="Ruwan Jayasuriya"/>
  </r>
  <r>
    <s v="ORD-1676"/>
    <d v="2025-02-19T00:00:00"/>
    <x v="10"/>
    <s v="Malika Fernando"/>
    <x v="5"/>
    <x v="4"/>
    <x v="0"/>
    <x v="13"/>
    <n v="1113.5"/>
    <n v="5"/>
    <n v="0"/>
    <n v="5567.5"/>
    <n v="0"/>
    <n v="5567.5"/>
    <x v="5"/>
    <x v="0"/>
    <s v="Dinesh Silva"/>
  </r>
  <r>
    <s v="ORD-1677"/>
    <d v="2025-02-20T00:00:00"/>
    <x v="10"/>
    <s v="Roshani Bandara"/>
    <x v="8"/>
    <x v="7"/>
    <x v="3"/>
    <x v="18"/>
    <n v="126146.74"/>
    <n v="1"/>
    <n v="5"/>
    <n v="126146.74"/>
    <n v="6307.3370000000004"/>
    <n v="119839.40300000001"/>
    <x v="2"/>
    <x v="1"/>
    <s v="Kavya Fernando"/>
  </r>
  <r>
    <s v="ORD-1678"/>
    <d v="2025-02-21T00:00:00"/>
    <x v="10"/>
    <s v="Sanduni Bandara"/>
    <x v="6"/>
    <x v="5"/>
    <x v="0"/>
    <x v="6"/>
    <n v="1891.89"/>
    <n v="2"/>
    <n v="0"/>
    <n v="3783.78"/>
    <n v="0"/>
    <n v="3783.78"/>
    <x v="1"/>
    <x v="2"/>
    <s v="Ruwan Jayasuriya"/>
  </r>
  <r>
    <s v="ORD-1679"/>
    <d v="2025-02-22T00:00:00"/>
    <x v="10"/>
    <s v="Hasini Gunasekara"/>
    <x v="0"/>
    <x v="0"/>
    <x v="6"/>
    <x v="22"/>
    <n v="2347.2199999999998"/>
    <n v="3"/>
    <n v="0"/>
    <n v="7041.66"/>
    <n v="0"/>
    <n v="7041.66"/>
    <x v="0"/>
    <x v="1"/>
    <s v="Ruwan Jayasuriya"/>
  </r>
  <r>
    <s v="ORD-1680"/>
    <d v="2025-02-23T00:00:00"/>
    <x v="10"/>
    <s v="Kasun Perera"/>
    <x v="9"/>
    <x v="7"/>
    <x v="2"/>
    <x v="31"/>
    <n v="1309.45"/>
    <n v="4"/>
    <n v="5"/>
    <n v="5237.8"/>
    <n v="261.89"/>
    <n v="4975.91"/>
    <x v="3"/>
    <x v="0"/>
    <s v="Dinesh Silva"/>
  </r>
  <r>
    <s v="ORD-1681"/>
    <d v="2025-02-24T00:00:00"/>
    <x v="10"/>
    <s v="Asela Pathirana"/>
    <x v="4"/>
    <x v="0"/>
    <x v="3"/>
    <x v="10"/>
    <n v="89500.21"/>
    <n v="4"/>
    <n v="10"/>
    <n v="358000.84"/>
    <n v="35800.084000000003"/>
    <n v="322200.75600000005"/>
    <x v="0"/>
    <x v="1"/>
    <s v="Kavya Fernando"/>
  </r>
  <r>
    <s v="ORD-1682"/>
    <d v="2025-02-25T00:00:00"/>
    <x v="10"/>
    <s v="Roshani Senanayake"/>
    <x v="5"/>
    <x v="4"/>
    <x v="6"/>
    <x v="22"/>
    <n v="2256.3200000000002"/>
    <n v="4"/>
    <n v="15"/>
    <n v="9025.2800000000007"/>
    <n v="1353.7920000000001"/>
    <n v="7671.4880000000003"/>
    <x v="5"/>
    <x v="0"/>
    <s v="Thilini Bandara"/>
  </r>
  <r>
    <s v="ORD-1683"/>
    <d v="2025-02-26T00:00:00"/>
    <x v="10"/>
    <s v="Rajith Perera"/>
    <x v="3"/>
    <x v="3"/>
    <x v="1"/>
    <x v="28"/>
    <n v="4558.51"/>
    <n v="3"/>
    <n v="0"/>
    <n v="13675.53"/>
    <n v="0"/>
    <n v="13675.53"/>
    <x v="1"/>
    <x v="0"/>
    <s v="Dinesh Silva"/>
  </r>
  <r>
    <s v="ORD-1684"/>
    <d v="2025-02-27T00:00:00"/>
    <x v="10"/>
    <s v="Pradeep Rajapaksa"/>
    <x v="5"/>
    <x v="4"/>
    <x v="0"/>
    <x v="0"/>
    <n v="1364.61"/>
    <n v="3"/>
    <n v="15"/>
    <n v="4093.83"/>
    <n v="614.07449999999994"/>
    <n v="3479.7555000000002"/>
    <x v="5"/>
    <x v="3"/>
    <s v="Dinesh Silva"/>
  </r>
  <r>
    <s v="ORD-1685"/>
    <d v="2025-02-28T00:00:00"/>
    <x v="10"/>
    <s v="Sanduni Silva"/>
    <x v="2"/>
    <x v="2"/>
    <x v="6"/>
    <x v="14"/>
    <n v="655.68"/>
    <n v="3"/>
    <n v="0"/>
    <n v="1967.04"/>
    <n v="0"/>
    <n v="1967.04"/>
    <x v="3"/>
    <x v="0"/>
    <s v="Kavya Fernando"/>
  </r>
  <r>
    <s v="ORD-1686"/>
    <d v="2025-03-01T00:00:00"/>
    <x v="11"/>
    <s v="Hasini Senanayake"/>
    <x v="8"/>
    <x v="7"/>
    <x v="6"/>
    <x v="14"/>
    <n v="586.67999999999995"/>
    <n v="5"/>
    <n v="5"/>
    <n v="2933.3999999999996"/>
    <n v="146.66999999999999"/>
    <n v="2786.7299999999996"/>
    <x v="3"/>
    <x v="2"/>
    <s v="Ruwan Jayasuriya"/>
  </r>
  <r>
    <s v="ORD-1687"/>
    <d v="2025-03-02T00:00:00"/>
    <x v="11"/>
    <s v="Thilak Fernando"/>
    <x v="1"/>
    <x v="1"/>
    <x v="1"/>
    <x v="1"/>
    <n v="4503.04"/>
    <n v="2"/>
    <n v="10"/>
    <n v="9006.08"/>
    <n v="900.60800000000006"/>
    <n v="8105.4719999999998"/>
    <x v="0"/>
    <x v="1"/>
    <s v="Thilini Bandara"/>
  </r>
  <r>
    <s v="ORD-1688"/>
    <d v="2025-03-03T00:00:00"/>
    <x v="11"/>
    <s v="Asela Bandara"/>
    <x v="1"/>
    <x v="1"/>
    <x v="4"/>
    <x v="23"/>
    <n v="12998.47"/>
    <n v="1"/>
    <n v="0"/>
    <n v="12998.47"/>
    <n v="0"/>
    <n v="12998.47"/>
    <x v="5"/>
    <x v="0"/>
    <s v="Kavya Fernando"/>
  </r>
  <r>
    <s v="ORD-1689"/>
    <d v="2025-03-04T00:00:00"/>
    <x v="11"/>
    <s v="Asela Rajapaksa"/>
    <x v="9"/>
    <x v="7"/>
    <x v="6"/>
    <x v="21"/>
    <n v="1940.3"/>
    <n v="5"/>
    <n v="0"/>
    <n v="9701.5"/>
    <n v="0"/>
    <n v="9701.5"/>
    <x v="3"/>
    <x v="0"/>
    <s v="Kavya Fernando"/>
  </r>
  <r>
    <s v="ORD-1690"/>
    <d v="2025-03-05T00:00:00"/>
    <x v="11"/>
    <s v="Kavindi Silva"/>
    <x v="4"/>
    <x v="0"/>
    <x v="1"/>
    <x v="26"/>
    <n v="1114.17"/>
    <n v="2"/>
    <n v="0"/>
    <n v="2228.34"/>
    <n v="0"/>
    <n v="2228.34"/>
    <x v="1"/>
    <x v="0"/>
    <s v="Dinesh Silva"/>
  </r>
  <r>
    <s v="ORD-1691"/>
    <d v="2025-03-06T00:00:00"/>
    <x v="11"/>
    <s v="Kumari Kumara"/>
    <x v="1"/>
    <x v="1"/>
    <x v="3"/>
    <x v="10"/>
    <n v="89669.77"/>
    <n v="4"/>
    <n v="15"/>
    <n v="358679.08"/>
    <n v="53801.862000000001"/>
    <n v="304877.21799999999"/>
    <x v="1"/>
    <x v="0"/>
    <s v="Amara Perera"/>
  </r>
  <r>
    <s v="ORD-1692"/>
    <d v="2025-03-07T00:00:00"/>
    <x v="11"/>
    <s v="Dinesh Senanayake"/>
    <x v="0"/>
    <x v="0"/>
    <x v="4"/>
    <x v="4"/>
    <n v="3785.97"/>
    <n v="1"/>
    <n v="0"/>
    <n v="3785.97"/>
    <n v="0"/>
    <n v="3785.97"/>
    <x v="3"/>
    <x v="1"/>
    <s v="Amara Perera"/>
  </r>
  <r>
    <s v="ORD-1693"/>
    <d v="2025-03-08T00:00:00"/>
    <x v="11"/>
    <s v="Dilini Senanayake"/>
    <x v="4"/>
    <x v="0"/>
    <x v="5"/>
    <x v="24"/>
    <n v="3279.35"/>
    <n v="3"/>
    <n v="10"/>
    <n v="9838.0499999999993"/>
    <n v="983.80499999999995"/>
    <n v="8854.244999999999"/>
    <x v="5"/>
    <x v="0"/>
    <s v="Kavya Fernando"/>
  </r>
  <r>
    <s v="ORD-1694"/>
    <d v="2025-03-09T00:00:00"/>
    <x v="11"/>
    <s v="Anusha Rajapaksa"/>
    <x v="9"/>
    <x v="7"/>
    <x v="6"/>
    <x v="9"/>
    <n v="369.66"/>
    <n v="5"/>
    <n v="0"/>
    <n v="1848.3000000000002"/>
    <n v="0"/>
    <n v="1848.3000000000002"/>
    <x v="0"/>
    <x v="3"/>
    <s v="Amara Perera"/>
  </r>
  <r>
    <s v="ORD-1695"/>
    <d v="2025-03-10T00:00:00"/>
    <x v="11"/>
    <s v="Rajith Perera"/>
    <x v="7"/>
    <x v="6"/>
    <x v="1"/>
    <x v="26"/>
    <n v="1125.97"/>
    <n v="3"/>
    <n v="0"/>
    <n v="3377.91"/>
    <n v="0"/>
    <n v="3377.91"/>
    <x v="0"/>
    <x v="0"/>
    <s v="Amara Perera"/>
  </r>
  <r>
    <s v="ORD-1696"/>
    <d v="2025-03-11T00:00:00"/>
    <x v="11"/>
    <s v="Dinesh Kumara"/>
    <x v="6"/>
    <x v="5"/>
    <x v="2"/>
    <x v="33"/>
    <n v="843.32"/>
    <n v="1"/>
    <n v="0"/>
    <n v="843.32"/>
    <n v="0"/>
    <n v="843.32"/>
    <x v="3"/>
    <x v="0"/>
    <s v="Ruwan Jayasuriya"/>
  </r>
  <r>
    <s v="ORD-1697"/>
    <d v="2025-03-12T00:00:00"/>
    <x v="11"/>
    <s v="Dinesh Jayasuriya"/>
    <x v="5"/>
    <x v="4"/>
    <x v="3"/>
    <x v="36"/>
    <n v="60107"/>
    <n v="1"/>
    <n v="15"/>
    <n v="60107"/>
    <n v="9016.0499999999993"/>
    <n v="51090.95"/>
    <x v="1"/>
    <x v="0"/>
    <s v="Kavya Fernando"/>
  </r>
  <r>
    <s v="ORD-1698"/>
    <d v="2025-03-13T00:00:00"/>
    <x v="11"/>
    <s v="Malika Bandara"/>
    <x v="0"/>
    <x v="0"/>
    <x v="3"/>
    <x v="36"/>
    <n v="64918.27"/>
    <n v="4"/>
    <n v="15"/>
    <n v="259673.08"/>
    <n v="38950.962"/>
    <n v="220722.11799999999"/>
    <x v="2"/>
    <x v="3"/>
    <s v="Kavya Fernando"/>
  </r>
  <r>
    <s v="ORD-1699"/>
    <d v="2025-03-14T00:00:00"/>
    <x v="11"/>
    <s v="Saman Jayasuriya"/>
    <x v="7"/>
    <x v="6"/>
    <x v="4"/>
    <x v="15"/>
    <n v="3071.58"/>
    <n v="4"/>
    <n v="15"/>
    <n v="12286.32"/>
    <n v="1842.9479999999999"/>
    <n v="10443.371999999999"/>
    <x v="5"/>
    <x v="2"/>
    <s v="Ruwan Jayasuriya"/>
  </r>
  <r>
    <s v="ORD-1700"/>
    <d v="2025-03-15T00:00:00"/>
    <x v="11"/>
    <s v="Anusha Fernando"/>
    <x v="0"/>
    <x v="0"/>
    <x v="0"/>
    <x v="13"/>
    <n v="1241.3"/>
    <n v="4"/>
    <n v="0"/>
    <n v="4965.2"/>
    <n v="0"/>
    <n v="4965.2"/>
    <x v="0"/>
    <x v="1"/>
    <s v="Amara Perera"/>
  </r>
  <r>
    <s v="ORD-1701"/>
    <d v="2025-03-16T00:00:00"/>
    <x v="11"/>
    <s v="Ruwan Dissanayake"/>
    <x v="5"/>
    <x v="4"/>
    <x v="0"/>
    <x v="6"/>
    <n v="1971.93"/>
    <n v="2"/>
    <n v="0"/>
    <n v="3943.86"/>
    <n v="0"/>
    <n v="3943.86"/>
    <x v="3"/>
    <x v="0"/>
    <s v="Kavya Fernando"/>
  </r>
  <r>
    <s v="ORD-1702"/>
    <d v="2025-03-17T00:00:00"/>
    <x v="11"/>
    <s v="Nadeesha Dissanayake"/>
    <x v="1"/>
    <x v="1"/>
    <x v="1"/>
    <x v="35"/>
    <n v="2612.6"/>
    <n v="3"/>
    <n v="15"/>
    <n v="7837.7999999999993"/>
    <n v="1175.6699999999998"/>
    <n v="6662.1299999999992"/>
    <x v="0"/>
    <x v="3"/>
    <s v="Kavya Fernando"/>
  </r>
  <r>
    <s v="ORD-1703"/>
    <d v="2025-03-18T00:00:00"/>
    <x v="11"/>
    <s v="Bandara Rajapaksa"/>
    <x v="6"/>
    <x v="5"/>
    <x v="0"/>
    <x v="6"/>
    <n v="1962.05"/>
    <n v="4"/>
    <n v="0"/>
    <n v="7848.2"/>
    <n v="0"/>
    <n v="7848.2"/>
    <x v="3"/>
    <x v="0"/>
    <s v="Ruwan Jayasuriya"/>
  </r>
  <r>
    <s v="ORD-1704"/>
    <d v="2025-03-19T00:00:00"/>
    <x v="11"/>
    <s v="Dilini Wickramasinghe"/>
    <x v="6"/>
    <x v="5"/>
    <x v="4"/>
    <x v="20"/>
    <n v="5641.21"/>
    <n v="2"/>
    <n v="0"/>
    <n v="11282.42"/>
    <n v="0"/>
    <n v="11282.42"/>
    <x v="5"/>
    <x v="1"/>
    <s v="Amara Perera"/>
  </r>
  <r>
    <s v="ORD-1705"/>
    <d v="2025-03-20T00:00:00"/>
    <x v="11"/>
    <s v="Roshani Pathirana"/>
    <x v="0"/>
    <x v="0"/>
    <x v="1"/>
    <x v="35"/>
    <n v="2552.29"/>
    <n v="3"/>
    <n v="0"/>
    <n v="7656.87"/>
    <n v="0"/>
    <n v="7656.87"/>
    <x v="3"/>
    <x v="3"/>
    <s v="Thilini Bandara"/>
  </r>
  <r>
    <s v="ORD-1706"/>
    <d v="2025-03-21T00:00:00"/>
    <x v="11"/>
    <s v="Kamal Pathirana"/>
    <x v="7"/>
    <x v="6"/>
    <x v="6"/>
    <x v="21"/>
    <n v="1905.38"/>
    <n v="2"/>
    <n v="0"/>
    <n v="3810.76"/>
    <n v="0"/>
    <n v="3810.76"/>
    <x v="2"/>
    <x v="0"/>
    <s v="Thilini Bandara"/>
  </r>
  <r>
    <s v="ORD-1707"/>
    <d v="2025-03-22T00:00:00"/>
    <x v="11"/>
    <s v="Hasini Rajapaksa"/>
    <x v="7"/>
    <x v="6"/>
    <x v="5"/>
    <x v="30"/>
    <n v="9269.39"/>
    <n v="1"/>
    <n v="0"/>
    <n v="9269.39"/>
    <n v="0"/>
    <n v="9269.39"/>
    <x v="5"/>
    <x v="0"/>
    <s v="Ruwan Jayasuriya"/>
  </r>
  <r>
    <s v="ORD-1708"/>
    <d v="2025-03-23T00:00:00"/>
    <x v="11"/>
    <s v="Bandara Gunasekara"/>
    <x v="6"/>
    <x v="5"/>
    <x v="3"/>
    <x v="10"/>
    <n v="79506.78"/>
    <n v="3"/>
    <n v="0"/>
    <n v="238520.34"/>
    <n v="0"/>
    <n v="238520.34"/>
    <x v="1"/>
    <x v="0"/>
    <s v="Ruwan Jayasuriya"/>
  </r>
  <r>
    <s v="ORD-1709"/>
    <d v="2025-03-24T00:00:00"/>
    <x v="11"/>
    <s v="Malika Kumara"/>
    <x v="5"/>
    <x v="4"/>
    <x v="4"/>
    <x v="4"/>
    <n v="3548.2"/>
    <n v="4"/>
    <n v="10"/>
    <n v="14192.8"/>
    <n v="1419.28"/>
    <n v="12773.519999999999"/>
    <x v="0"/>
    <x v="1"/>
    <s v="Thilini Bandara"/>
  </r>
  <r>
    <s v="ORD-1710"/>
    <d v="2025-03-25T00:00:00"/>
    <x v="11"/>
    <s v="Roshani Gunasekara"/>
    <x v="7"/>
    <x v="6"/>
    <x v="6"/>
    <x v="14"/>
    <n v="650.87"/>
    <n v="4"/>
    <n v="10"/>
    <n v="2603.48"/>
    <n v="260.34800000000001"/>
    <n v="2343.1320000000001"/>
    <x v="2"/>
    <x v="3"/>
    <s v="Ruwan Jayasuriya"/>
  </r>
  <r>
    <s v="ORD-1711"/>
    <d v="2025-03-26T00:00:00"/>
    <x v="11"/>
    <s v="Thilini Rajapaksa"/>
    <x v="3"/>
    <x v="3"/>
    <x v="2"/>
    <x v="2"/>
    <n v="2264.0700000000002"/>
    <n v="1"/>
    <n v="0"/>
    <n v="2264.0700000000002"/>
    <n v="0"/>
    <n v="2264.0700000000002"/>
    <x v="3"/>
    <x v="0"/>
    <s v="Thilini Bandara"/>
  </r>
  <r>
    <s v="ORD-1712"/>
    <d v="2025-03-27T00:00:00"/>
    <x v="11"/>
    <s v="Dhanushka Rajapaksa"/>
    <x v="5"/>
    <x v="4"/>
    <x v="3"/>
    <x v="3"/>
    <n v="11628.34"/>
    <n v="3"/>
    <n v="0"/>
    <n v="34885.020000000004"/>
    <n v="0"/>
    <n v="34885.020000000004"/>
    <x v="3"/>
    <x v="0"/>
    <s v="Dinesh Silva"/>
  </r>
  <r>
    <s v="ORD-1713"/>
    <d v="2025-03-28T00:00:00"/>
    <x v="11"/>
    <s v="Ishara Pathirana"/>
    <x v="3"/>
    <x v="3"/>
    <x v="5"/>
    <x v="30"/>
    <n v="9197.66"/>
    <n v="1"/>
    <n v="0"/>
    <n v="9197.66"/>
    <n v="0"/>
    <n v="9197.66"/>
    <x v="5"/>
    <x v="0"/>
    <s v="Dinesh Silva"/>
  </r>
  <r>
    <s v="ORD-1714"/>
    <d v="2025-03-29T00:00:00"/>
    <x v="11"/>
    <s v="Hasini Rajapaksa"/>
    <x v="0"/>
    <x v="0"/>
    <x v="4"/>
    <x v="23"/>
    <n v="12163.32"/>
    <n v="4"/>
    <n v="10"/>
    <n v="48653.279999999999"/>
    <n v="4865.3279999999995"/>
    <n v="43787.951999999997"/>
    <x v="5"/>
    <x v="1"/>
    <s v="Ruwan Jayasuriya"/>
  </r>
  <r>
    <s v="ORD-1715"/>
    <d v="2025-03-30T00:00:00"/>
    <x v="11"/>
    <s v="Kasun Rajapaksa"/>
    <x v="5"/>
    <x v="4"/>
    <x v="5"/>
    <x v="7"/>
    <n v="4340.18"/>
    <n v="1"/>
    <n v="0"/>
    <n v="4340.18"/>
    <n v="0"/>
    <n v="4340.18"/>
    <x v="5"/>
    <x v="1"/>
    <s v="Dinesh Silva"/>
  </r>
  <r>
    <s v="ORD-1716"/>
    <d v="2025-03-31T00:00:00"/>
    <x v="11"/>
    <s v="Roshani Bandara"/>
    <x v="8"/>
    <x v="7"/>
    <x v="1"/>
    <x v="28"/>
    <n v="4799.5200000000004"/>
    <n v="4"/>
    <n v="10"/>
    <n v="19198.080000000002"/>
    <n v="1919.8080000000002"/>
    <n v="17278.272000000001"/>
    <x v="2"/>
    <x v="1"/>
    <s v="Amara Perera"/>
  </r>
  <r>
    <s v="ORD-1717"/>
    <d v="2025-04-01T00:00:00"/>
    <x v="0"/>
    <s v="Chamara Wickramasinghe"/>
    <x v="3"/>
    <x v="3"/>
    <x v="3"/>
    <x v="36"/>
    <n v="71450.960000000006"/>
    <n v="4"/>
    <n v="15"/>
    <n v="285803.84000000003"/>
    <n v="42870.576000000008"/>
    <n v="242933.26400000002"/>
    <x v="0"/>
    <x v="1"/>
    <s v="Amara Perera"/>
  </r>
  <r>
    <s v="ORD-1718"/>
    <d v="2025-04-02T00:00:00"/>
    <x v="0"/>
    <s v="Rajith Silva"/>
    <x v="2"/>
    <x v="2"/>
    <x v="2"/>
    <x v="31"/>
    <n v="1096.1400000000001"/>
    <n v="5"/>
    <n v="0"/>
    <n v="5480.7000000000007"/>
    <n v="0"/>
    <n v="5480.7000000000007"/>
    <x v="2"/>
    <x v="0"/>
    <s v="Kavya Fernando"/>
  </r>
  <r>
    <s v="ORD-1719"/>
    <d v="2025-04-03T00:00:00"/>
    <x v="0"/>
    <s v="Dhanushka Wickramasinghe"/>
    <x v="7"/>
    <x v="6"/>
    <x v="6"/>
    <x v="22"/>
    <n v="2170.48"/>
    <n v="5"/>
    <n v="0"/>
    <n v="10852.4"/>
    <n v="0"/>
    <n v="10852.4"/>
    <x v="1"/>
    <x v="0"/>
    <s v="Ruwan Jayasuriya"/>
  </r>
  <r>
    <s v="ORD-1720"/>
    <d v="2025-04-04T00:00:00"/>
    <x v="0"/>
    <s v="Nadeesha Bandara"/>
    <x v="6"/>
    <x v="5"/>
    <x v="0"/>
    <x v="6"/>
    <n v="1685.02"/>
    <n v="1"/>
    <n v="10"/>
    <n v="1685.02"/>
    <n v="168.50200000000001"/>
    <n v="1516.518"/>
    <x v="0"/>
    <x v="2"/>
    <s v="Dinesh Silva"/>
  </r>
  <r>
    <s v="ORD-1721"/>
    <d v="2025-04-05T00:00:00"/>
    <x v="0"/>
    <s v="Roshani Jayasuriya"/>
    <x v="6"/>
    <x v="5"/>
    <x v="2"/>
    <x v="33"/>
    <n v="955.61"/>
    <n v="4"/>
    <n v="0"/>
    <n v="3822.44"/>
    <n v="0"/>
    <n v="3822.44"/>
    <x v="5"/>
    <x v="3"/>
    <s v="Dinesh Silva"/>
  </r>
  <r>
    <s v="ORD-1722"/>
    <d v="2025-04-06T00:00:00"/>
    <x v="0"/>
    <s v="Saman Fernando"/>
    <x v="4"/>
    <x v="0"/>
    <x v="1"/>
    <x v="26"/>
    <n v="1244.47"/>
    <n v="3"/>
    <n v="15"/>
    <n v="3733.41"/>
    <n v="560.01149999999996"/>
    <n v="3173.3984999999998"/>
    <x v="2"/>
    <x v="0"/>
    <s v="Amara Perera"/>
  </r>
  <r>
    <s v="ORD-1723"/>
    <d v="2025-04-07T00:00:00"/>
    <x v="0"/>
    <s v="Chamara Dissanayake"/>
    <x v="3"/>
    <x v="3"/>
    <x v="6"/>
    <x v="22"/>
    <n v="2264.2600000000002"/>
    <n v="3"/>
    <n v="0"/>
    <n v="6792.7800000000007"/>
    <n v="0"/>
    <n v="6792.7800000000007"/>
    <x v="0"/>
    <x v="0"/>
    <s v="Ruwan Jayasuriya"/>
  </r>
  <r>
    <s v="ORD-1724"/>
    <d v="2025-04-08T00:00:00"/>
    <x v="0"/>
    <s v="Dilini Fernando"/>
    <x v="4"/>
    <x v="0"/>
    <x v="3"/>
    <x v="5"/>
    <n v="158911.34"/>
    <n v="3"/>
    <n v="5"/>
    <n v="476734.02"/>
    <n v="23836.701000000001"/>
    <n v="452897.31900000002"/>
    <x v="2"/>
    <x v="3"/>
    <s v="Ruwan Jayasuriya"/>
  </r>
  <r>
    <s v="ORD-1725"/>
    <d v="2025-04-09T00:00:00"/>
    <x v="0"/>
    <s v="Dhanushka Perera"/>
    <x v="4"/>
    <x v="0"/>
    <x v="1"/>
    <x v="16"/>
    <n v="7418.29"/>
    <n v="3"/>
    <n v="15"/>
    <n v="22254.87"/>
    <n v="3338.2304999999997"/>
    <n v="18916.639499999997"/>
    <x v="0"/>
    <x v="0"/>
    <s v="Amara Perera"/>
  </r>
  <r>
    <s v="ORD-1726"/>
    <d v="2025-04-10T00:00:00"/>
    <x v="0"/>
    <s v="Roshani Perera"/>
    <x v="0"/>
    <x v="0"/>
    <x v="6"/>
    <x v="11"/>
    <n v="1444.17"/>
    <n v="3"/>
    <n v="5"/>
    <n v="4332.51"/>
    <n v="216.62550000000002"/>
    <n v="4115.8845000000001"/>
    <x v="2"/>
    <x v="0"/>
    <s v="Amara Perera"/>
  </r>
  <r>
    <s v="ORD-1727"/>
    <d v="2025-04-11T00:00:00"/>
    <x v="0"/>
    <s v="Kavindi Fernando"/>
    <x v="4"/>
    <x v="0"/>
    <x v="3"/>
    <x v="18"/>
    <n v="125627.53"/>
    <n v="1"/>
    <n v="0"/>
    <n v="125627.53"/>
    <n v="0"/>
    <n v="125627.53"/>
    <x v="0"/>
    <x v="2"/>
    <s v="Thilini Bandara"/>
  </r>
  <r>
    <s v="ORD-1728"/>
    <d v="2025-04-12T00:00:00"/>
    <x v="0"/>
    <s v="Roshani Silva"/>
    <x v="4"/>
    <x v="0"/>
    <x v="5"/>
    <x v="30"/>
    <n v="8964.42"/>
    <n v="3"/>
    <n v="15"/>
    <n v="26893.260000000002"/>
    <n v="4033.989"/>
    <n v="22859.271000000001"/>
    <x v="0"/>
    <x v="1"/>
    <s v="Ruwan Jayasuriya"/>
  </r>
  <r>
    <s v="ORD-1729"/>
    <d v="2025-04-13T00:00:00"/>
    <x v="0"/>
    <s v="Kavindi Jayasuriya"/>
    <x v="5"/>
    <x v="4"/>
    <x v="1"/>
    <x v="1"/>
    <n v="4146.13"/>
    <n v="2"/>
    <n v="10"/>
    <n v="8292.26"/>
    <n v="829.22600000000011"/>
    <n v="7463.0339999999997"/>
    <x v="2"/>
    <x v="0"/>
    <s v="Kavya Fernando"/>
  </r>
  <r>
    <s v="ORD-1730"/>
    <d v="2025-04-14T00:00:00"/>
    <x v="0"/>
    <s v="Nimali Gunasekara"/>
    <x v="7"/>
    <x v="6"/>
    <x v="2"/>
    <x v="2"/>
    <n v="2408.2399999999998"/>
    <n v="4"/>
    <n v="0"/>
    <n v="9632.9599999999991"/>
    <n v="0"/>
    <n v="9632.9599999999991"/>
    <x v="1"/>
    <x v="0"/>
    <s v="Dinesh Silva"/>
  </r>
  <r>
    <s v="ORD-1731"/>
    <d v="2025-04-15T00:00:00"/>
    <x v="0"/>
    <s v="Roshani Kumara"/>
    <x v="8"/>
    <x v="7"/>
    <x v="6"/>
    <x v="22"/>
    <n v="1989.27"/>
    <n v="5"/>
    <n v="0"/>
    <n v="9946.35"/>
    <n v="0"/>
    <n v="9946.35"/>
    <x v="5"/>
    <x v="1"/>
    <s v="Dinesh Silva"/>
  </r>
  <r>
    <s v="ORD-1732"/>
    <d v="2025-04-16T00:00:00"/>
    <x v="0"/>
    <s v="Hasini Dissanayake"/>
    <x v="3"/>
    <x v="3"/>
    <x v="0"/>
    <x v="0"/>
    <n v="1620.95"/>
    <n v="1"/>
    <n v="5"/>
    <n v="1620.95"/>
    <n v="81.047499999999999"/>
    <n v="1539.9025000000001"/>
    <x v="1"/>
    <x v="2"/>
    <s v="Ruwan Jayasuriya"/>
  </r>
  <r>
    <s v="ORD-1733"/>
    <d v="2025-04-17T00:00:00"/>
    <x v="0"/>
    <s v="Kasun Dissanayake"/>
    <x v="3"/>
    <x v="3"/>
    <x v="2"/>
    <x v="2"/>
    <n v="2718.16"/>
    <n v="2"/>
    <n v="5"/>
    <n v="5436.32"/>
    <n v="271.81599999999997"/>
    <n v="5164.5039999999999"/>
    <x v="1"/>
    <x v="2"/>
    <s v="Dinesh Silva"/>
  </r>
  <r>
    <s v="ORD-1734"/>
    <d v="2025-04-18T00:00:00"/>
    <x v="0"/>
    <s v="Dhanushka Rajapaksa"/>
    <x v="5"/>
    <x v="4"/>
    <x v="6"/>
    <x v="11"/>
    <n v="1432.21"/>
    <n v="1"/>
    <n v="0"/>
    <n v="1432.21"/>
    <n v="0"/>
    <n v="1432.21"/>
    <x v="2"/>
    <x v="1"/>
    <s v="Ruwan Jayasuriya"/>
  </r>
  <r>
    <s v="ORD-1735"/>
    <d v="2025-04-19T00:00:00"/>
    <x v="0"/>
    <s v="Asela Dissanayake"/>
    <x v="1"/>
    <x v="1"/>
    <x v="6"/>
    <x v="14"/>
    <n v="675.8"/>
    <n v="5"/>
    <n v="15"/>
    <n v="3379"/>
    <n v="506.85"/>
    <n v="2872.15"/>
    <x v="3"/>
    <x v="0"/>
    <s v="Thilini Bandara"/>
  </r>
  <r>
    <s v="ORD-1736"/>
    <d v="2025-04-20T00:00:00"/>
    <x v="0"/>
    <s v="Hasini Kumara"/>
    <x v="8"/>
    <x v="7"/>
    <x v="4"/>
    <x v="4"/>
    <n v="3683.38"/>
    <n v="2"/>
    <n v="0"/>
    <n v="7366.76"/>
    <n v="0"/>
    <n v="7366.76"/>
    <x v="2"/>
    <x v="2"/>
    <s v="Dinesh Silva"/>
  </r>
  <r>
    <s v="ORD-1737"/>
    <d v="2025-04-21T00:00:00"/>
    <x v="0"/>
    <s v="Bandara Jayasuriya"/>
    <x v="3"/>
    <x v="3"/>
    <x v="2"/>
    <x v="33"/>
    <n v="824.8"/>
    <n v="2"/>
    <n v="10"/>
    <n v="1649.6"/>
    <n v="164.96"/>
    <n v="1484.6399999999999"/>
    <x v="0"/>
    <x v="1"/>
    <s v="Dinesh Silva"/>
  </r>
  <r>
    <s v="ORD-1738"/>
    <d v="2025-04-22T00:00:00"/>
    <x v="0"/>
    <s v="Thilini Dissanayake"/>
    <x v="8"/>
    <x v="7"/>
    <x v="4"/>
    <x v="23"/>
    <n v="12896.41"/>
    <n v="2"/>
    <n v="0"/>
    <n v="25792.82"/>
    <n v="0"/>
    <n v="25792.82"/>
    <x v="1"/>
    <x v="1"/>
    <s v="Thilini Bandara"/>
  </r>
  <r>
    <s v="ORD-1739"/>
    <d v="2025-04-23T00:00:00"/>
    <x v="0"/>
    <s v="Malika Jayasuriya"/>
    <x v="1"/>
    <x v="1"/>
    <x v="4"/>
    <x v="15"/>
    <n v="2621.86"/>
    <n v="4"/>
    <n v="10"/>
    <n v="10487.44"/>
    <n v="1048.7440000000001"/>
    <n v="9438.6959999999999"/>
    <x v="1"/>
    <x v="0"/>
    <s v="Amara Perera"/>
  </r>
  <r>
    <s v="ORD-1740"/>
    <d v="2025-04-24T00:00:00"/>
    <x v="0"/>
    <s v="Dhanushka Senanayake"/>
    <x v="4"/>
    <x v="0"/>
    <x v="3"/>
    <x v="3"/>
    <n v="11275.84"/>
    <n v="2"/>
    <n v="10"/>
    <n v="22551.68"/>
    <n v="2255.1679999999997"/>
    <n v="20296.512000000002"/>
    <x v="2"/>
    <x v="3"/>
    <s v="Ruwan Jayasuriya"/>
  </r>
  <r>
    <s v="ORD-1741"/>
    <d v="2025-04-25T00:00:00"/>
    <x v="0"/>
    <s v="Pradeep Fernando"/>
    <x v="1"/>
    <x v="1"/>
    <x v="2"/>
    <x v="27"/>
    <n v="871.56"/>
    <n v="1"/>
    <n v="15"/>
    <n v="871.56"/>
    <n v="130.73400000000001"/>
    <n v="740.82599999999991"/>
    <x v="0"/>
    <x v="0"/>
    <s v="Ruwan Jayasuriya"/>
  </r>
  <r>
    <s v="ORD-1742"/>
    <d v="2025-04-26T00:00:00"/>
    <x v="0"/>
    <s v="Roshani Silva"/>
    <x v="4"/>
    <x v="0"/>
    <x v="0"/>
    <x v="25"/>
    <n v="2345.27"/>
    <n v="3"/>
    <n v="5"/>
    <n v="7035.8099999999995"/>
    <n v="351.79049999999995"/>
    <n v="6684.0194999999994"/>
    <x v="2"/>
    <x v="0"/>
    <s v="Dinesh Silva"/>
  </r>
  <r>
    <s v="ORD-1743"/>
    <d v="2025-04-27T00:00:00"/>
    <x v="0"/>
    <s v="Chamara Senanayake"/>
    <x v="4"/>
    <x v="0"/>
    <x v="6"/>
    <x v="22"/>
    <n v="2299.75"/>
    <n v="2"/>
    <n v="0"/>
    <n v="4599.5"/>
    <n v="0"/>
    <n v="4599.5"/>
    <x v="1"/>
    <x v="0"/>
    <s v="Dinesh Silva"/>
  </r>
  <r>
    <s v="ORD-1744"/>
    <d v="2025-04-28T00:00:00"/>
    <x v="0"/>
    <s v="Malika Wickramasinghe"/>
    <x v="4"/>
    <x v="0"/>
    <x v="5"/>
    <x v="7"/>
    <n v="4866.6000000000004"/>
    <n v="3"/>
    <n v="5"/>
    <n v="14599.800000000001"/>
    <n v="729.99"/>
    <n v="13869.810000000001"/>
    <x v="2"/>
    <x v="0"/>
    <s v="Amara Perera"/>
  </r>
  <r>
    <s v="ORD-1745"/>
    <d v="2025-04-29T00:00:00"/>
    <x v="0"/>
    <s v="Ruwan Rajapaksa"/>
    <x v="5"/>
    <x v="4"/>
    <x v="0"/>
    <x v="25"/>
    <n v="2606.67"/>
    <n v="4"/>
    <n v="10"/>
    <n v="10426.68"/>
    <n v="1042.6680000000001"/>
    <n v="9384.0120000000006"/>
    <x v="3"/>
    <x v="0"/>
    <s v="Amara Perera"/>
  </r>
  <r>
    <s v="ORD-1746"/>
    <d v="2025-04-30T00:00:00"/>
    <x v="0"/>
    <s v="Nimali Perera"/>
    <x v="8"/>
    <x v="7"/>
    <x v="1"/>
    <x v="35"/>
    <n v="2704.11"/>
    <n v="5"/>
    <n v="0"/>
    <n v="13520.550000000001"/>
    <n v="0"/>
    <n v="13520.550000000001"/>
    <x v="0"/>
    <x v="1"/>
    <s v="Amara Perera"/>
  </r>
  <r>
    <s v="ORD-1747"/>
    <d v="2025-05-01T00:00:00"/>
    <x v="1"/>
    <s v="Pradeep Bandara"/>
    <x v="2"/>
    <x v="2"/>
    <x v="4"/>
    <x v="15"/>
    <n v="3067.41"/>
    <n v="3"/>
    <n v="0"/>
    <n v="9202.23"/>
    <n v="0"/>
    <n v="9202.23"/>
    <x v="0"/>
    <x v="0"/>
    <s v="Thilini Bandara"/>
  </r>
  <r>
    <s v="ORD-1748"/>
    <d v="2025-05-02T00:00:00"/>
    <x v="1"/>
    <s v="Pradeep Fernando"/>
    <x v="7"/>
    <x v="6"/>
    <x v="4"/>
    <x v="15"/>
    <n v="3011.62"/>
    <n v="2"/>
    <n v="5"/>
    <n v="6023.24"/>
    <n v="301.16199999999998"/>
    <n v="5722.0779999999995"/>
    <x v="3"/>
    <x v="1"/>
    <s v="Thilini Bandara"/>
  </r>
  <r>
    <s v="ORD-1749"/>
    <d v="2025-05-03T00:00:00"/>
    <x v="1"/>
    <s v="Ruwan Wickramasinghe"/>
    <x v="1"/>
    <x v="1"/>
    <x v="2"/>
    <x v="2"/>
    <n v="2739.26"/>
    <n v="4"/>
    <n v="0"/>
    <n v="10957.04"/>
    <n v="0"/>
    <n v="10957.04"/>
    <x v="3"/>
    <x v="0"/>
    <s v="Kavya Fernando"/>
  </r>
  <r>
    <s v="ORD-1750"/>
    <d v="2025-05-04T00:00:00"/>
    <x v="1"/>
    <s v="Nadeesha Wickramasinghe"/>
    <x v="7"/>
    <x v="6"/>
    <x v="2"/>
    <x v="8"/>
    <n v="647.12"/>
    <n v="3"/>
    <n v="0"/>
    <n v="1941.3600000000001"/>
    <n v="0"/>
    <n v="1941.3600000000001"/>
    <x v="1"/>
    <x v="3"/>
    <s v="Ruwan Jayasuriya"/>
  </r>
  <r>
    <s v="ORD-1751"/>
    <d v="2025-05-05T00:00:00"/>
    <x v="1"/>
    <s v="Chamara Fernando"/>
    <x v="0"/>
    <x v="0"/>
    <x v="1"/>
    <x v="1"/>
    <n v="4082.28"/>
    <n v="3"/>
    <n v="5"/>
    <n v="12246.84"/>
    <n v="612.34199999999998"/>
    <n v="11634.498"/>
    <x v="2"/>
    <x v="0"/>
    <s v="Amara Perera"/>
  </r>
  <r>
    <s v="ORD-1752"/>
    <d v="2025-05-06T00:00:00"/>
    <x v="1"/>
    <s v="Nimali Gunasekara"/>
    <x v="8"/>
    <x v="7"/>
    <x v="0"/>
    <x v="6"/>
    <n v="1794.67"/>
    <n v="4"/>
    <n v="0"/>
    <n v="7178.68"/>
    <n v="0"/>
    <n v="7178.68"/>
    <x v="1"/>
    <x v="0"/>
    <s v="Kavya Fernando"/>
  </r>
  <r>
    <s v="ORD-1753"/>
    <d v="2025-05-07T00:00:00"/>
    <x v="1"/>
    <s v="Chamara Wickramasinghe"/>
    <x v="9"/>
    <x v="7"/>
    <x v="6"/>
    <x v="14"/>
    <n v="682.49"/>
    <n v="3"/>
    <n v="0"/>
    <n v="2047.47"/>
    <n v="0"/>
    <n v="2047.47"/>
    <x v="0"/>
    <x v="0"/>
    <s v="Thilini Bandara"/>
  </r>
  <r>
    <s v="ORD-1754"/>
    <d v="2025-05-08T00:00:00"/>
    <x v="1"/>
    <s v="Dinesh Senanayake"/>
    <x v="9"/>
    <x v="7"/>
    <x v="4"/>
    <x v="4"/>
    <n v="3322.31"/>
    <n v="4"/>
    <n v="0"/>
    <n v="13289.24"/>
    <n v="0"/>
    <n v="13289.24"/>
    <x v="5"/>
    <x v="0"/>
    <s v="Amara Perera"/>
  </r>
  <r>
    <s v="ORD-1755"/>
    <d v="2025-05-09T00:00:00"/>
    <x v="1"/>
    <s v="Thilini Pathirana"/>
    <x v="1"/>
    <x v="1"/>
    <x v="4"/>
    <x v="15"/>
    <n v="2850.59"/>
    <n v="1"/>
    <n v="5"/>
    <n v="2850.59"/>
    <n v="142.52950000000001"/>
    <n v="2708.0605"/>
    <x v="1"/>
    <x v="0"/>
    <s v="Amara Perera"/>
  </r>
  <r>
    <s v="ORD-1756"/>
    <d v="2025-05-10T00:00:00"/>
    <x v="1"/>
    <s v="Asela Pathirana"/>
    <x v="6"/>
    <x v="5"/>
    <x v="4"/>
    <x v="15"/>
    <n v="2852.75"/>
    <n v="1"/>
    <n v="5"/>
    <n v="2852.75"/>
    <n v="142.63749999999999"/>
    <n v="2710.1125000000002"/>
    <x v="5"/>
    <x v="1"/>
    <s v="Thilini Bandara"/>
  </r>
  <r>
    <s v="ORD-1757"/>
    <d v="2025-05-11T00:00:00"/>
    <x v="1"/>
    <s v="Thilak Kumara"/>
    <x v="2"/>
    <x v="2"/>
    <x v="1"/>
    <x v="1"/>
    <n v="4826.95"/>
    <n v="3"/>
    <n v="10"/>
    <n v="14480.849999999999"/>
    <n v="1448.085"/>
    <n v="13032.764999999999"/>
    <x v="5"/>
    <x v="1"/>
    <s v="Amara Perera"/>
  </r>
  <r>
    <s v="ORD-1758"/>
    <d v="2025-05-12T00:00:00"/>
    <x v="1"/>
    <s v="Nadeesha Dissanayake"/>
    <x v="1"/>
    <x v="1"/>
    <x v="4"/>
    <x v="15"/>
    <n v="2619.69"/>
    <n v="4"/>
    <n v="0"/>
    <n v="10478.76"/>
    <n v="0"/>
    <n v="10478.76"/>
    <x v="5"/>
    <x v="2"/>
    <s v="Dinesh Silva"/>
  </r>
  <r>
    <s v="ORD-1759"/>
    <d v="2025-05-13T00:00:00"/>
    <x v="1"/>
    <s v="Bandara Dissanayake"/>
    <x v="3"/>
    <x v="3"/>
    <x v="0"/>
    <x v="25"/>
    <n v="2310.3000000000002"/>
    <n v="4"/>
    <n v="0"/>
    <n v="9241.2000000000007"/>
    <n v="0"/>
    <n v="9241.2000000000007"/>
    <x v="3"/>
    <x v="1"/>
    <s v="Thilini Bandara"/>
  </r>
  <r>
    <s v="ORD-1760"/>
    <d v="2025-05-14T00:00:00"/>
    <x v="1"/>
    <s v="Anusha Pathirana"/>
    <x v="1"/>
    <x v="1"/>
    <x v="6"/>
    <x v="22"/>
    <n v="2205.5700000000002"/>
    <n v="4"/>
    <n v="10"/>
    <n v="8822.2800000000007"/>
    <n v="882.22800000000007"/>
    <n v="7940.0520000000006"/>
    <x v="2"/>
    <x v="0"/>
    <s v="Kavya Fernando"/>
  </r>
  <r>
    <s v="ORD-1761"/>
    <d v="2025-05-15T00:00:00"/>
    <x v="1"/>
    <s v="Nadeesha Dissanayake"/>
    <x v="1"/>
    <x v="1"/>
    <x v="6"/>
    <x v="21"/>
    <n v="1911.96"/>
    <n v="5"/>
    <n v="0"/>
    <n v="9559.7999999999993"/>
    <n v="0"/>
    <n v="9559.7999999999993"/>
    <x v="2"/>
    <x v="1"/>
    <s v="Ruwan Jayasuriya"/>
  </r>
  <r>
    <s v="ORD-1762"/>
    <d v="2025-05-16T00:00:00"/>
    <x v="1"/>
    <s v="Nimali Bandara"/>
    <x v="8"/>
    <x v="7"/>
    <x v="4"/>
    <x v="20"/>
    <n v="5662.37"/>
    <n v="2"/>
    <n v="0"/>
    <n v="11324.74"/>
    <n v="0"/>
    <n v="11324.74"/>
    <x v="0"/>
    <x v="1"/>
    <s v="Thilini Bandara"/>
  </r>
  <r>
    <s v="ORD-1763"/>
    <d v="2025-05-17T00:00:00"/>
    <x v="1"/>
    <s v="Malika Gunasekara"/>
    <x v="5"/>
    <x v="4"/>
    <x v="3"/>
    <x v="3"/>
    <n v="11520.94"/>
    <n v="2"/>
    <n v="10"/>
    <n v="23041.88"/>
    <n v="2304.1880000000001"/>
    <n v="20737.692000000003"/>
    <x v="3"/>
    <x v="2"/>
    <s v="Dinesh Silva"/>
  </r>
  <r>
    <s v="ORD-1764"/>
    <d v="2025-05-18T00:00:00"/>
    <x v="1"/>
    <s v="Kumari Wickramasinghe"/>
    <x v="2"/>
    <x v="2"/>
    <x v="3"/>
    <x v="18"/>
    <n v="109836.78"/>
    <n v="1"/>
    <n v="5"/>
    <n v="109836.78"/>
    <n v="5491.8389999999999"/>
    <n v="104344.94099999999"/>
    <x v="5"/>
    <x v="3"/>
    <s v="Ruwan Jayasuriya"/>
  </r>
  <r>
    <s v="ORD-1765"/>
    <d v="2025-05-19T00:00:00"/>
    <x v="1"/>
    <s v="Dilini Gunasekara"/>
    <x v="2"/>
    <x v="2"/>
    <x v="6"/>
    <x v="22"/>
    <n v="2136.4"/>
    <n v="5"/>
    <n v="15"/>
    <n v="10682"/>
    <n v="1602.3"/>
    <n v="9079.7000000000007"/>
    <x v="0"/>
    <x v="0"/>
    <s v="Amara Perera"/>
  </r>
  <r>
    <s v="ORD-1766"/>
    <d v="2025-05-20T00:00:00"/>
    <x v="1"/>
    <s v="Thilini Gunasekara"/>
    <x v="9"/>
    <x v="7"/>
    <x v="6"/>
    <x v="14"/>
    <n v="694.58"/>
    <n v="1"/>
    <n v="0"/>
    <n v="694.58"/>
    <n v="0"/>
    <n v="694.58"/>
    <x v="2"/>
    <x v="1"/>
    <s v="Kavya Fernando"/>
  </r>
  <r>
    <s v="ORD-1767"/>
    <d v="2025-05-21T00:00:00"/>
    <x v="1"/>
    <s v="Rajith Kumara"/>
    <x v="6"/>
    <x v="5"/>
    <x v="6"/>
    <x v="21"/>
    <n v="1844.57"/>
    <n v="3"/>
    <n v="0"/>
    <n v="5533.71"/>
    <n v="0"/>
    <n v="5533.71"/>
    <x v="1"/>
    <x v="0"/>
    <s v="Dinesh Silva"/>
  </r>
  <r>
    <s v="ORD-1768"/>
    <d v="2025-05-22T00:00:00"/>
    <x v="1"/>
    <s v="Kavindi Senanayake"/>
    <x v="3"/>
    <x v="3"/>
    <x v="6"/>
    <x v="11"/>
    <n v="1480.14"/>
    <n v="1"/>
    <n v="0"/>
    <n v="1480.14"/>
    <n v="0"/>
    <n v="1480.14"/>
    <x v="2"/>
    <x v="0"/>
    <s v="Amara Perera"/>
  </r>
  <r>
    <s v="ORD-1769"/>
    <d v="2025-05-23T00:00:00"/>
    <x v="1"/>
    <s v="Dhanushka Gunasekara"/>
    <x v="6"/>
    <x v="5"/>
    <x v="0"/>
    <x v="13"/>
    <n v="1288.51"/>
    <n v="5"/>
    <n v="0"/>
    <n v="6442.55"/>
    <n v="0"/>
    <n v="6442.55"/>
    <x v="3"/>
    <x v="3"/>
    <s v="Thilini Bandara"/>
  </r>
  <r>
    <s v="ORD-1770"/>
    <d v="2025-05-24T00:00:00"/>
    <x v="1"/>
    <s v="Asela Pathirana"/>
    <x v="5"/>
    <x v="4"/>
    <x v="6"/>
    <x v="22"/>
    <n v="2018.56"/>
    <n v="2"/>
    <n v="15"/>
    <n v="4037.12"/>
    <n v="605.56799999999998"/>
    <n v="3431.5519999999997"/>
    <x v="1"/>
    <x v="0"/>
    <s v="Amara Perera"/>
  </r>
  <r>
    <s v="ORD-1771"/>
    <d v="2025-05-25T00:00:00"/>
    <x v="1"/>
    <s v="Chamara Perera"/>
    <x v="4"/>
    <x v="0"/>
    <x v="4"/>
    <x v="20"/>
    <n v="5664.71"/>
    <n v="4"/>
    <n v="0"/>
    <n v="22658.84"/>
    <n v="0"/>
    <n v="22658.84"/>
    <x v="0"/>
    <x v="0"/>
    <s v="Amara Perera"/>
  </r>
  <r>
    <s v="ORD-1772"/>
    <d v="2025-05-26T00:00:00"/>
    <x v="1"/>
    <s v="Saman Fernando"/>
    <x v="6"/>
    <x v="5"/>
    <x v="4"/>
    <x v="4"/>
    <n v="3231.52"/>
    <n v="2"/>
    <n v="0"/>
    <n v="6463.04"/>
    <n v="0"/>
    <n v="6463.04"/>
    <x v="2"/>
    <x v="0"/>
    <s v="Ruwan Jayasuriya"/>
  </r>
  <r>
    <s v="ORD-1773"/>
    <d v="2025-05-27T00:00:00"/>
    <x v="1"/>
    <s v="Saman Senanayake"/>
    <x v="4"/>
    <x v="0"/>
    <x v="1"/>
    <x v="16"/>
    <n v="8111.09"/>
    <n v="4"/>
    <n v="15"/>
    <n v="32444.36"/>
    <n v="4866.6540000000005"/>
    <n v="27577.705999999998"/>
    <x v="3"/>
    <x v="0"/>
    <s v="Amara Perera"/>
  </r>
  <r>
    <s v="ORD-1774"/>
    <d v="2025-05-28T00:00:00"/>
    <x v="1"/>
    <s v="Asela Dissanayake"/>
    <x v="5"/>
    <x v="4"/>
    <x v="6"/>
    <x v="21"/>
    <n v="1885.35"/>
    <n v="5"/>
    <n v="5"/>
    <n v="9426.75"/>
    <n v="471.33749999999998"/>
    <n v="8955.4125000000004"/>
    <x v="3"/>
    <x v="0"/>
    <s v="Ruwan Jayasuriya"/>
  </r>
  <r>
    <s v="ORD-1775"/>
    <d v="2025-05-29T00:00:00"/>
    <x v="1"/>
    <s v="Roshani Bandara"/>
    <x v="2"/>
    <x v="2"/>
    <x v="0"/>
    <x v="6"/>
    <n v="1956.7"/>
    <n v="4"/>
    <n v="5"/>
    <n v="7826.8"/>
    <n v="391.34"/>
    <n v="7435.46"/>
    <x v="5"/>
    <x v="3"/>
    <s v="Amara Perera"/>
  </r>
  <r>
    <s v="ORD-1776"/>
    <d v="2025-05-30T00:00:00"/>
    <x v="1"/>
    <s v="Rajith Rajapaksa"/>
    <x v="7"/>
    <x v="6"/>
    <x v="3"/>
    <x v="36"/>
    <n v="70107.399999999994"/>
    <n v="4"/>
    <n v="15"/>
    <n v="280429.59999999998"/>
    <n v="42064.44"/>
    <n v="238365.15999999997"/>
    <x v="5"/>
    <x v="0"/>
    <s v="Thilini Bandara"/>
  </r>
  <r>
    <s v="ORD-1777"/>
    <d v="2025-05-31T00:00:00"/>
    <x v="1"/>
    <s v="Anusha Gunasekara"/>
    <x v="5"/>
    <x v="4"/>
    <x v="3"/>
    <x v="5"/>
    <n v="143640.32000000001"/>
    <n v="2"/>
    <n v="10"/>
    <n v="287280.64000000001"/>
    <n v="28728.064000000002"/>
    <n v="258552.576"/>
    <x v="3"/>
    <x v="0"/>
    <s v="Dinesh Silva"/>
  </r>
  <r>
    <s v="ORD-1778"/>
    <d v="2025-06-01T00:00:00"/>
    <x v="2"/>
    <s v="Ishara Senanayake"/>
    <x v="8"/>
    <x v="7"/>
    <x v="5"/>
    <x v="7"/>
    <n v="4168.04"/>
    <n v="3"/>
    <n v="5"/>
    <n v="12504.119999999999"/>
    <n v="625.2059999999999"/>
    <n v="11878.913999999999"/>
    <x v="2"/>
    <x v="0"/>
    <s v="Kavya Fernando"/>
  </r>
  <r>
    <s v="ORD-1779"/>
    <d v="2025-06-02T00:00:00"/>
    <x v="2"/>
    <s v="Sanduni Senanayake"/>
    <x v="4"/>
    <x v="0"/>
    <x v="2"/>
    <x v="2"/>
    <n v="2583.5300000000002"/>
    <n v="2"/>
    <n v="5"/>
    <n v="5167.0600000000004"/>
    <n v="258.35300000000001"/>
    <n v="4908.7070000000003"/>
    <x v="1"/>
    <x v="0"/>
    <s v="Thilini Bandara"/>
  </r>
  <r>
    <s v="ORD-1780"/>
    <d v="2025-06-03T00:00:00"/>
    <x v="2"/>
    <s v="Dilini Dissanayake"/>
    <x v="6"/>
    <x v="5"/>
    <x v="2"/>
    <x v="27"/>
    <n v="753.51"/>
    <n v="1"/>
    <n v="15"/>
    <n v="753.51"/>
    <n v="113.0265"/>
    <n v="640.48350000000005"/>
    <x v="3"/>
    <x v="0"/>
    <s v="Kavya Fernando"/>
  </r>
  <r>
    <s v="ORD-1781"/>
    <d v="2025-06-04T00:00:00"/>
    <x v="2"/>
    <s v="Sanduni Fernando"/>
    <x v="7"/>
    <x v="6"/>
    <x v="3"/>
    <x v="10"/>
    <n v="82241.490000000005"/>
    <n v="1"/>
    <n v="0"/>
    <n v="82241.490000000005"/>
    <n v="0"/>
    <n v="82241.490000000005"/>
    <x v="1"/>
    <x v="0"/>
    <s v="Thilini Bandara"/>
  </r>
  <r>
    <s v="ORD-1782"/>
    <d v="2025-06-05T00:00:00"/>
    <x v="2"/>
    <s v="Roshani Wickramasinghe"/>
    <x v="8"/>
    <x v="7"/>
    <x v="6"/>
    <x v="22"/>
    <n v="2318.52"/>
    <n v="5"/>
    <n v="10"/>
    <n v="11592.6"/>
    <n v="1159.26"/>
    <n v="10433.34"/>
    <x v="1"/>
    <x v="2"/>
    <s v="Thilini Bandara"/>
  </r>
  <r>
    <s v="ORD-1783"/>
    <d v="2025-06-06T00:00:00"/>
    <x v="2"/>
    <s v="Thilini Silva"/>
    <x v="0"/>
    <x v="0"/>
    <x v="4"/>
    <x v="23"/>
    <n v="13110.35"/>
    <n v="1"/>
    <n v="10"/>
    <n v="13110.35"/>
    <n v="1311.0350000000001"/>
    <n v="11799.315000000001"/>
    <x v="0"/>
    <x v="3"/>
    <s v="Amara Perera"/>
  </r>
  <r>
    <s v="ORD-1784"/>
    <d v="2025-06-07T00:00:00"/>
    <x v="2"/>
    <s v="Nimali Bandara"/>
    <x v="1"/>
    <x v="1"/>
    <x v="1"/>
    <x v="26"/>
    <n v="1108.33"/>
    <n v="2"/>
    <n v="15"/>
    <n v="2216.66"/>
    <n v="332.49899999999997"/>
    <n v="1884.1609999999998"/>
    <x v="1"/>
    <x v="1"/>
    <s v="Kavya Fernando"/>
  </r>
  <r>
    <s v="ORD-1785"/>
    <d v="2025-06-08T00:00:00"/>
    <x v="2"/>
    <s v="Saman Bandara"/>
    <x v="6"/>
    <x v="5"/>
    <x v="0"/>
    <x v="29"/>
    <n v="744.69"/>
    <n v="3"/>
    <n v="5"/>
    <n v="2234.0700000000002"/>
    <n v="111.70350000000001"/>
    <n v="2122.3665000000001"/>
    <x v="1"/>
    <x v="0"/>
    <s v="Dinesh Silva"/>
  </r>
  <r>
    <s v="ORD-1786"/>
    <d v="2025-06-09T00:00:00"/>
    <x v="2"/>
    <s v="Kumari Perera"/>
    <x v="4"/>
    <x v="0"/>
    <x v="6"/>
    <x v="21"/>
    <n v="1742.88"/>
    <n v="5"/>
    <n v="15"/>
    <n v="8714.4000000000015"/>
    <n v="1307.1600000000003"/>
    <n v="7407.2400000000016"/>
    <x v="5"/>
    <x v="0"/>
    <s v="Kavya Fernando"/>
  </r>
  <r>
    <s v="ORD-1787"/>
    <d v="2025-06-10T00:00:00"/>
    <x v="2"/>
    <s v="Kumari Rajapaksa"/>
    <x v="4"/>
    <x v="0"/>
    <x v="1"/>
    <x v="28"/>
    <n v="4921.72"/>
    <n v="2"/>
    <n v="5"/>
    <n v="9843.44"/>
    <n v="492.17200000000003"/>
    <n v="9351.268"/>
    <x v="2"/>
    <x v="0"/>
    <s v="Ruwan Jayasuriya"/>
  </r>
  <r>
    <s v="ORD-1788"/>
    <d v="2025-06-11T00:00:00"/>
    <x v="2"/>
    <s v="Dinesh Pathirana"/>
    <x v="8"/>
    <x v="7"/>
    <x v="3"/>
    <x v="3"/>
    <n v="11149.4"/>
    <n v="1"/>
    <n v="0"/>
    <n v="11149.4"/>
    <n v="0"/>
    <n v="11149.4"/>
    <x v="5"/>
    <x v="0"/>
    <s v="Kavya Fernando"/>
  </r>
  <r>
    <s v="ORD-1789"/>
    <d v="2025-06-12T00:00:00"/>
    <x v="2"/>
    <s v="Bandara Fernando"/>
    <x v="5"/>
    <x v="4"/>
    <x v="3"/>
    <x v="3"/>
    <n v="12622.06"/>
    <n v="2"/>
    <n v="0"/>
    <n v="25244.12"/>
    <n v="0"/>
    <n v="25244.12"/>
    <x v="5"/>
    <x v="1"/>
    <s v="Thilini Bandara"/>
  </r>
  <r>
    <s v="ORD-1790"/>
    <d v="2025-06-13T00:00:00"/>
    <x v="2"/>
    <s v="Kumari Dissanayake"/>
    <x v="7"/>
    <x v="6"/>
    <x v="6"/>
    <x v="22"/>
    <n v="2297.48"/>
    <n v="3"/>
    <n v="10"/>
    <n v="6892.4400000000005"/>
    <n v="689.24400000000014"/>
    <n v="6203.1959999999999"/>
    <x v="5"/>
    <x v="2"/>
    <s v="Kavya Fernando"/>
  </r>
  <r>
    <s v="ORD-1791"/>
    <d v="2025-06-14T00:00:00"/>
    <x v="2"/>
    <s v="Nadeesha Fernando"/>
    <x v="5"/>
    <x v="4"/>
    <x v="4"/>
    <x v="20"/>
    <n v="5926.34"/>
    <n v="5"/>
    <n v="15"/>
    <n v="29631.7"/>
    <n v="4444.7550000000001"/>
    <n v="25186.945"/>
    <x v="2"/>
    <x v="1"/>
    <s v="Kavya Fernando"/>
  </r>
  <r>
    <s v="ORD-1792"/>
    <d v="2025-06-15T00:00:00"/>
    <x v="2"/>
    <s v="Bandara Jayasuriya"/>
    <x v="3"/>
    <x v="3"/>
    <x v="3"/>
    <x v="10"/>
    <n v="85636.37"/>
    <n v="4"/>
    <n v="0"/>
    <n v="342545.48"/>
    <n v="0"/>
    <n v="342545.48"/>
    <x v="0"/>
    <x v="3"/>
    <s v="Kavya Fernando"/>
  </r>
  <r>
    <s v="ORD-1793"/>
    <d v="2025-06-16T00:00:00"/>
    <x v="2"/>
    <s v="Kamal Bandara"/>
    <x v="7"/>
    <x v="6"/>
    <x v="2"/>
    <x v="33"/>
    <n v="871.33"/>
    <n v="2"/>
    <n v="10"/>
    <n v="1742.66"/>
    <n v="174.26600000000002"/>
    <n v="1568.394"/>
    <x v="5"/>
    <x v="2"/>
    <s v="Thilini Bandara"/>
  </r>
  <r>
    <s v="ORD-1794"/>
    <d v="2025-06-17T00:00:00"/>
    <x v="2"/>
    <s v="Pradeep Jayasuriya"/>
    <x v="3"/>
    <x v="3"/>
    <x v="0"/>
    <x v="13"/>
    <n v="1316.87"/>
    <n v="1"/>
    <n v="0"/>
    <n v="1316.87"/>
    <n v="0"/>
    <n v="1316.87"/>
    <x v="3"/>
    <x v="0"/>
    <s v="Thilini Bandara"/>
  </r>
  <r>
    <s v="ORD-1795"/>
    <d v="2025-06-18T00:00:00"/>
    <x v="2"/>
    <s v="Dilini Perera"/>
    <x v="1"/>
    <x v="1"/>
    <x v="4"/>
    <x v="15"/>
    <n v="2840.56"/>
    <n v="1"/>
    <n v="10"/>
    <n v="2840.56"/>
    <n v="284.05599999999998"/>
    <n v="2556.5039999999999"/>
    <x v="3"/>
    <x v="0"/>
    <s v="Thilini Bandara"/>
  </r>
  <r>
    <s v="ORD-1796"/>
    <d v="2025-06-19T00:00:00"/>
    <x v="2"/>
    <s v="Asela Pathirana"/>
    <x v="7"/>
    <x v="6"/>
    <x v="6"/>
    <x v="9"/>
    <n v="331.37"/>
    <n v="3"/>
    <n v="15"/>
    <n v="994.11"/>
    <n v="149.1165"/>
    <n v="844.99350000000004"/>
    <x v="0"/>
    <x v="1"/>
    <s v="Dinesh Silva"/>
  </r>
  <r>
    <s v="ORD-1797"/>
    <d v="2025-06-20T00:00:00"/>
    <x v="2"/>
    <s v="Bandara Bandara"/>
    <x v="4"/>
    <x v="0"/>
    <x v="3"/>
    <x v="36"/>
    <n v="65213.87"/>
    <n v="2"/>
    <n v="15"/>
    <n v="130427.74"/>
    <n v="19564.161"/>
    <n v="110863.579"/>
    <x v="2"/>
    <x v="0"/>
    <s v="Dinesh Silva"/>
  </r>
  <r>
    <s v="ORD-1798"/>
    <d v="2025-06-21T00:00:00"/>
    <x v="2"/>
    <s v="Kumari Dissanayake"/>
    <x v="1"/>
    <x v="1"/>
    <x v="3"/>
    <x v="10"/>
    <n v="83723.070000000007"/>
    <n v="2"/>
    <n v="0"/>
    <n v="167446.14000000001"/>
    <n v="0"/>
    <n v="167446.14000000001"/>
    <x v="1"/>
    <x v="0"/>
    <s v="Amara Perera"/>
  </r>
  <r>
    <s v="ORD-1799"/>
    <d v="2025-06-22T00:00:00"/>
    <x v="2"/>
    <s v="Thilini Bandara"/>
    <x v="5"/>
    <x v="4"/>
    <x v="5"/>
    <x v="17"/>
    <n v="9536"/>
    <n v="4"/>
    <n v="5"/>
    <n v="38144"/>
    <n v="1907.2"/>
    <n v="36236.800000000003"/>
    <x v="0"/>
    <x v="0"/>
    <s v="Ruwan Jayasuriya"/>
  </r>
  <r>
    <s v="ORD-1800"/>
    <d v="2025-06-23T00:00:00"/>
    <x v="2"/>
    <s v="Asela Gunasekara"/>
    <x v="5"/>
    <x v="4"/>
    <x v="6"/>
    <x v="14"/>
    <n v="603.77"/>
    <n v="2"/>
    <n v="10"/>
    <n v="1207.54"/>
    <n v="120.75399999999999"/>
    <n v="1086.7860000000001"/>
    <x v="2"/>
    <x v="0"/>
    <s v="Thilini Bandara"/>
  </r>
  <r>
    <s v="ORD-1801"/>
    <d v="2025-06-24T00:00:00"/>
    <x v="2"/>
    <s v="Dilini Kumara"/>
    <x v="4"/>
    <x v="0"/>
    <x v="4"/>
    <x v="23"/>
    <n v="10878.26"/>
    <n v="2"/>
    <n v="5"/>
    <n v="21756.52"/>
    <n v="1087.826"/>
    <n v="20668.694"/>
    <x v="3"/>
    <x v="0"/>
    <s v="Thilini Bandara"/>
  </r>
  <r>
    <s v="ORD-1802"/>
    <d v="2025-06-25T00:00:00"/>
    <x v="2"/>
    <s v="Dilini Silva"/>
    <x v="8"/>
    <x v="7"/>
    <x v="5"/>
    <x v="32"/>
    <n v="2270.14"/>
    <n v="2"/>
    <n v="0"/>
    <n v="4540.28"/>
    <n v="0"/>
    <n v="4540.28"/>
    <x v="3"/>
    <x v="0"/>
    <s v="Kavya Fernando"/>
  </r>
  <r>
    <s v="ORD-1803"/>
    <d v="2025-06-26T00:00:00"/>
    <x v="2"/>
    <s v="Malika Gunasekara"/>
    <x v="0"/>
    <x v="0"/>
    <x v="6"/>
    <x v="14"/>
    <n v="603.48"/>
    <n v="5"/>
    <n v="0"/>
    <n v="3017.4"/>
    <n v="0"/>
    <n v="3017.4"/>
    <x v="5"/>
    <x v="0"/>
    <s v="Kavya Fernando"/>
  </r>
  <r>
    <s v="ORD-1804"/>
    <d v="2025-06-27T00:00:00"/>
    <x v="2"/>
    <s v="Sanduni Kumara"/>
    <x v="6"/>
    <x v="5"/>
    <x v="3"/>
    <x v="10"/>
    <n v="85808.13"/>
    <n v="1"/>
    <n v="0"/>
    <n v="85808.13"/>
    <n v="0"/>
    <n v="85808.13"/>
    <x v="2"/>
    <x v="0"/>
    <s v="Thilini Bandara"/>
  </r>
  <r>
    <s v="ORD-1805"/>
    <d v="2025-06-28T00:00:00"/>
    <x v="2"/>
    <s v="Rajith Gunasekara"/>
    <x v="8"/>
    <x v="7"/>
    <x v="6"/>
    <x v="21"/>
    <n v="1791.08"/>
    <n v="5"/>
    <n v="5"/>
    <n v="8955.4"/>
    <n v="447.77"/>
    <n v="8507.6299999999992"/>
    <x v="1"/>
    <x v="3"/>
    <s v="Ruwan Jayasuriya"/>
  </r>
  <r>
    <s v="ORD-1806"/>
    <d v="2025-06-29T00:00:00"/>
    <x v="2"/>
    <s v="Thilini Gunasekara"/>
    <x v="9"/>
    <x v="7"/>
    <x v="6"/>
    <x v="22"/>
    <n v="2019.3"/>
    <n v="5"/>
    <n v="0"/>
    <n v="10096.5"/>
    <n v="0"/>
    <n v="10096.5"/>
    <x v="0"/>
    <x v="0"/>
    <s v="Ruwan Jayasuriya"/>
  </r>
  <r>
    <s v="ORD-1807"/>
    <d v="2025-06-30T00:00:00"/>
    <x v="2"/>
    <s v="Bandara Rajapaksa"/>
    <x v="7"/>
    <x v="6"/>
    <x v="3"/>
    <x v="19"/>
    <n v="102410.82"/>
    <n v="3"/>
    <n v="15"/>
    <n v="307232.46000000002"/>
    <n v="46084.869000000006"/>
    <n v="261147.59100000001"/>
    <x v="5"/>
    <x v="2"/>
    <s v="Dinesh Silva"/>
  </r>
  <r>
    <s v="ORD-1808"/>
    <d v="2025-07-01T00:00:00"/>
    <x v="3"/>
    <s v="Kasun Senanayake"/>
    <x v="3"/>
    <x v="3"/>
    <x v="5"/>
    <x v="30"/>
    <n v="8744.65"/>
    <n v="1"/>
    <n v="0"/>
    <n v="8744.65"/>
    <n v="0"/>
    <n v="8744.65"/>
    <x v="0"/>
    <x v="3"/>
    <s v="Thilini Bandara"/>
  </r>
  <r>
    <s v="ORD-1809"/>
    <d v="2025-07-02T00:00:00"/>
    <x v="3"/>
    <s v="Rajith Bandara"/>
    <x v="4"/>
    <x v="0"/>
    <x v="6"/>
    <x v="21"/>
    <n v="1800.95"/>
    <n v="1"/>
    <n v="0"/>
    <n v="1800.95"/>
    <n v="0"/>
    <n v="1800.95"/>
    <x v="0"/>
    <x v="0"/>
    <s v="Amara Perera"/>
  </r>
  <r>
    <s v="ORD-1810"/>
    <d v="2025-07-03T00:00:00"/>
    <x v="3"/>
    <s v="Chamara Jayasuriya"/>
    <x v="2"/>
    <x v="2"/>
    <x v="4"/>
    <x v="4"/>
    <n v="3714.84"/>
    <n v="5"/>
    <n v="5"/>
    <n v="18574.2"/>
    <n v="928.71"/>
    <n v="17645.490000000002"/>
    <x v="2"/>
    <x v="3"/>
    <s v="Amara Perera"/>
  </r>
  <r>
    <s v="ORD-1811"/>
    <d v="2025-07-04T00:00:00"/>
    <x v="3"/>
    <s v="Kasun Rajapaksa"/>
    <x v="5"/>
    <x v="4"/>
    <x v="1"/>
    <x v="35"/>
    <n v="2262.0300000000002"/>
    <n v="5"/>
    <n v="0"/>
    <n v="11310.150000000001"/>
    <n v="0"/>
    <n v="11310.150000000001"/>
    <x v="2"/>
    <x v="0"/>
    <s v="Amara Perera"/>
  </r>
  <r>
    <s v="ORD-1812"/>
    <d v="2025-07-05T00:00:00"/>
    <x v="3"/>
    <s v="Dilini Bandara"/>
    <x v="9"/>
    <x v="7"/>
    <x v="2"/>
    <x v="27"/>
    <n v="749.23"/>
    <n v="1"/>
    <n v="0"/>
    <n v="749.23"/>
    <n v="0"/>
    <n v="749.23"/>
    <x v="3"/>
    <x v="0"/>
    <s v="Dinesh Silva"/>
  </r>
  <r>
    <s v="ORD-1813"/>
    <d v="2025-07-06T00:00:00"/>
    <x v="3"/>
    <s v="Nadeesha Rajapaksa"/>
    <x v="9"/>
    <x v="7"/>
    <x v="3"/>
    <x v="19"/>
    <n v="86611.53"/>
    <n v="4"/>
    <n v="0"/>
    <n v="346446.12"/>
    <n v="0"/>
    <n v="346446.12"/>
    <x v="3"/>
    <x v="0"/>
    <s v="Ruwan Jayasuriya"/>
  </r>
  <r>
    <s v="ORD-1814"/>
    <d v="2025-07-07T00:00:00"/>
    <x v="3"/>
    <s v="Pradeep Dissanayake"/>
    <x v="1"/>
    <x v="1"/>
    <x v="3"/>
    <x v="5"/>
    <n v="142188.69"/>
    <n v="5"/>
    <n v="10"/>
    <n v="710943.45"/>
    <n v="71094.345000000001"/>
    <n v="639849.10499999998"/>
    <x v="1"/>
    <x v="0"/>
    <s v="Thilini Bandara"/>
  </r>
  <r>
    <s v="ORD-1815"/>
    <d v="2025-07-08T00:00:00"/>
    <x v="3"/>
    <s v="Bandara Silva"/>
    <x v="3"/>
    <x v="3"/>
    <x v="3"/>
    <x v="36"/>
    <n v="64542.71"/>
    <n v="4"/>
    <n v="15"/>
    <n v="258170.84"/>
    <n v="38725.626000000004"/>
    <n v="219445.21399999998"/>
    <x v="2"/>
    <x v="0"/>
    <s v="Ruwan Jayasuriya"/>
  </r>
  <r>
    <s v="ORD-1816"/>
    <d v="2025-07-09T00:00:00"/>
    <x v="3"/>
    <s v="Ishara Perera"/>
    <x v="3"/>
    <x v="3"/>
    <x v="5"/>
    <x v="17"/>
    <n v="9832.69"/>
    <n v="2"/>
    <n v="5"/>
    <n v="19665.38"/>
    <n v="983.26900000000012"/>
    <n v="18682.111000000001"/>
    <x v="1"/>
    <x v="0"/>
    <s v="Thilini Bandara"/>
  </r>
  <r>
    <s v="ORD-1817"/>
    <d v="2025-07-10T00:00:00"/>
    <x v="3"/>
    <s v="Saman Silva"/>
    <x v="7"/>
    <x v="6"/>
    <x v="1"/>
    <x v="1"/>
    <n v="4385.97"/>
    <n v="2"/>
    <n v="5"/>
    <n v="8771.94"/>
    <n v="438.59700000000004"/>
    <n v="8333.3430000000008"/>
    <x v="0"/>
    <x v="0"/>
    <s v="Thilini Bandara"/>
  </r>
  <r>
    <s v="ORD-1818"/>
    <d v="2025-07-11T00:00:00"/>
    <x v="3"/>
    <s v="Nimali Perera"/>
    <x v="6"/>
    <x v="5"/>
    <x v="6"/>
    <x v="9"/>
    <n v="335.25"/>
    <n v="2"/>
    <n v="10"/>
    <n v="670.5"/>
    <n v="67.05"/>
    <n v="603.45000000000005"/>
    <x v="5"/>
    <x v="0"/>
    <s v="Kavya Fernando"/>
  </r>
  <r>
    <s v="ORD-1819"/>
    <d v="2025-07-12T00:00:00"/>
    <x v="3"/>
    <s v="Pradeep Pathirana"/>
    <x v="5"/>
    <x v="4"/>
    <x v="2"/>
    <x v="27"/>
    <n v="813.63"/>
    <n v="5"/>
    <n v="10"/>
    <n v="4068.15"/>
    <n v="406.815"/>
    <n v="3661.335"/>
    <x v="5"/>
    <x v="0"/>
    <s v="Thilini Bandara"/>
  </r>
  <r>
    <s v="ORD-1820"/>
    <d v="2025-07-13T00:00:00"/>
    <x v="3"/>
    <s v="Kamal Wickramasinghe"/>
    <x v="1"/>
    <x v="1"/>
    <x v="4"/>
    <x v="4"/>
    <n v="3731.35"/>
    <n v="5"/>
    <n v="10"/>
    <n v="18656.75"/>
    <n v="1865.675"/>
    <n v="16791.075000000001"/>
    <x v="2"/>
    <x v="0"/>
    <s v="Thilini Bandara"/>
  </r>
  <r>
    <s v="ORD-1821"/>
    <d v="2025-07-14T00:00:00"/>
    <x v="3"/>
    <s v="Thilak Pathirana"/>
    <x v="8"/>
    <x v="7"/>
    <x v="0"/>
    <x v="0"/>
    <n v="1643.89"/>
    <n v="4"/>
    <n v="0"/>
    <n v="6575.56"/>
    <n v="0"/>
    <n v="6575.56"/>
    <x v="1"/>
    <x v="1"/>
    <s v="Kavya Fernando"/>
  </r>
  <r>
    <s v="ORD-1822"/>
    <d v="2025-07-15T00:00:00"/>
    <x v="3"/>
    <s v="Chamara Gunasekara"/>
    <x v="2"/>
    <x v="2"/>
    <x v="2"/>
    <x v="2"/>
    <n v="2707.01"/>
    <n v="2"/>
    <n v="0"/>
    <n v="5414.02"/>
    <n v="0"/>
    <n v="5414.02"/>
    <x v="5"/>
    <x v="3"/>
    <s v="Ruwan Jayasuriya"/>
  </r>
  <r>
    <s v="ORD-1823"/>
    <d v="2025-07-16T00:00:00"/>
    <x v="3"/>
    <s v="Kasun Pathirana"/>
    <x v="9"/>
    <x v="7"/>
    <x v="4"/>
    <x v="12"/>
    <n v="4855.74"/>
    <n v="4"/>
    <n v="10"/>
    <n v="19422.96"/>
    <n v="1942.2959999999998"/>
    <n v="17480.664000000001"/>
    <x v="0"/>
    <x v="0"/>
    <s v="Amara Perera"/>
  </r>
  <r>
    <s v="ORD-1824"/>
    <d v="2025-07-17T00:00:00"/>
    <x v="3"/>
    <s v="Kasun Pathirana"/>
    <x v="6"/>
    <x v="5"/>
    <x v="0"/>
    <x v="29"/>
    <n v="776.48"/>
    <n v="4"/>
    <n v="15"/>
    <n v="3105.92"/>
    <n v="465.88800000000003"/>
    <n v="2640.0320000000002"/>
    <x v="3"/>
    <x v="0"/>
    <s v="Dinesh Silva"/>
  </r>
  <r>
    <s v="ORD-1825"/>
    <d v="2025-07-18T00:00:00"/>
    <x v="3"/>
    <s v="Kasun Silva"/>
    <x v="6"/>
    <x v="5"/>
    <x v="2"/>
    <x v="27"/>
    <n v="791.13"/>
    <n v="2"/>
    <n v="0"/>
    <n v="1582.26"/>
    <n v="0"/>
    <n v="1582.26"/>
    <x v="3"/>
    <x v="1"/>
    <s v="Kavya Fernando"/>
  </r>
  <r>
    <s v="ORD-1826"/>
    <d v="2025-07-19T00:00:00"/>
    <x v="3"/>
    <s v="Kamal Senanayake"/>
    <x v="3"/>
    <x v="3"/>
    <x v="6"/>
    <x v="14"/>
    <n v="615.45000000000005"/>
    <n v="4"/>
    <n v="15"/>
    <n v="2461.8000000000002"/>
    <n v="369.27"/>
    <n v="2092.5300000000002"/>
    <x v="5"/>
    <x v="0"/>
    <s v="Ruwan Jayasuriya"/>
  </r>
  <r>
    <s v="ORD-1827"/>
    <d v="2025-07-20T00:00:00"/>
    <x v="3"/>
    <s v="Asela Senanayake"/>
    <x v="4"/>
    <x v="0"/>
    <x v="3"/>
    <x v="5"/>
    <n v="164527.91"/>
    <n v="4"/>
    <n v="5"/>
    <n v="658111.64"/>
    <n v="32905.582000000002"/>
    <n v="625206.05799999996"/>
    <x v="3"/>
    <x v="3"/>
    <s v="Thilini Bandara"/>
  </r>
  <r>
    <s v="ORD-1828"/>
    <d v="2025-07-21T00:00:00"/>
    <x v="3"/>
    <s v="Sanduni Bandara"/>
    <x v="4"/>
    <x v="0"/>
    <x v="0"/>
    <x v="6"/>
    <n v="1861.98"/>
    <n v="5"/>
    <n v="0"/>
    <n v="9309.9"/>
    <n v="0"/>
    <n v="9309.9"/>
    <x v="1"/>
    <x v="0"/>
    <s v="Thilini Bandara"/>
  </r>
  <r>
    <s v="ORD-1829"/>
    <d v="2025-07-22T00:00:00"/>
    <x v="3"/>
    <s v="Kavindi Silva"/>
    <x v="9"/>
    <x v="7"/>
    <x v="2"/>
    <x v="33"/>
    <n v="963.99"/>
    <n v="5"/>
    <n v="15"/>
    <n v="4819.95"/>
    <n v="722.99249999999995"/>
    <n v="4096.9574999999995"/>
    <x v="1"/>
    <x v="2"/>
    <s v="Amara Perera"/>
  </r>
  <r>
    <s v="ORD-1830"/>
    <d v="2025-07-23T00:00:00"/>
    <x v="3"/>
    <s v="Thilini Bandara"/>
    <x v="2"/>
    <x v="2"/>
    <x v="2"/>
    <x v="33"/>
    <n v="968.96"/>
    <n v="1"/>
    <n v="5"/>
    <n v="968.96"/>
    <n v="48.448"/>
    <n v="920.51200000000006"/>
    <x v="5"/>
    <x v="2"/>
    <s v="Kavya Fernando"/>
  </r>
  <r>
    <s v="ORD-1831"/>
    <d v="2025-07-24T00:00:00"/>
    <x v="3"/>
    <s v="Kumari Wickramasinghe"/>
    <x v="1"/>
    <x v="1"/>
    <x v="0"/>
    <x v="6"/>
    <n v="1787.97"/>
    <n v="3"/>
    <n v="0"/>
    <n v="5363.91"/>
    <n v="0"/>
    <n v="5363.91"/>
    <x v="5"/>
    <x v="1"/>
    <s v="Dinesh Silva"/>
  </r>
  <r>
    <s v="ORD-1832"/>
    <d v="2025-07-25T00:00:00"/>
    <x v="3"/>
    <s v="Pradeep Dissanayake"/>
    <x v="7"/>
    <x v="6"/>
    <x v="4"/>
    <x v="15"/>
    <n v="2522.89"/>
    <n v="2"/>
    <n v="15"/>
    <n v="5045.78"/>
    <n v="756.86699999999996"/>
    <n v="4288.9129999999996"/>
    <x v="5"/>
    <x v="3"/>
    <s v="Amara Perera"/>
  </r>
  <r>
    <s v="ORD-1833"/>
    <d v="2025-07-26T00:00:00"/>
    <x v="3"/>
    <s v="Ishara Kumara"/>
    <x v="5"/>
    <x v="4"/>
    <x v="3"/>
    <x v="5"/>
    <n v="140906.29999999999"/>
    <n v="3"/>
    <n v="0"/>
    <n v="422718.89999999997"/>
    <n v="0"/>
    <n v="422718.89999999997"/>
    <x v="5"/>
    <x v="1"/>
    <s v="Amara Perera"/>
  </r>
  <r>
    <s v="ORD-1834"/>
    <d v="2025-07-27T00:00:00"/>
    <x v="3"/>
    <s v="Roshani Dissanayake"/>
    <x v="0"/>
    <x v="0"/>
    <x v="5"/>
    <x v="32"/>
    <n v="2670.25"/>
    <n v="2"/>
    <n v="0"/>
    <n v="5340.5"/>
    <n v="0"/>
    <n v="5340.5"/>
    <x v="2"/>
    <x v="0"/>
    <s v="Kavya Fernando"/>
  </r>
  <r>
    <s v="ORD-1835"/>
    <d v="2025-07-28T00:00:00"/>
    <x v="3"/>
    <s v="Thilak Bandara"/>
    <x v="4"/>
    <x v="0"/>
    <x v="3"/>
    <x v="18"/>
    <n v="122869.6"/>
    <n v="1"/>
    <n v="0"/>
    <n v="122869.6"/>
    <n v="0"/>
    <n v="122869.6"/>
    <x v="2"/>
    <x v="3"/>
    <s v="Amara Perera"/>
  </r>
  <r>
    <s v="ORD-1836"/>
    <d v="2025-07-29T00:00:00"/>
    <x v="3"/>
    <s v="Nimali Perera"/>
    <x v="5"/>
    <x v="4"/>
    <x v="2"/>
    <x v="2"/>
    <n v="2641.32"/>
    <n v="1"/>
    <n v="15"/>
    <n v="2641.32"/>
    <n v="396.19800000000004"/>
    <n v="2245.1220000000003"/>
    <x v="5"/>
    <x v="0"/>
    <s v="Thilini Bandara"/>
  </r>
  <r>
    <s v="ORD-1837"/>
    <d v="2025-07-30T00:00:00"/>
    <x v="3"/>
    <s v="Kumari Silva"/>
    <x v="1"/>
    <x v="1"/>
    <x v="0"/>
    <x v="29"/>
    <n v="809.48"/>
    <n v="3"/>
    <n v="5"/>
    <n v="2428.44"/>
    <n v="121.42200000000001"/>
    <n v="2307.018"/>
    <x v="2"/>
    <x v="0"/>
    <s v="Thilini Bandara"/>
  </r>
  <r>
    <s v="ORD-1838"/>
    <d v="2025-07-31T00:00:00"/>
    <x v="3"/>
    <s v="Ishara Senanayake"/>
    <x v="2"/>
    <x v="2"/>
    <x v="3"/>
    <x v="3"/>
    <n v="11721.41"/>
    <n v="4"/>
    <n v="15"/>
    <n v="46885.64"/>
    <n v="7032.8459999999995"/>
    <n v="39852.794000000002"/>
    <x v="0"/>
    <x v="0"/>
    <s v="Kavya Fernando"/>
  </r>
  <r>
    <s v="ORD-1839"/>
    <d v="2025-08-01T00:00:00"/>
    <x v="4"/>
    <s v="Thilini Perera"/>
    <x v="6"/>
    <x v="5"/>
    <x v="5"/>
    <x v="32"/>
    <n v="2543.91"/>
    <n v="1"/>
    <n v="10"/>
    <n v="2543.91"/>
    <n v="254.39099999999999"/>
    <n v="2289.5189999999998"/>
    <x v="5"/>
    <x v="3"/>
    <s v="Amara Perera"/>
  </r>
  <r>
    <s v="ORD-1840"/>
    <d v="2025-08-02T00:00:00"/>
    <x v="4"/>
    <s v="Chamara Senanayake"/>
    <x v="9"/>
    <x v="7"/>
    <x v="0"/>
    <x v="6"/>
    <n v="1712.26"/>
    <n v="4"/>
    <n v="0"/>
    <n v="6849.04"/>
    <n v="0"/>
    <n v="6849.04"/>
    <x v="0"/>
    <x v="0"/>
    <s v="Dinesh Silva"/>
  </r>
  <r>
    <s v="ORD-1841"/>
    <d v="2025-08-03T00:00:00"/>
    <x v="4"/>
    <s v="Ruwan Perera"/>
    <x v="0"/>
    <x v="0"/>
    <x v="1"/>
    <x v="16"/>
    <n v="8135.24"/>
    <n v="5"/>
    <n v="10"/>
    <n v="40676.199999999997"/>
    <n v="4067.62"/>
    <n v="36608.579999999994"/>
    <x v="3"/>
    <x v="0"/>
    <s v="Thilini Bandara"/>
  </r>
  <r>
    <s v="ORD-1842"/>
    <d v="2025-08-04T00:00:00"/>
    <x v="4"/>
    <s v="Ruwan Fernando"/>
    <x v="6"/>
    <x v="5"/>
    <x v="2"/>
    <x v="33"/>
    <n v="871.72"/>
    <n v="3"/>
    <n v="0"/>
    <n v="2615.16"/>
    <n v="0"/>
    <n v="2615.16"/>
    <x v="0"/>
    <x v="3"/>
    <s v="Dinesh Silva"/>
  </r>
  <r>
    <s v="ORD-1843"/>
    <d v="2025-08-05T00:00:00"/>
    <x v="4"/>
    <s v="Ishara Bandara"/>
    <x v="7"/>
    <x v="6"/>
    <x v="6"/>
    <x v="11"/>
    <n v="1476.62"/>
    <n v="2"/>
    <n v="0"/>
    <n v="2953.24"/>
    <n v="0"/>
    <n v="2953.24"/>
    <x v="1"/>
    <x v="2"/>
    <s v="Amara Perera"/>
  </r>
  <r>
    <s v="ORD-1844"/>
    <d v="2025-08-06T00:00:00"/>
    <x v="4"/>
    <s v="Chamara Pathirana"/>
    <x v="6"/>
    <x v="5"/>
    <x v="0"/>
    <x v="13"/>
    <n v="1223.94"/>
    <n v="3"/>
    <n v="0"/>
    <n v="3671.82"/>
    <n v="0"/>
    <n v="3671.82"/>
    <x v="0"/>
    <x v="0"/>
    <s v="Thilini Bandara"/>
  </r>
  <r>
    <s v="ORD-1845"/>
    <d v="2025-08-07T00:00:00"/>
    <x v="4"/>
    <s v="Kumari Rajapaksa"/>
    <x v="9"/>
    <x v="7"/>
    <x v="3"/>
    <x v="3"/>
    <n v="12902.65"/>
    <n v="1"/>
    <n v="15"/>
    <n v="12902.65"/>
    <n v="1935.3975"/>
    <n v="10967.252499999999"/>
    <x v="1"/>
    <x v="0"/>
    <s v="Dinesh Silva"/>
  </r>
  <r>
    <s v="ORD-1846"/>
    <d v="2025-08-08T00:00:00"/>
    <x v="4"/>
    <s v="Ishara Gunasekara"/>
    <x v="2"/>
    <x v="2"/>
    <x v="1"/>
    <x v="1"/>
    <n v="4482.67"/>
    <n v="3"/>
    <n v="0"/>
    <n v="13448.01"/>
    <n v="0"/>
    <n v="13448.01"/>
    <x v="1"/>
    <x v="0"/>
    <s v="Dinesh Silva"/>
  </r>
  <r>
    <s v="ORD-1847"/>
    <d v="2025-08-09T00:00:00"/>
    <x v="4"/>
    <s v="Anusha Perera"/>
    <x v="1"/>
    <x v="1"/>
    <x v="2"/>
    <x v="2"/>
    <n v="2527.35"/>
    <n v="2"/>
    <n v="0"/>
    <n v="5054.7"/>
    <n v="0"/>
    <n v="5054.7"/>
    <x v="2"/>
    <x v="0"/>
    <s v="Thilini Bandara"/>
  </r>
  <r>
    <s v="ORD-1848"/>
    <d v="2025-08-10T00:00:00"/>
    <x v="4"/>
    <s v="Nimali Perera"/>
    <x v="4"/>
    <x v="0"/>
    <x v="1"/>
    <x v="16"/>
    <n v="7478.63"/>
    <n v="3"/>
    <n v="0"/>
    <n v="22435.89"/>
    <n v="0"/>
    <n v="22435.89"/>
    <x v="3"/>
    <x v="2"/>
    <s v="Thilini Bandara"/>
  </r>
  <r>
    <s v="ORD-1849"/>
    <d v="2025-08-11T00:00:00"/>
    <x v="4"/>
    <s v="Sanduni Jayasuriya"/>
    <x v="0"/>
    <x v="0"/>
    <x v="1"/>
    <x v="16"/>
    <n v="8657.0400000000009"/>
    <n v="1"/>
    <n v="0"/>
    <n v="8657.0400000000009"/>
    <n v="0"/>
    <n v="8657.0400000000009"/>
    <x v="1"/>
    <x v="0"/>
    <s v="Amara Perera"/>
  </r>
  <r>
    <s v="ORD-1850"/>
    <d v="2025-08-12T00:00:00"/>
    <x v="4"/>
    <s v="Chamara Wickramasinghe"/>
    <x v="6"/>
    <x v="5"/>
    <x v="1"/>
    <x v="16"/>
    <n v="8495.18"/>
    <n v="2"/>
    <n v="0"/>
    <n v="16990.36"/>
    <n v="0"/>
    <n v="16990.36"/>
    <x v="0"/>
    <x v="0"/>
    <s v="Amara Perera"/>
  </r>
  <r>
    <s v="ORD-1851"/>
    <d v="2025-08-13T00:00:00"/>
    <x v="4"/>
    <s v="Ruwan Fernando"/>
    <x v="4"/>
    <x v="0"/>
    <x v="1"/>
    <x v="28"/>
    <n v="4878.2"/>
    <n v="3"/>
    <n v="0"/>
    <n v="14634.599999999999"/>
    <n v="0"/>
    <n v="14634.599999999999"/>
    <x v="0"/>
    <x v="0"/>
    <s v="Dinesh Silva"/>
  </r>
  <r>
    <s v="ORD-1852"/>
    <d v="2025-08-14T00:00:00"/>
    <x v="4"/>
    <s v="Nadeesha Senanayake"/>
    <x v="4"/>
    <x v="0"/>
    <x v="6"/>
    <x v="9"/>
    <n v="335.59"/>
    <n v="2"/>
    <n v="0"/>
    <n v="671.18"/>
    <n v="0"/>
    <n v="671.18"/>
    <x v="1"/>
    <x v="0"/>
    <s v="Kavya Fernando"/>
  </r>
  <r>
    <s v="ORD-1853"/>
    <d v="2025-08-15T00:00:00"/>
    <x v="4"/>
    <s v="Dinesh Senanayake"/>
    <x v="6"/>
    <x v="5"/>
    <x v="1"/>
    <x v="26"/>
    <n v="1099.54"/>
    <n v="4"/>
    <n v="10"/>
    <n v="4398.16"/>
    <n v="439.81599999999997"/>
    <n v="3958.3440000000001"/>
    <x v="0"/>
    <x v="0"/>
    <s v="Dinesh Silva"/>
  </r>
  <r>
    <s v="ORD-1854"/>
    <d v="2025-08-16T00:00:00"/>
    <x v="4"/>
    <s v="Bandara Pathirana"/>
    <x v="7"/>
    <x v="6"/>
    <x v="2"/>
    <x v="8"/>
    <n v="602.27"/>
    <n v="2"/>
    <n v="15"/>
    <n v="1204.54"/>
    <n v="180.68099999999998"/>
    <n v="1023.8589999999999"/>
    <x v="3"/>
    <x v="3"/>
    <s v="Ruwan Jayasuriya"/>
  </r>
  <r>
    <s v="ORD-1855"/>
    <d v="2025-08-17T00:00:00"/>
    <x v="4"/>
    <s v="Roshani Gunasekara"/>
    <x v="3"/>
    <x v="3"/>
    <x v="5"/>
    <x v="7"/>
    <n v="4624.3"/>
    <n v="5"/>
    <n v="0"/>
    <n v="23121.5"/>
    <n v="0"/>
    <n v="23121.5"/>
    <x v="5"/>
    <x v="0"/>
    <s v="Dinesh Silva"/>
  </r>
  <r>
    <s v="ORD-1856"/>
    <d v="2025-08-18T00:00:00"/>
    <x v="4"/>
    <s v="Saman Jayasuriya"/>
    <x v="5"/>
    <x v="4"/>
    <x v="1"/>
    <x v="16"/>
    <n v="7880.04"/>
    <n v="4"/>
    <n v="0"/>
    <n v="31520.16"/>
    <n v="0"/>
    <n v="31520.16"/>
    <x v="1"/>
    <x v="2"/>
    <s v="Kavya Fernando"/>
  </r>
  <r>
    <s v="ORD-1857"/>
    <d v="2025-08-19T00:00:00"/>
    <x v="4"/>
    <s v="Hasini Silva"/>
    <x v="9"/>
    <x v="7"/>
    <x v="6"/>
    <x v="11"/>
    <n v="1438.51"/>
    <n v="5"/>
    <n v="5"/>
    <n v="7192.55"/>
    <n v="359.6275"/>
    <n v="6832.9225000000006"/>
    <x v="1"/>
    <x v="3"/>
    <s v="Amara Perera"/>
  </r>
  <r>
    <s v="ORD-1858"/>
    <d v="2025-08-20T00:00:00"/>
    <x v="4"/>
    <s v="Dinesh Senanayake"/>
    <x v="8"/>
    <x v="7"/>
    <x v="4"/>
    <x v="23"/>
    <n v="11922.12"/>
    <n v="4"/>
    <n v="5"/>
    <n v="47688.480000000003"/>
    <n v="2384.4240000000004"/>
    <n v="45304.056000000004"/>
    <x v="2"/>
    <x v="0"/>
    <s v="Kavya Fernando"/>
  </r>
  <r>
    <s v="ORD-1859"/>
    <d v="2025-08-21T00:00:00"/>
    <x v="4"/>
    <s v="Kasun Fernando"/>
    <x v="6"/>
    <x v="5"/>
    <x v="1"/>
    <x v="16"/>
    <n v="8232.57"/>
    <n v="3"/>
    <n v="10"/>
    <n v="24697.71"/>
    <n v="2469.7709999999997"/>
    <n v="22227.938999999998"/>
    <x v="3"/>
    <x v="2"/>
    <s v="Thilini Bandara"/>
  </r>
  <r>
    <s v="ORD-1860"/>
    <d v="2025-08-22T00:00:00"/>
    <x v="4"/>
    <s v="Hasini Pathirana"/>
    <x v="1"/>
    <x v="1"/>
    <x v="6"/>
    <x v="22"/>
    <n v="2387.71"/>
    <n v="1"/>
    <n v="10"/>
    <n v="2387.71"/>
    <n v="238.77099999999999"/>
    <n v="2148.9389999999999"/>
    <x v="5"/>
    <x v="0"/>
    <s v="Amara Perera"/>
  </r>
  <r>
    <s v="ORD-1861"/>
    <d v="2025-08-23T00:00:00"/>
    <x v="4"/>
    <s v="Chamara Rajapaksa"/>
    <x v="4"/>
    <x v="0"/>
    <x v="0"/>
    <x v="0"/>
    <n v="1425.01"/>
    <n v="3"/>
    <n v="0"/>
    <n v="4275.03"/>
    <n v="0"/>
    <n v="4275.03"/>
    <x v="0"/>
    <x v="0"/>
    <s v="Thilini Bandara"/>
  </r>
  <r>
    <s v="ORD-1862"/>
    <d v="2025-08-24T00:00:00"/>
    <x v="4"/>
    <s v="Kasun Wickramasinghe"/>
    <x v="3"/>
    <x v="3"/>
    <x v="6"/>
    <x v="22"/>
    <n v="2324.58"/>
    <n v="4"/>
    <n v="5"/>
    <n v="9298.32"/>
    <n v="464.916"/>
    <n v="8833.4040000000005"/>
    <x v="0"/>
    <x v="2"/>
    <s v="Amara Perera"/>
  </r>
  <r>
    <s v="ORD-1863"/>
    <d v="2025-08-25T00:00:00"/>
    <x v="4"/>
    <s v="Dhanushka Bandara"/>
    <x v="9"/>
    <x v="7"/>
    <x v="6"/>
    <x v="21"/>
    <n v="1701.93"/>
    <n v="2"/>
    <n v="10"/>
    <n v="3403.86"/>
    <n v="340.38599999999997"/>
    <n v="3063.4740000000002"/>
    <x v="1"/>
    <x v="3"/>
    <s v="Thilini Bandara"/>
  </r>
  <r>
    <s v="ORD-1864"/>
    <d v="2025-08-26T00:00:00"/>
    <x v="4"/>
    <s v="Saman Kumara"/>
    <x v="6"/>
    <x v="5"/>
    <x v="2"/>
    <x v="2"/>
    <n v="2406.54"/>
    <n v="2"/>
    <n v="5"/>
    <n v="4813.08"/>
    <n v="240.65400000000002"/>
    <n v="4572.4259999999995"/>
    <x v="2"/>
    <x v="0"/>
    <s v="Ruwan Jayasuriya"/>
  </r>
  <r>
    <s v="ORD-1865"/>
    <d v="2025-08-27T00:00:00"/>
    <x v="4"/>
    <s v="Hasini Perera"/>
    <x v="8"/>
    <x v="7"/>
    <x v="1"/>
    <x v="28"/>
    <n v="5373.75"/>
    <n v="3"/>
    <n v="0"/>
    <n v="16121.25"/>
    <n v="0"/>
    <n v="16121.25"/>
    <x v="2"/>
    <x v="2"/>
    <s v="Kavya Fernando"/>
  </r>
  <r>
    <s v="ORD-1866"/>
    <d v="2025-08-28T00:00:00"/>
    <x v="4"/>
    <s v="Ishara Dissanayake"/>
    <x v="5"/>
    <x v="4"/>
    <x v="0"/>
    <x v="13"/>
    <n v="1263.08"/>
    <n v="5"/>
    <n v="10"/>
    <n v="6315.4"/>
    <n v="631.54"/>
    <n v="5683.86"/>
    <x v="3"/>
    <x v="3"/>
    <s v="Amara Perera"/>
  </r>
  <r>
    <s v="ORD-1867"/>
    <d v="2025-08-29T00:00:00"/>
    <x v="4"/>
    <s v="Nimali Fernando"/>
    <x v="9"/>
    <x v="7"/>
    <x v="2"/>
    <x v="33"/>
    <n v="923.37"/>
    <n v="5"/>
    <n v="5"/>
    <n v="4616.8500000000004"/>
    <n v="230.8425"/>
    <n v="4386.0075000000006"/>
    <x v="0"/>
    <x v="2"/>
    <s v="Ruwan Jayasuriya"/>
  </r>
  <r>
    <s v="ORD-1868"/>
    <d v="2025-08-30T00:00:00"/>
    <x v="4"/>
    <s v="Chamara Dissanayake"/>
    <x v="1"/>
    <x v="1"/>
    <x v="5"/>
    <x v="7"/>
    <n v="4219.5"/>
    <n v="1"/>
    <n v="0"/>
    <n v="4219.5"/>
    <n v="0"/>
    <n v="4219.5"/>
    <x v="0"/>
    <x v="0"/>
    <s v="Kavya Fernando"/>
  </r>
  <r>
    <s v="ORD-1869"/>
    <d v="2025-08-31T00:00:00"/>
    <x v="4"/>
    <s v="Sanduni Silva"/>
    <x v="7"/>
    <x v="6"/>
    <x v="1"/>
    <x v="34"/>
    <n v="1597.94"/>
    <n v="5"/>
    <n v="0"/>
    <n v="7989.7000000000007"/>
    <n v="0"/>
    <n v="7989.7000000000007"/>
    <x v="5"/>
    <x v="0"/>
    <s v="Dinesh Silva"/>
  </r>
  <r>
    <s v="ORD-1870"/>
    <d v="2025-09-01T00:00:00"/>
    <x v="5"/>
    <s v="Bandara Wickramasinghe"/>
    <x v="4"/>
    <x v="0"/>
    <x v="1"/>
    <x v="16"/>
    <n v="8255.31"/>
    <n v="1"/>
    <n v="0"/>
    <n v="8255.31"/>
    <n v="0"/>
    <n v="8255.31"/>
    <x v="5"/>
    <x v="0"/>
    <s v="Thilini Bandara"/>
  </r>
  <r>
    <s v="ORD-1871"/>
    <d v="2025-09-02T00:00:00"/>
    <x v="5"/>
    <s v="Sanduni Rajapaksa"/>
    <x v="5"/>
    <x v="4"/>
    <x v="4"/>
    <x v="20"/>
    <n v="6038.55"/>
    <n v="2"/>
    <n v="5"/>
    <n v="12077.1"/>
    <n v="603.85500000000002"/>
    <n v="11473.245000000001"/>
    <x v="2"/>
    <x v="0"/>
    <s v="Amara Perera"/>
  </r>
  <r>
    <s v="ORD-1872"/>
    <d v="2025-09-03T00:00:00"/>
    <x v="5"/>
    <s v="Chamara Fernando"/>
    <x v="4"/>
    <x v="0"/>
    <x v="2"/>
    <x v="8"/>
    <n v="638.15"/>
    <n v="4"/>
    <n v="10"/>
    <n v="2552.6"/>
    <n v="255.26"/>
    <n v="2297.34"/>
    <x v="0"/>
    <x v="3"/>
    <s v="Kavya Fernando"/>
  </r>
  <r>
    <s v="ORD-1873"/>
    <d v="2025-09-04T00:00:00"/>
    <x v="5"/>
    <s v="Chamara Bandara"/>
    <x v="6"/>
    <x v="5"/>
    <x v="2"/>
    <x v="27"/>
    <n v="721.19"/>
    <n v="2"/>
    <n v="10"/>
    <n v="1442.38"/>
    <n v="144.238"/>
    <n v="1298.1420000000001"/>
    <x v="5"/>
    <x v="2"/>
    <s v="Ruwan Jayasuriya"/>
  </r>
  <r>
    <s v="ORD-1874"/>
    <d v="2025-09-05T00:00:00"/>
    <x v="5"/>
    <s v="Ishara Bandara"/>
    <x v="8"/>
    <x v="7"/>
    <x v="5"/>
    <x v="7"/>
    <n v="4464.18"/>
    <n v="5"/>
    <n v="0"/>
    <n v="22320.9"/>
    <n v="0"/>
    <n v="22320.9"/>
    <x v="5"/>
    <x v="0"/>
    <s v="Ruwan Jayasuriya"/>
  </r>
  <r>
    <s v="ORD-1875"/>
    <d v="2025-09-06T00:00:00"/>
    <x v="5"/>
    <s v="Asela Kumara"/>
    <x v="3"/>
    <x v="3"/>
    <x v="4"/>
    <x v="12"/>
    <n v="4791.09"/>
    <n v="2"/>
    <n v="15"/>
    <n v="9582.18"/>
    <n v="1437.3270000000002"/>
    <n v="8144.8530000000001"/>
    <x v="1"/>
    <x v="0"/>
    <s v="Thilini Bandara"/>
  </r>
  <r>
    <s v="ORD-1876"/>
    <d v="2025-09-07T00:00:00"/>
    <x v="5"/>
    <s v="Kumari Gunasekara"/>
    <x v="5"/>
    <x v="4"/>
    <x v="0"/>
    <x v="25"/>
    <n v="2599.2600000000002"/>
    <n v="1"/>
    <n v="0"/>
    <n v="2599.2600000000002"/>
    <n v="0"/>
    <n v="2599.2600000000002"/>
    <x v="5"/>
    <x v="0"/>
    <s v="Dinesh Silva"/>
  </r>
  <r>
    <s v="ORD-1877"/>
    <d v="2025-09-08T00:00:00"/>
    <x v="5"/>
    <s v="Dhanushka Bandara"/>
    <x v="3"/>
    <x v="3"/>
    <x v="0"/>
    <x v="29"/>
    <n v="831.69"/>
    <n v="2"/>
    <n v="0"/>
    <n v="1663.38"/>
    <n v="0"/>
    <n v="1663.38"/>
    <x v="2"/>
    <x v="2"/>
    <s v="Thilini Bandara"/>
  </r>
  <r>
    <s v="ORD-1878"/>
    <d v="2025-09-09T00:00:00"/>
    <x v="5"/>
    <s v="Anusha Silva"/>
    <x v="1"/>
    <x v="1"/>
    <x v="5"/>
    <x v="32"/>
    <n v="2455.0500000000002"/>
    <n v="2"/>
    <n v="5"/>
    <n v="4910.1000000000004"/>
    <n v="245.505"/>
    <n v="4664.5950000000003"/>
    <x v="1"/>
    <x v="3"/>
    <s v="Amara Perera"/>
  </r>
  <r>
    <s v="ORD-1879"/>
    <d v="2025-09-10T00:00:00"/>
    <x v="5"/>
    <s v="Kasun Silva"/>
    <x v="6"/>
    <x v="5"/>
    <x v="4"/>
    <x v="15"/>
    <n v="2937.74"/>
    <n v="2"/>
    <n v="0"/>
    <n v="5875.48"/>
    <n v="0"/>
    <n v="5875.48"/>
    <x v="5"/>
    <x v="0"/>
    <s v="Kavya Fernando"/>
  </r>
  <r>
    <s v="ORD-1880"/>
    <d v="2025-09-11T00:00:00"/>
    <x v="5"/>
    <s v="Asela Fernando"/>
    <x v="8"/>
    <x v="7"/>
    <x v="0"/>
    <x v="13"/>
    <n v="1196.3399999999999"/>
    <n v="1"/>
    <n v="15"/>
    <n v="1196.3399999999999"/>
    <n v="179.45099999999999"/>
    <n v="1016.8889999999999"/>
    <x v="0"/>
    <x v="1"/>
    <s v="Dinesh Silva"/>
  </r>
  <r>
    <s v="ORD-1881"/>
    <d v="2025-09-12T00:00:00"/>
    <x v="5"/>
    <s v="Saman Fernando"/>
    <x v="6"/>
    <x v="5"/>
    <x v="6"/>
    <x v="22"/>
    <n v="2350.29"/>
    <n v="2"/>
    <n v="0"/>
    <n v="4700.58"/>
    <n v="0"/>
    <n v="4700.58"/>
    <x v="0"/>
    <x v="0"/>
    <s v="Dinesh Silva"/>
  </r>
  <r>
    <s v="ORD-1882"/>
    <d v="2025-09-13T00:00:00"/>
    <x v="5"/>
    <s v="Dilini Bandara"/>
    <x v="5"/>
    <x v="4"/>
    <x v="1"/>
    <x v="34"/>
    <n v="1551.42"/>
    <n v="1"/>
    <n v="0"/>
    <n v="1551.42"/>
    <n v="0"/>
    <n v="1551.42"/>
    <x v="3"/>
    <x v="0"/>
    <s v="Ruwan Jayasuriya"/>
  </r>
  <r>
    <s v="ORD-1883"/>
    <d v="2025-09-14T00:00:00"/>
    <x v="5"/>
    <s v="Sanduni Jayasuriya"/>
    <x v="0"/>
    <x v="0"/>
    <x v="0"/>
    <x v="6"/>
    <n v="1697.82"/>
    <n v="1"/>
    <n v="5"/>
    <n v="1697.82"/>
    <n v="84.891000000000005"/>
    <n v="1612.9289999999999"/>
    <x v="0"/>
    <x v="1"/>
    <s v="Amara Perera"/>
  </r>
  <r>
    <s v="ORD-1884"/>
    <d v="2025-09-15T00:00:00"/>
    <x v="5"/>
    <s v="Asela Wickramasinghe"/>
    <x v="6"/>
    <x v="5"/>
    <x v="3"/>
    <x v="18"/>
    <n v="108111.98"/>
    <n v="4"/>
    <n v="0"/>
    <n v="432447.92"/>
    <n v="0"/>
    <n v="432447.92"/>
    <x v="1"/>
    <x v="0"/>
    <s v="Dinesh Silva"/>
  </r>
  <r>
    <s v="ORD-1885"/>
    <d v="2025-09-16T00:00:00"/>
    <x v="5"/>
    <s v="Kamal Perera"/>
    <x v="5"/>
    <x v="4"/>
    <x v="3"/>
    <x v="10"/>
    <n v="82230.98"/>
    <n v="2"/>
    <n v="15"/>
    <n v="164461.96"/>
    <n v="24669.293999999998"/>
    <n v="139792.666"/>
    <x v="5"/>
    <x v="0"/>
    <s v="Amara Perera"/>
  </r>
  <r>
    <s v="ORD-1886"/>
    <d v="2025-09-17T00:00:00"/>
    <x v="5"/>
    <s v="Sanduni Kumara"/>
    <x v="9"/>
    <x v="7"/>
    <x v="3"/>
    <x v="3"/>
    <n v="12030"/>
    <n v="3"/>
    <n v="10"/>
    <n v="36090"/>
    <n v="3609"/>
    <n v="32481"/>
    <x v="0"/>
    <x v="1"/>
    <s v="Dinesh Silva"/>
  </r>
  <r>
    <s v="ORD-1887"/>
    <d v="2025-09-18T00:00:00"/>
    <x v="5"/>
    <s v="Chamara Bandara"/>
    <x v="5"/>
    <x v="4"/>
    <x v="4"/>
    <x v="4"/>
    <n v="3312.69"/>
    <n v="1"/>
    <n v="5"/>
    <n v="3312.69"/>
    <n v="165.6345"/>
    <n v="3147.0554999999999"/>
    <x v="3"/>
    <x v="0"/>
    <s v="Amara Perera"/>
  </r>
  <r>
    <s v="ORD-1888"/>
    <d v="2025-09-19T00:00:00"/>
    <x v="5"/>
    <s v="Dhanushka Rajapaksa"/>
    <x v="0"/>
    <x v="0"/>
    <x v="4"/>
    <x v="20"/>
    <n v="5454.65"/>
    <n v="1"/>
    <n v="0"/>
    <n v="5454.65"/>
    <n v="0"/>
    <n v="5454.65"/>
    <x v="3"/>
    <x v="1"/>
    <s v="Thilini Bandara"/>
  </r>
  <r>
    <s v="ORD-1889"/>
    <d v="2025-09-20T00:00:00"/>
    <x v="5"/>
    <s v="Nimali Silva"/>
    <x v="4"/>
    <x v="0"/>
    <x v="4"/>
    <x v="15"/>
    <n v="2949.83"/>
    <n v="4"/>
    <n v="0"/>
    <n v="11799.32"/>
    <n v="0"/>
    <n v="11799.32"/>
    <x v="0"/>
    <x v="2"/>
    <s v="Thilini Bandara"/>
  </r>
  <r>
    <s v="ORD-1890"/>
    <d v="2025-09-21T00:00:00"/>
    <x v="5"/>
    <s v="Pradeep Silva"/>
    <x v="2"/>
    <x v="2"/>
    <x v="2"/>
    <x v="8"/>
    <n v="621.35"/>
    <n v="2"/>
    <n v="15"/>
    <n v="1242.7"/>
    <n v="186.405"/>
    <n v="1056.2950000000001"/>
    <x v="1"/>
    <x v="1"/>
    <s v="Kavya Fernando"/>
  </r>
  <r>
    <s v="ORD-1891"/>
    <d v="2025-09-22T00:00:00"/>
    <x v="5"/>
    <s v="Roshani Silva"/>
    <x v="8"/>
    <x v="7"/>
    <x v="3"/>
    <x v="18"/>
    <n v="129890.48"/>
    <n v="4"/>
    <n v="10"/>
    <n v="519561.92"/>
    <n v="51956.192000000003"/>
    <n v="467605.728"/>
    <x v="0"/>
    <x v="1"/>
    <s v="Dinesh Silva"/>
  </r>
  <r>
    <s v="ORD-1892"/>
    <d v="2025-09-23T00:00:00"/>
    <x v="5"/>
    <s v="Rajith Kumara"/>
    <x v="0"/>
    <x v="0"/>
    <x v="1"/>
    <x v="34"/>
    <n v="1534.9"/>
    <n v="1"/>
    <n v="0"/>
    <n v="1534.9"/>
    <n v="0"/>
    <n v="1534.9"/>
    <x v="1"/>
    <x v="1"/>
    <s v="Ruwan Jayasuriya"/>
  </r>
  <r>
    <s v="ORD-1893"/>
    <d v="2025-09-24T00:00:00"/>
    <x v="5"/>
    <s v="Nadeesha Silva"/>
    <x v="0"/>
    <x v="0"/>
    <x v="1"/>
    <x v="16"/>
    <n v="7997.96"/>
    <n v="2"/>
    <n v="0"/>
    <n v="15995.92"/>
    <n v="0"/>
    <n v="15995.92"/>
    <x v="2"/>
    <x v="0"/>
    <s v="Amara Perera"/>
  </r>
  <r>
    <s v="ORD-1894"/>
    <d v="2025-09-25T00:00:00"/>
    <x v="5"/>
    <s v="Kavindi Senanayake"/>
    <x v="6"/>
    <x v="5"/>
    <x v="0"/>
    <x v="0"/>
    <n v="1390.28"/>
    <n v="3"/>
    <n v="15"/>
    <n v="4170.84"/>
    <n v="625.62600000000009"/>
    <n v="3545.2139999999999"/>
    <x v="5"/>
    <x v="3"/>
    <s v="Ruwan Jayasuriya"/>
  </r>
  <r>
    <s v="ORD-1895"/>
    <d v="2025-09-26T00:00:00"/>
    <x v="5"/>
    <s v="Malika Perera"/>
    <x v="4"/>
    <x v="0"/>
    <x v="6"/>
    <x v="22"/>
    <n v="2130.8000000000002"/>
    <n v="2"/>
    <n v="15"/>
    <n v="4261.6000000000004"/>
    <n v="639.24000000000012"/>
    <n v="3622.36"/>
    <x v="5"/>
    <x v="1"/>
    <s v="Dinesh Silva"/>
  </r>
  <r>
    <s v="ORD-1896"/>
    <d v="2025-09-27T00:00:00"/>
    <x v="5"/>
    <s v="Asela Kumara"/>
    <x v="4"/>
    <x v="0"/>
    <x v="5"/>
    <x v="7"/>
    <n v="4519.32"/>
    <n v="2"/>
    <n v="0"/>
    <n v="9038.64"/>
    <n v="0"/>
    <n v="9038.64"/>
    <x v="5"/>
    <x v="0"/>
    <s v="Ruwan Jayasuriya"/>
  </r>
  <r>
    <s v="ORD-1897"/>
    <d v="2025-09-28T00:00:00"/>
    <x v="5"/>
    <s v="Chamara Perera"/>
    <x v="9"/>
    <x v="7"/>
    <x v="1"/>
    <x v="1"/>
    <n v="4132.58"/>
    <n v="5"/>
    <n v="0"/>
    <n v="20662.900000000001"/>
    <n v="0"/>
    <n v="20662.900000000001"/>
    <x v="1"/>
    <x v="0"/>
    <s v="Thilini Bandara"/>
  </r>
  <r>
    <s v="ORD-1898"/>
    <d v="2025-09-29T00:00:00"/>
    <x v="5"/>
    <s v="Kumari Kumara"/>
    <x v="6"/>
    <x v="5"/>
    <x v="2"/>
    <x v="27"/>
    <n v="835.47"/>
    <n v="2"/>
    <n v="0"/>
    <n v="1670.94"/>
    <n v="0"/>
    <n v="1670.94"/>
    <x v="1"/>
    <x v="3"/>
    <s v="Dinesh Silva"/>
  </r>
  <r>
    <s v="ORD-1899"/>
    <d v="2025-09-30T00:00:00"/>
    <x v="5"/>
    <s v="Malika Senanayake"/>
    <x v="6"/>
    <x v="5"/>
    <x v="0"/>
    <x v="25"/>
    <n v="2385.9299999999998"/>
    <n v="4"/>
    <n v="0"/>
    <n v="9543.7199999999993"/>
    <n v="0"/>
    <n v="9543.7199999999993"/>
    <x v="3"/>
    <x v="0"/>
    <s v="Ruwan Jayasuriya"/>
  </r>
  <r>
    <s v="ORD-1900"/>
    <d v="2025-10-01T00:00:00"/>
    <x v="6"/>
    <s v="Roshani Gunasekara"/>
    <x v="5"/>
    <x v="4"/>
    <x v="5"/>
    <x v="17"/>
    <n v="9946.36"/>
    <n v="2"/>
    <n v="5"/>
    <n v="19892.72"/>
    <n v="994.63600000000008"/>
    <n v="18898.084000000003"/>
    <x v="5"/>
    <x v="2"/>
    <s v="Ruwan Jayasuriya"/>
  </r>
  <r>
    <s v="ORD-1901"/>
    <d v="2025-10-02T00:00:00"/>
    <x v="6"/>
    <s v="Kamal Wickramasinghe"/>
    <x v="2"/>
    <x v="2"/>
    <x v="5"/>
    <x v="24"/>
    <n v="3537"/>
    <n v="2"/>
    <n v="5"/>
    <n v="7074"/>
    <n v="353.7"/>
    <n v="6720.3"/>
    <x v="2"/>
    <x v="0"/>
    <s v="Kavya Fernando"/>
  </r>
  <r>
    <s v="ORD-1902"/>
    <d v="2025-10-03T00:00:00"/>
    <x v="6"/>
    <s v="Malika Dissanayake"/>
    <x v="7"/>
    <x v="6"/>
    <x v="5"/>
    <x v="7"/>
    <n v="4114.75"/>
    <n v="2"/>
    <n v="0"/>
    <n v="8229.5"/>
    <n v="0"/>
    <n v="8229.5"/>
    <x v="1"/>
    <x v="0"/>
    <s v="Dinesh Silva"/>
  </r>
  <r>
    <s v="ORD-1903"/>
    <d v="2025-10-04T00:00:00"/>
    <x v="6"/>
    <s v="Kasun Bandara"/>
    <x v="8"/>
    <x v="7"/>
    <x v="4"/>
    <x v="23"/>
    <n v="13021.66"/>
    <n v="4"/>
    <n v="15"/>
    <n v="52086.64"/>
    <n v="7812.9960000000001"/>
    <n v="44273.644"/>
    <x v="2"/>
    <x v="0"/>
    <s v="Kavya Fernando"/>
  </r>
  <r>
    <s v="ORD-1904"/>
    <d v="2025-10-05T00:00:00"/>
    <x v="6"/>
    <s v="Rajith Silva"/>
    <x v="5"/>
    <x v="4"/>
    <x v="3"/>
    <x v="10"/>
    <n v="83042.039999999994"/>
    <n v="5"/>
    <n v="0"/>
    <n v="415210.19999999995"/>
    <n v="0"/>
    <n v="415210.19999999995"/>
    <x v="1"/>
    <x v="2"/>
    <s v="Ruwan Jayasuriya"/>
  </r>
  <r>
    <s v="ORD-1905"/>
    <d v="2025-10-06T00:00:00"/>
    <x v="6"/>
    <s v="Kavindi Rajapaksa"/>
    <x v="7"/>
    <x v="6"/>
    <x v="0"/>
    <x v="13"/>
    <n v="1232.4000000000001"/>
    <n v="3"/>
    <n v="5"/>
    <n v="3697.2000000000003"/>
    <n v="184.86"/>
    <n v="3512.34"/>
    <x v="5"/>
    <x v="1"/>
    <s v="Ruwan Jayasuriya"/>
  </r>
  <r>
    <s v="ORD-1906"/>
    <d v="2025-10-07T00:00:00"/>
    <x v="6"/>
    <s v="Kavindi Jayasuriya"/>
    <x v="4"/>
    <x v="0"/>
    <x v="4"/>
    <x v="4"/>
    <n v="3795.03"/>
    <n v="3"/>
    <n v="0"/>
    <n v="11385.09"/>
    <n v="0"/>
    <n v="11385.09"/>
    <x v="5"/>
    <x v="1"/>
    <s v="Dinesh Silva"/>
  </r>
  <r>
    <s v="ORD-1907"/>
    <d v="2025-10-08T00:00:00"/>
    <x v="6"/>
    <s v="Nadeesha Gunasekara"/>
    <x v="9"/>
    <x v="7"/>
    <x v="2"/>
    <x v="27"/>
    <n v="816.34"/>
    <n v="2"/>
    <n v="15"/>
    <n v="1632.68"/>
    <n v="244.90200000000002"/>
    <n v="1387.778"/>
    <x v="5"/>
    <x v="2"/>
    <s v="Amara Perera"/>
  </r>
  <r>
    <s v="ORD-1908"/>
    <d v="2025-10-09T00:00:00"/>
    <x v="6"/>
    <s v="Asela Dissanayake"/>
    <x v="5"/>
    <x v="4"/>
    <x v="0"/>
    <x v="6"/>
    <n v="1970.69"/>
    <n v="1"/>
    <n v="5"/>
    <n v="1970.69"/>
    <n v="98.534500000000008"/>
    <n v="1872.1555000000001"/>
    <x v="1"/>
    <x v="0"/>
    <s v="Dinesh Silva"/>
  </r>
  <r>
    <s v="ORD-1909"/>
    <d v="2025-10-10T00:00:00"/>
    <x v="6"/>
    <s v="Pradeep Kumara"/>
    <x v="3"/>
    <x v="3"/>
    <x v="5"/>
    <x v="17"/>
    <n v="9801.1200000000008"/>
    <n v="4"/>
    <n v="15"/>
    <n v="39204.480000000003"/>
    <n v="5880.6720000000005"/>
    <n v="33323.808000000005"/>
    <x v="3"/>
    <x v="1"/>
    <s v="Ruwan Jayasuriya"/>
  </r>
  <r>
    <s v="ORD-1910"/>
    <d v="2025-10-11T00:00:00"/>
    <x v="6"/>
    <s v="Kamal Silva"/>
    <x v="2"/>
    <x v="2"/>
    <x v="6"/>
    <x v="22"/>
    <n v="2338.2600000000002"/>
    <n v="3"/>
    <n v="0"/>
    <n v="7014.7800000000007"/>
    <n v="0"/>
    <n v="7014.7800000000007"/>
    <x v="2"/>
    <x v="1"/>
    <s v="Kavya Fernando"/>
  </r>
  <r>
    <s v="ORD-1911"/>
    <d v="2025-10-12T00:00:00"/>
    <x v="6"/>
    <s v="Sanduni Gunasekara"/>
    <x v="0"/>
    <x v="0"/>
    <x v="3"/>
    <x v="10"/>
    <n v="89653.64"/>
    <n v="4"/>
    <n v="15"/>
    <n v="358614.56"/>
    <n v="53792.184000000001"/>
    <n v="304822.37599999999"/>
    <x v="2"/>
    <x v="1"/>
    <s v="Kavya Fernando"/>
  </r>
  <r>
    <s v="ORD-1912"/>
    <d v="2025-10-13T00:00:00"/>
    <x v="6"/>
    <s v="Kumari Fernando"/>
    <x v="9"/>
    <x v="7"/>
    <x v="2"/>
    <x v="27"/>
    <n v="832.65"/>
    <n v="2"/>
    <n v="5"/>
    <n v="1665.3"/>
    <n v="83.265000000000001"/>
    <n v="1582.0349999999999"/>
    <x v="1"/>
    <x v="3"/>
    <s v="Amara Perera"/>
  </r>
  <r>
    <s v="ORD-1913"/>
    <d v="2025-10-14T00:00:00"/>
    <x v="6"/>
    <s v="Rajith Jayasuriya"/>
    <x v="9"/>
    <x v="7"/>
    <x v="1"/>
    <x v="34"/>
    <n v="1574.97"/>
    <n v="2"/>
    <n v="0"/>
    <n v="3149.94"/>
    <n v="0"/>
    <n v="3149.94"/>
    <x v="2"/>
    <x v="0"/>
    <s v="Thilini Bandara"/>
  </r>
  <r>
    <s v="ORD-1914"/>
    <d v="2025-10-15T00:00:00"/>
    <x v="6"/>
    <s v="Dhanushka Fernando"/>
    <x v="1"/>
    <x v="1"/>
    <x v="2"/>
    <x v="2"/>
    <n v="2438.86"/>
    <n v="3"/>
    <n v="0"/>
    <n v="7316.58"/>
    <n v="0"/>
    <n v="7316.58"/>
    <x v="3"/>
    <x v="0"/>
    <s v="Thilini Bandara"/>
  </r>
  <r>
    <s v="ORD-1915"/>
    <d v="2025-10-16T00:00:00"/>
    <x v="6"/>
    <s v="Roshani Gunasekara"/>
    <x v="1"/>
    <x v="1"/>
    <x v="3"/>
    <x v="10"/>
    <n v="81023.37"/>
    <n v="1"/>
    <n v="0"/>
    <n v="81023.37"/>
    <n v="0"/>
    <n v="81023.37"/>
    <x v="0"/>
    <x v="2"/>
    <s v="Amara Perera"/>
  </r>
  <r>
    <s v="ORD-1916"/>
    <d v="2025-10-17T00:00:00"/>
    <x v="6"/>
    <s v="Chamara Bandara"/>
    <x v="0"/>
    <x v="0"/>
    <x v="4"/>
    <x v="12"/>
    <n v="4518.07"/>
    <n v="3"/>
    <n v="10"/>
    <n v="13554.21"/>
    <n v="1355.4209999999998"/>
    <n v="12198.788999999999"/>
    <x v="2"/>
    <x v="2"/>
    <s v="Kavya Fernando"/>
  </r>
  <r>
    <s v="ORD-1917"/>
    <d v="2025-10-18T00:00:00"/>
    <x v="6"/>
    <s v="Kumari Rajapaksa"/>
    <x v="8"/>
    <x v="7"/>
    <x v="0"/>
    <x v="0"/>
    <n v="1649.83"/>
    <n v="2"/>
    <n v="0"/>
    <n v="3299.66"/>
    <n v="0"/>
    <n v="3299.66"/>
    <x v="2"/>
    <x v="0"/>
    <s v="Thilini Bandara"/>
  </r>
  <r>
    <s v="ORD-1918"/>
    <d v="2025-10-19T00:00:00"/>
    <x v="6"/>
    <s v="Anusha Rajapaksa"/>
    <x v="1"/>
    <x v="1"/>
    <x v="3"/>
    <x v="3"/>
    <n v="12889.3"/>
    <n v="4"/>
    <n v="10"/>
    <n v="51557.2"/>
    <n v="5155.72"/>
    <n v="46401.479999999996"/>
    <x v="5"/>
    <x v="3"/>
    <s v="Amara Perera"/>
  </r>
  <r>
    <s v="ORD-1919"/>
    <d v="2025-10-20T00:00:00"/>
    <x v="6"/>
    <s v="Pradeep Kumara"/>
    <x v="4"/>
    <x v="0"/>
    <x v="2"/>
    <x v="8"/>
    <n v="614.20000000000005"/>
    <n v="4"/>
    <n v="0"/>
    <n v="2456.8000000000002"/>
    <n v="0"/>
    <n v="2456.8000000000002"/>
    <x v="2"/>
    <x v="1"/>
    <s v="Dinesh Silva"/>
  </r>
  <r>
    <s v="ORD-1920"/>
    <d v="2025-10-21T00:00:00"/>
    <x v="6"/>
    <s v="Dhanushka Rajapaksa"/>
    <x v="0"/>
    <x v="0"/>
    <x v="0"/>
    <x v="0"/>
    <n v="1612.03"/>
    <n v="3"/>
    <n v="5"/>
    <n v="4836.09"/>
    <n v="241.80450000000002"/>
    <n v="4594.2855"/>
    <x v="2"/>
    <x v="0"/>
    <s v="Thilini Bandara"/>
  </r>
  <r>
    <s v="ORD-1921"/>
    <d v="2025-10-22T00:00:00"/>
    <x v="6"/>
    <s v="Bandara Kumara"/>
    <x v="2"/>
    <x v="2"/>
    <x v="6"/>
    <x v="11"/>
    <n v="1454.5"/>
    <n v="4"/>
    <n v="0"/>
    <n v="5818"/>
    <n v="0"/>
    <n v="5818"/>
    <x v="5"/>
    <x v="1"/>
    <s v="Ruwan Jayasuriya"/>
  </r>
  <r>
    <s v="ORD-1922"/>
    <d v="2025-10-23T00:00:00"/>
    <x v="6"/>
    <s v="Nadeesha Jayasuriya"/>
    <x v="9"/>
    <x v="7"/>
    <x v="6"/>
    <x v="9"/>
    <n v="376.34"/>
    <n v="5"/>
    <n v="0"/>
    <n v="1881.6999999999998"/>
    <n v="0"/>
    <n v="1881.6999999999998"/>
    <x v="1"/>
    <x v="0"/>
    <s v="Amara Perera"/>
  </r>
  <r>
    <s v="ORD-1923"/>
    <d v="2025-10-24T00:00:00"/>
    <x v="6"/>
    <s v="Thilini Bandara"/>
    <x v="6"/>
    <x v="5"/>
    <x v="1"/>
    <x v="35"/>
    <n v="2727.53"/>
    <n v="4"/>
    <n v="0"/>
    <n v="10910.12"/>
    <n v="0"/>
    <n v="10910.12"/>
    <x v="0"/>
    <x v="0"/>
    <s v="Dinesh Silva"/>
  </r>
  <r>
    <s v="ORD-1924"/>
    <d v="2025-10-25T00:00:00"/>
    <x v="6"/>
    <s v="Sanduni Pathirana"/>
    <x v="1"/>
    <x v="1"/>
    <x v="3"/>
    <x v="3"/>
    <n v="13184.07"/>
    <n v="1"/>
    <n v="0"/>
    <n v="13184.07"/>
    <n v="0"/>
    <n v="13184.07"/>
    <x v="3"/>
    <x v="0"/>
    <s v="Kavya Fernando"/>
  </r>
  <r>
    <s v="ORD-1925"/>
    <d v="2025-10-26T00:00:00"/>
    <x v="6"/>
    <s v="Kavindi Wickramasinghe"/>
    <x v="6"/>
    <x v="5"/>
    <x v="0"/>
    <x v="29"/>
    <n v="826.48"/>
    <n v="5"/>
    <n v="0"/>
    <n v="4132.3999999999996"/>
    <n v="0"/>
    <n v="4132.3999999999996"/>
    <x v="2"/>
    <x v="0"/>
    <s v="Kavya Fernando"/>
  </r>
  <r>
    <s v="ORD-1926"/>
    <d v="2025-10-27T00:00:00"/>
    <x v="6"/>
    <s v="Rajith Senanayake"/>
    <x v="1"/>
    <x v="1"/>
    <x v="0"/>
    <x v="0"/>
    <n v="1463.1"/>
    <n v="4"/>
    <n v="0"/>
    <n v="5852.4"/>
    <n v="0"/>
    <n v="5852.4"/>
    <x v="0"/>
    <x v="2"/>
    <s v="Ruwan Jayasuriya"/>
  </r>
  <r>
    <s v="ORD-1927"/>
    <d v="2025-10-28T00:00:00"/>
    <x v="6"/>
    <s v="Ishara Wickramasinghe"/>
    <x v="1"/>
    <x v="1"/>
    <x v="2"/>
    <x v="2"/>
    <n v="2305.69"/>
    <n v="3"/>
    <n v="10"/>
    <n v="6917.07"/>
    <n v="691.70699999999999"/>
    <n v="6225.3629999999994"/>
    <x v="1"/>
    <x v="1"/>
    <s v="Amara Perera"/>
  </r>
  <r>
    <s v="ORD-1928"/>
    <d v="2025-10-29T00:00:00"/>
    <x v="6"/>
    <s v="Anusha Fernando"/>
    <x v="8"/>
    <x v="7"/>
    <x v="4"/>
    <x v="12"/>
    <n v="4713.2299999999996"/>
    <n v="3"/>
    <n v="5"/>
    <n v="14139.689999999999"/>
    <n v="706.98450000000003"/>
    <n v="13432.705499999998"/>
    <x v="0"/>
    <x v="3"/>
    <s v="Dinesh Silva"/>
  </r>
  <r>
    <s v="ORD-1929"/>
    <d v="2025-10-30T00:00:00"/>
    <x v="6"/>
    <s v="Kumari Rajapaksa"/>
    <x v="8"/>
    <x v="7"/>
    <x v="6"/>
    <x v="14"/>
    <n v="652.57000000000005"/>
    <n v="5"/>
    <n v="0"/>
    <n v="3262.8500000000004"/>
    <n v="0"/>
    <n v="3262.8500000000004"/>
    <x v="1"/>
    <x v="0"/>
    <s v="Ruwan Jayasuriya"/>
  </r>
  <r>
    <s v="ORD-1930"/>
    <d v="2025-10-31T00:00:00"/>
    <x v="6"/>
    <s v="Hasini Gunasekara"/>
    <x v="8"/>
    <x v="7"/>
    <x v="1"/>
    <x v="16"/>
    <n v="8539.5499999999993"/>
    <n v="4"/>
    <n v="0"/>
    <n v="34158.199999999997"/>
    <n v="0"/>
    <n v="34158.199999999997"/>
    <x v="2"/>
    <x v="0"/>
    <s v="Thilini Bandara"/>
  </r>
  <r>
    <s v="ORD-1931"/>
    <d v="2025-11-01T00:00:00"/>
    <x v="7"/>
    <s v="Ruwan Kumara"/>
    <x v="0"/>
    <x v="0"/>
    <x v="5"/>
    <x v="32"/>
    <n v="2404.4499999999998"/>
    <n v="1"/>
    <n v="5"/>
    <n v="2404.4499999999998"/>
    <n v="120.2225"/>
    <n v="2284.2275"/>
    <x v="0"/>
    <x v="0"/>
    <s v="Dinesh Silva"/>
  </r>
  <r>
    <s v="ORD-1932"/>
    <d v="2025-11-02T00:00:00"/>
    <x v="7"/>
    <s v="Malika Kumara"/>
    <x v="5"/>
    <x v="4"/>
    <x v="3"/>
    <x v="36"/>
    <n v="60485.13"/>
    <n v="2"/>
    <n v="5"/>
    <n v="120970.26"/>
    <n v="6048.512999999999"/>
    <n v="114921.747"/>
    <x v="5"/>
    <x v="2"/>
    <s v="Dinesh Silva"/>
  </r>
  <r>
    <s v="ORD-1933"/>
    <d v="2025-11-03T00:00:00"/>
    <x v="7"/>
    <s v="Kavindi Dissanayake"/>
    <x v="3"/>
    <x v="3"/>
    <x v="6"/>
    <x v="14"/>
    <n v="713.84"/>
    <n v="5"/>
    <n v="0"/>
    <n v="3569.2000000000003"/>
    <n v="0"/>
    <n v="3569.2000000000003"/>
    <x v="3"/>
    <x v="0"/>
    <s v="Ruwan Jayasuriya"/>
  </r>
  <r>
    <s v="ORD-1934"/>
    <d v="2025-11-04T00:00:00"/>
    <x v="7"/>
    <s v="Bandara Dissanayake"/>
    <x v="1"/>
    <x v="1"/>
    <x v="5"/>
    <x v="32"/>
    <n v="2391.1799999999998"/>
    <n v="2"/>
    <n v="0"/>
    <n v="4782.3599999999997"/>
    <n v="0"/>
    <n v="4782.3599999999997"/>
    <x v="0"/>
    <x v="0"/>
    <s v="Amara Perera"/>
  </r>
  <r>
    <s v="ORD-1935"/>
    <d v="2025-11-05T00:00:00"/>
    <x v="7"/>
    <s v="Thilak Senanayake"/>
    <x v="0"/>
    <x v="0"/>
    <x v="6"/>
    <x v="22"/>
    <n v="2181.31"/>
    <n v="2"/>
    <n v="0"/>
    <n v="4362.62"/>
    <n v="0"/>
    <n v="4362.62"/>
    <x v="1"/>
    <x v="0"/>
    <s v="Ruwan Jayasuriya"/>
  </r>
  <r>
    <s v="ORD-1936"/>
    <d v="2025-11-06T00:00:00"/>
    <x v="7"/>
    <s v="Ruwan Jayasuriya"/>
    <x v="4"/>
    <x v="0"/>
    <x v="6"/>
    <x v="14"/>
    <n v="680.59"/>
    <n v="1"/>
    <n v="5"/>
    <n v="680.59"/>
    <n v="34.029500000000006"/>
    <n v="646.56050000000005"/>
    <x v="0"/>
    <x v="0"/>
    <s v="Dinesh Silva"/>
  </r>
  <r>
    <s v="ORD-1937"/>
    <d v="2025-11-07T00:00:00"/>
    <x v="7"/>
    <s v="Kumari Pathirana"/>
    <x v="9"/>
    <x v="7"/>
    <x v="3"/>
    <x v="10"/>
    <n v="82544.929999999993"/>
    <n v="4"/>
    <n v="15"/>
    <n v="330179.71999999997"/>
    <n v="49526.957999999999"/>
    <n v="280652.76199999999"/>
    <x v="5"/>
    <x v="0"/>
    <s v="Thilini Bandara"/>
  </r>
  <r>
    <s v="ORD-1938"/>
    <d v="2025-11-08T00:00:00"/>
    <x v="7"/>
    <s v="Thilak Senanayake"/>
    <x v="5"/>
    <x v="4"/>
    <x v="1"/>
    <x v="26"/>
    <n v="1253.4100000000001"/>
    <n v="2"/>
    <n v="5"/>
    <n v="2506.8200000000002"/>
    <n v="125.34100000000001"/>
    <n v="2381.4790000000003"/>
    <x v="5"/>
    <x v="0"/>
    <s v="Ruwan Jayasuriya"/>
  </r>
  <r>
    <s v="ORD-1939"/>
    <d v="2025-11-09T00:00:00"/>
    <x v="7"/>
    <s v="Malika Kumara"/>
    <x v="2"/>
    <x v="2"/>
    <x v="1"/>
    <x v="26"/>
    <n v="1258.8499999999999"/>
    <n v="1"/>
    <n v="0"/>
    <n v="1258.8499999999999"/>
    <n v="0"/>
    <n v="1258.8499999999999"/>
    <x v="2"/>
    <x v="0"/>
    <s v="Ruwan Jayasuriya"/>
  </r>
  <r>
    <s v="ORD-1940"/>
    <d v="2025-11-10T00:00:00"/>
    <x v="7"/>
    <s v="Kasun Silva"/>
    <x v="1"/>
    <x v="1"/>
    <x v="3"/>
    <x v="10"/>
    <n v="84816.71"/>
    <n v="5"/>
    <n v="10"/>
    <n v="424083.55000000005"/>
    <n v="42408.355000000003"/>
    <n v="381675.19500000007"/>
    <x v="5"/>
    <x v="3"/>
    <s v="Thilini Bandara"/>
  </r>
  <r>
    <s v="ORD-1941"/>
    <d v="2025-11-11T00:00:00"/>
    <x v="7"/>
    <s v="Roshani Wickramasinghe"/>
    <x v="1"/>
    <x v="1"/>
    <x v="6"/>
    <x v="9"/>
    <n v="327.68"/>
    <n v="4"/>
    <n v="0"/>
    <n v="1310.72"/>
    <n v="0"/>
    <n v="1310.72"/>
    <x v="2"/>
    <x v="0"/>
    <s v="Thilini Bandara"/>
  </r>
  <r>
    <s v="ORD-1942"/>
    <d v="2025-11-12T00:00:00"/>
    <x v="7"/>
    <s v="Dilini Rajapaksa"/>
    <x v="1"/>
    <x v="1"/>
    <x v="0"/>
    <x v="6"/>
    <n v="1686.56"/>
    <n v="1"/>
    <n v="10"/>
    <n v="1686.56"/>
    <n v="168.65599999999998"/>
    <n v="1517.904"/>
    <x v="0"/>
    <x v="2"/>
    <s v="Thilini Bandara"/>
  </r>
  <r>
    <s v="ORD-1943"/>
    <d v="2025-11-13T00:00:00"/>
    <x v="7"/>
    <s v="Roshani Silva"/>
    <x v="7"/>
    <x v="6"/>
    <x v="6"/>
    <x v="9"/>
    <n v="352.73"/>
    <n v="1"/>
    <n v="15"/>
    <n v="352.73"/>
    <n v="52.909500000000008"/>
    <n v="299.82050000000004"/>
    <x v="5"/>
    <x v="0"/>
    <s v="Thilini Bandara"/>
  </r>
  <r>
    <s v="ORD-1944"/>
    <d v="2025-11-14T00:00:00"/>
    <x v="7"/>
    <s v="Sanduni Perera"/>
    <x v="7"/>
    <x v="6"/>
    <x v="4"/>
    <x v="15"/>
    <n v="2588.91"/>
    <n v="2"/>
    <n v="0"/>
    <n v="5177.82"/>
    <n v="0"/>
    <n v="5177.82"/>
    <x v="1"/>
    <x v="1"/>
    <s v="Dinesh Silva"/>
  </r>
  <r>
    <s v="ORD-1945"/>
    <d v="2025-11-15T00:00:00"/>
    <x v="7"/>
    <s v="Hasini Wickramasinghe"/>
    <x v="0"/>
    <x v="0"/>
    <x v="3"/>
    <x v="10"/>
    <n v="85104.52"/>
    <n v="3"/>
    <n v="0"/>
    <n v="255313.56"/>
    <n v="0"/>
    <n v="255313.56"/>
    <x v="1"/>
    <x v="0"/>
    <s v="Amara Perera"/>
  </r>
  <r>
    <s v="ORD-1946"/>
    <d v="2025-11-16T00:00:00"/>
    <x v="7"/>
    <s v="Malika Perera"/>
    <x v="7"/>
    <x v="6"/>
    <x v="6"/>
    <x v="22"/>
    <n v="2270.0300000000002"/>
    <n v="4"/>
    <n v="10"/>
    <n v="9080.1200000000008"/>
    <n v="908.01200000000017"/>
    <n v="8172.1080000000002"/>
    <x v="0"/>
    <x v="0"/>
    <s v="Kavya Fernando"/>
  </r>
  <r>
    <s v="ORD-1947"/>
    <d v="2025-11-17T00:00:00"/>
    <x v="7"/>
    <s v="Anusha Senanayake"/>
    <x v="7"/>
    <x v="6"/>
    <x v="5"/>
    <x v="24"/>
    <n v="3631.55"/>
    <n v="1"/>
    <n v="0"/>
    <n v="3631.55"/>
    <n v="0"/>
    <n v="3631.55"/>
    <x v="5"/>
    <x v="0"/>
    <s v="Dinesh Silva"/>
  </r>
  <r>
    <s v="ORD-1948"/>
    <d v="2025-11-18T00:00:00"/>
    <x v="7"/>
    <s v="Chamara Fernando"/>
    <x v="2"/>
    <x v="2"/>
    <x v="5"/>
    <x v="24"/>
    <n v="3564.25"/>
    <n v="3"/>
    <n v="10"/>
    <n v="10692.75"/>
    <n v="1069.2750000000001"/>
    <n v="9623.4750000000004"/>
    <x v="0"/>
    <x v="0"/>
    <s v="Amara Perera"/>
  </r>
  <r>
    <s v="ORD-1949"/>
    <d v="2025-11-19T00:00:00"/>
    <x v="7"/>
    <s v="Pradeep Wickramasinghe"/>
    <x v="5"/>
    <x v="4"/>
    <x v="0"/>
    <x v="25"/>
    <n v="2450.0300000000002"/>
    <n v="1"/>
    <n v="10"/>
    <n v="2450.0300000000002"/>
    <n v="245.00300000000004"/>
    <n v="2205.027"/>
    <x v="2"/>
    <x v="1"/>
    <s v="Dinesh Silva"/>
  </r>
  <r>
    <s v="ORD-1950"/>
    <d v="2025-11-20T00:00:00"/>
    <x v="7"/>
    <s v="Chamara Silva"/>
    <x v="3"/>
    <x v="3"/>
    <x v="0"/>
    <x v="25"/>
    <n v="2607.2199999999998"/>
    <n v="5"/>
    <n v="5"/>
    <n v="13036.099999999999"/>
    <n v="651.80499999999995"/>
    <n v="12384.294999999998"/>
    <x v="0"/>
    <x v="3"/>
    <s v="Dinesh Silva"/>
  </r>
  <r>
    <s v="ORD-1951"/>
    <d v="2025-11-21T00:00:00"/>
    <x v="7"/>
    <s v="Ruwan Rajapaksa"/>
    <x v="5"/>
    <x v="4"/>
    <x v="4"/>
    <x v="4"/>
    <n v="3824.81"/>
    <n v="2"/>
    <n v="0"/>
    <n v="7649.62"/>
    <n v="0"/>
    <n v="7649.62"/>
    <x v="3"/>
    <x v="0"/>
    <s v="Thilini Bandara"/>
  </r>
  <r>
    <s v="ORD-1952"/>
    <d v="2025-11-22T00:00:00"/>
    <x v="7"/>
    <s v="Thilini Bandara"/>
    <x v="5"/>
    <x v="4"/>
    <x v="3"/>
    <x v="36"/>
    <n v="66822.31"/>
    <n v="3"/>
    <n v="0"/>
    <n v="200466.93"/>
    <n v="0"/>
    <n v="200466.93"/>
    <x v="3"/>
    <x v="0"/>
    <s v="Dinesh Silva"/>
  </r>
  <r>
    <s v="ORD-1953"/>
    <d v="2025-11-23T00:00:00"/>
    <x v="7"/>
    <s v="Kasun Silva"/>
    <x v="5"/>
    <x v="4"/>
    <x v="1"/>
    <x v="35"/>
    <n v="2725.89"/>
    <n v="1"/>
    <n v="10"/>
    <n v="2725.89"/>
    <n v="272.589"/>
    <n v="2453.3009999999999"/>
    <x v="0"/>
    <x v="1"/>
    <s v="Kavya Fernando"/>
  </r>
  <r>
    <s v="ORD-1954"/>
    <d v="2025-11-24T00:00:00"/>
    <x v="7"/>
    <s v="Roshani Silva"/>
    <x v="7"/>
    <x v="6"/>
    <x v="2"/>
    <x v="33"/>
    <n v="965.77"/>
    <n v="5"/>
    <n v="0"/>
    <n v="4828.8500000000004"/>
    <n v="0"/>
    <n v="4828.8500000000004"/>
    <x v="0"/>
    <x v="0"/>
    <s v="Amara Perera"/>
  </r>
  <r>
    <s v="ORD-1955"/>
    <d v="2025-11-25T00:00:00"/>
    <x v="7"/>
    <s v="Thilak Dissanayake"/>
    <x v="9"/>
    <x v="7"/>
    <x v="2"/>
    <x v="33"/>
    <n v="909.3"/>
    <n v="4"/>
    <n v="0"/>
    <n v="3637.2"/>
    <n v="0"/>
    <n v="3637.2"/>
    <x v="0"/>
    <x v="0"/>
    <s v="Kavya Fernando"/>
  </r>
  <r>
    <s v="ORD-1956"/>
    <d v="2025-11-26T00:00:00"/>
    <x v="7"/>
    <s v="Thilini Bandara"/>
    <x v="9"/>
    <x v="7"/>
    <x v="0"/>
    <x v="25"/>
    <n v="2321.34"/>
    <n v="5"/>
    <n v="15"/>
    <n v="11606.7"/>
    <n v="1741.0050000000001"/>
    <n v="9865.6949999999997"/>
    <x v="5"/>
    <x v="1"/>
    <s v="Kavya Fernando"/>
  </r>
  <r>
    <s v="ORD-1957"/>
    <d v="2025-11-27T00:00:00"/>
    <x v="7"/>
    <s v="Ishara Pathirana"/>
    <x v="2"/>
    <x v="2"/>
    <x v="4"/>
    <x v="23"/>
    <n v="11239.45"/>
    <n v="3"/>
    <n v="5"/>
    <n v="33718.350000000006"/>
    <n v="1685.9175000000002"/>
    <n v="32032.432500000006"/>
    <x v="0"/>
    <x v="0"/>
    <s v="Kavya Fernando"/>
  </r>
  <r>
    <s v="ORD-1958"/>
    <d v="2025-11-28T00:00:00"/>
    <x v="7"/>
    <s v="Dinesh Kumara"/>
    <x v="4"/>
    <x v="0"/>
    <x v="2"/>
    <x v="2"/>
    <n v="2723.73"/>
    <n v="4"/>
    <n v="0"/>
    <n v="10894.92"/>
    <n v="0"/>
    <n v="10894.92"/>
    <x v="5"/>
    <x v="1"/>
    <s v="Amara Perera"/>
  </r>
  <r>
    <s v="ORD-1959"/>
    <d v="2025-11-29T00:00:00"/>
    <x v="7"/>
    <s v="Kavindi Jayasuriya"/>
    <x v="1"/>
    <x v="1"/>
    <x v="1"/>
    <x v="28"/>
    <n v="4557.41"/>
    <n v="3"/>
    <n v="5"/>
    <n v="13672.23"/>
    <n v="683.61149999999998"/>
    <n v="12988.6185"/>
    <x v="2"/>
    <x v="2"/>
    <s v="Amara Perera"/>
  </r>
  <r>
    <s v="ORD-1960"/>
    <d v="2025-11-30T00:00:00"/>
    <x v="7"/>
    <s v="Thilini Bandara"/>
    <x v="9"/>
    <x v="7"/>
    <x v="4"/>
    <x v="23"/>
    <n v="12036.03"/>
    <n v="5"/>
    <n v="10"/>
    <n v="60180.15"/>
    <n v="6018.0150000000003"/>
    <n v="54162.135000000002"/>
    <x v="5"/>
    <x v="0"/>
    <s v="Amara Perera"/>
  </r>
  <r>
    <s v="ORD-1961"/>
    <d v="2025-12-01T00:00:00"/>
    <x v="8"/>
    <s v="Chamara Kumara"/>
    <x v="0"/>
    <x v="0"/>
    <x v="0"/>
    <x v="13"/>
    <n v="1248.6199999999999"/>
    <n v="3"/>
    <n v="0"/>
    <n v="3745.8599999999997"/>
    <n v="0"/>
    <n v="3745.8599999999997"/>
    <x v="0"/>
    <x v="1"/>
    <s v="Thilini Bandara"/>
  </r>
  <r>
    <s v="ORD-1962"/>
    <d v="2025-12-02T00:00:00"/>
    <x v="8"/>
    <s v="Nadeesha Gunasekara"/>
    <x v="9"/>
    <x v="7"/>
    <x v="0"/>
    <x v="6"/>
    <n v="1945.37"/>
    <n v="2"/>
    <n v="10"/>
    <n v="3890.74"/>
    <n v="389.07399999999996"/>
    <n v="3501.6659999999997"/>
    <x v="3"/>
    <x v="2"/>
    <s v="Dinesh Silva"/>
  </r>
  <r>
    <s v="ORD-1963"/>
    <d v="2025-12-03T00:00:00"/>
    <x v="8"/>
    <s v="Anusha Perera"/>
    <x v="5"/>
    <x v="4"/>
    <x v="4"/>
    <x v="23"/>
    <n v="11209.16"/>
    <n v="1"/>
    <n v="0"/>
    <n v="11209.16"/>
    <n v="0"/>
    <n v="11209.16"/>
    <x v="1"/>
    <x v="2"/>
    <s v="Thilini Bandara"/>
  </r>
  <r>
    <s v="ORD-1964"/>
    <d v="2025-12-04T00:00:00"/>
    <x v="8"/>
    <s v="Malika Wickramasinghe"/>
    <x v="6"/>
    <x v="5"/>
    <x v="2"/>
    <x v="31"/>
    <n v="1131.1400000000001"/>
    <n v="5"/>
    <n v="0"/>
    <n v="5655.7000000000007"/>
    <n v="0"/>
    <n v="5655.7000000000007"/>
    <x v="1"/>
    <x v="0"/>
    <s v="Thilini Bandara"/>
  </r>
  <r>
    <s v="ORD-1965"/>
    <d v="2025-12-05T00:00:00"/>
    <x v="8"/>
    <s v="Saman Senanayake"/>
    <x v="6"/>
    <x v="5"/>
    <x v="3"/>
    <x v="36"/>
    <n v="58576.58"/>
    <n v="4"/>
    <n v="0"/>
    <n v="234306.32"/>
    <n v="0"/>
    <n v="234306.32"/>
    <x v="3"/>
    <x v="0"/>
    <s v="Amara Perera"/>
  </r>
  <r>
    <s v="ORD-1966"/>
    <d v="2025-12-06T00:00:00"/>
    <x v="8"/>
    <s v="Anusha Kumara"/>
    <x v="9"/>
    <x v="7"/>
    <x v="4"/>
    <x v="15"/>
    <n v="2524.96"/>
    <n v="4"/>
    <n v="10"/>
    <n v="10099.84"/>
    <n v="1009.9839999999999"/>
    <n v="9089.8559999999998"/>
    <x v="1"/>
    <x v="0"/>
    <s v="Thilini Bandara"/>
  </r>
  <r>
    <s v="ORD-1967"/>
    <d v="2025-12-07T00:00:00"/>
    <x v="8"/>
    <s v="Ruwan Dissanayake"/>
    <x v="1"/>
    <x v="1"/>
    <x v="4"/>
    <x v="4"/>
    <n v="3258.94"/>
    <n v="3"/>
    <n v="0"/>
    <n v="9776.82"/>
    <n v="0"/>
    <n v="9776.82"/>
    <x v="2"/>
    <x v="0"/>
    <s v="Kavya Fernando"/>
  </r>
  <r>
    <s v="ORD-1968"/>
    <d v="2025-12-08T00:00:00"/>
    <x v="8"/>
    <s v="Anusha Dissanayake"/>
    <x v="9"/>
    <x v="7"/>
    <x v="5"/>
    <x v="32"/>
    <n v="2304.35"/>
    <n v="4"/>
    <n v="0"/>
    <n v="9217.4"/>
    <n v="0"/>
    <n v="9217.4"/>
    <x v="2"/>
    <x v="0"/>
    <s v="Dinesh Silva"/>
  </r>
  <r>
    <s v="ORD-1969"/>
    <d v="2025-12-09T00:00:00"/>
    <x v="8"/>
    <s v="Kavindi Dissanayake"/>
    <x v="0"/>
    <x v="0"/>
    <x v="2"/>
    <x v="27"/>
    <n v="737.71"/>
    <n v="3"/>
    <n v="15"/>
    <n v="2213.13"/>
    <n v="331.96950000000004"/>
    <n v="1881.1605"/>
    <x v="1"/>
    <x v="0"/>
    <s v="Ruwan Jayasuriya"/>
  </r>
  <r>
    <s v="ORD-1970"/>
    <d v="2025-12-10T00:00:00"/>
    <x v="8"/>
    <s v="Thilak Perera"/>
    <x v="9"/>
    <x v="7"/>
    <x v="0"/>
    <x v="25"/>
    <n v="2724.19"/>
    <n v="3"/>
    <n v="5"/>
    <n v="8172.57"/>
    <n v="408.62849999999997"/>
    <n v="7763.9414999999999"/>
    <x v="2"/>
    <x v="0"/>
    <s v="Thilini Bandara"/>
  </r>
  <r>
    <s v="ORD-1971"/>
    <d v="2025-12-11T00:00:00"/>
    <x v="8"/>
    <s v="Thilini Kumara"/>
    <x v="9"/>
    <x v="7"/>
    <x v="2"/>
    <x v="8"/>
    <n v="600.22"/>
    <n v="4"/>
    <n v="0"/>
    <n v="2400.88"/>
    <n v="0"/>
    <n v="2400.88"/>
    <x v="5"/>
    <x v="0"/>
    <s v="Amara Perera"/>
  </r>
  <r>
    <s v="ORD-1972"/>
    <d v="2025-12-12T00:00:00"/>
    <x v="8"/>
    <s v="Ruwan Rajapaksa"/>
    <x v="7"/>
    <x v="6"/>
    <x v="3"/>
    <x v="19"/>
    <n v="89993.59"/>
    <n v="3"/>
    <n v="5"/>
    <n v="269980.77"/>
    <n v="13499.038500000001"/>
    <n v="256481.73150000002"/>
    <x v="0"/>
    <x v="1"/>
    <s v="Amara Perera"/>
  </r>
  <r>
    <s v="ORD-1973"/>
    <d v="2025-12-13T00:00:00"/>
    <x v="8"/>
    <s v="Roshani Wickramasinghe"/>
    <x v="3"/>
    <x v="3"/>
    <x v="4"/>
    <x v="4"/>
    <n v="3682.63"/>
    <n v="2"/>
    <n v="0"/>
    <n v="7365.26"/>
    <n v="0"/>
    <n v="7365.26"/>
    <x v="1"/>
    <x v="1"/>
    <s v="Thilini Bandara"/>
  </r>
  <r>
    <s v="ORD-1974"/>
    <d v="2025-12-14T00:00:00"/>
    <x v="8"/>
    <s v="Ishara Wickramasinghe"/>
    <x v="1"/>
    <x v="1"/>
    <x v="6"/>
    <x v="22"/>
    <n v="2417.4699999999998"/>
    <n v="2"/>
    <n v="15"/>
    <n v="4834.9399999999996"/>
    <n v="725.24099999999987"/>
    <n v="4109.6989999999996"/>
    <x v="2"/>
    <x v="0"/>
    <s v="Ruwan Jayasuriya"/>
  </r>
  <r>
    <s v="ORD-1975"/>
    <d v="2025-12-15T00:00:00"/>
    <x v="8"/>
    <s v="Dilini Kumara"/>
    <x v="7"/>
    <x v="6"/>
    <x v="5"/>
    <x v="24"/>
    <n v="3282.07"/>
    <n v="5"/>
    <n v="0"/>
    <n v="16410.350000000002"/>
    <n v="0"/>
    <n v="16410.350000000002"/>
    <x v="1"/>
    <x v="0"/>
    <s v="Amara Perera"/>
  </r>
  <r>
    <s v="ORD-1976"/>
    <d v="2025-12-16T00:00:00"/>
    <x v="8"/>
    <s v="Bandara Perera"/>
    <x v="3"/>
    <x v="3"/>
    <x v="1"/>
    <x v="1"/>
    <n v="4433.67"/>
    <n v="5"/>
    <n v="5"/>
    <n v="22168.35"/>
    <n v="1108.4175"/>
    <n v="21059.932499999999"/>
    <x v="5"/>
    <x v="2"/>
    <s v="Amara Perera"/>
  </r>
  <r>
    <s v="ORD-1977"/>
    <d v="2025-12-17T00:00:00"/>
    <x v="8"/>
    <s v="Kumari Bandara"/>
    <x v="3"/>
    <x v="3"/>
    <x v="0"/>
    <x v="25"/>
    <n v="2360.89"/>
    <n v="4"/>
    <n v="15"/>
    <n v="9443.56"/>
    <n v="1416.5339999999999"/>
    <n v="8027.0259999999998"/>
    <x v="5"/>
    <x v="3"/>
    <s v="Ruwan Jayasuriya"/>
  </r>
  <r>
    <s v="ORD-1978"/>
    <d v="2025-12-18T00:00:00"/>
    <x v="8"/>
    <s v="Nimali Wickramasinghe"/>
    <x v="1"/>
    <x v="1"/>
    <x v="2"/>
    <x v="31"/>
    <n v="1147.33"/>
    <n v="3"/>
    <n v="0"/>
    <n v="3441.99"/>
    <n v="0"/>
    <n v="3441.99"/>
    <x v="2"/>
    <x v="0"/>
    <s v="Kavya Fernando"/>
  </r>
  <r>
    <s v="ORD-1979"/>
    <d v="2025-12-19T00:00:00"/>
    <x v="8"/>
    <s v="Sanduni Perera"/>
    <x v="0"/>
    <x v="0"/>
    <x v="3"/>
    <x v="19"/>
    <n v="99650.34"/>
    <n v="2"/>
    <n v="0"/>
    <n v="199300.68"/>
    <n v="0"/>
    <n v="199300.68"/>
    <x v="2"/>
    <x v="0"/>
    <s v="Thilini Bandara"/>
  </r>
  <r>
    <s v="ORD-1980"/>
    <d v="2025-12-20T00:00:00"/>
    <x v="8"/>
    <s v="Kumari Fernando"/>
    <x v="3"/>
    <x v="3"/>
    <x v="4"/>
    <x v="15"/>
    <n v="2707.2"/>
    <n v="1"/>
    <n v="0"/>
    <n v="2707.2"/>
    <n v="0"/>
    <n v="2707.2"/>
    <x v="5"/>
    <x v="1"/>
    <s v="Thilini Bandara"/>
  </r>
  <r>
    <s v="ORD-1981"/>
    <d v="2025-12-21T00:00:00"/>
    <x v="8"/>
    <s v="Thilak Rajapaksa"/>
    <x v="8"/>
    <x v="7"/>
    <x v="0"/>
    <x v="6"/>
    <n v="1810.39"/>
    <n v="3"/>
    <n v="5"/>
    <n v="5431.17"/>
    <n v="271.55849999999998"/>
    <n v="5159.6115"/>
    <x v="3"/>
    <x v="0"/>
    <s v="Thilini Bandara"/>
  </r>
  <r>
    <s v="ORD-1982"/>
    <d v="2025-12-22T00:00:00"/>
    <x v="8"/>
    <s v="Kamal Silva"/>
    <x v="9"/>
    <x v="7"/>
    <x v="0"/>
    <x v="6"/>
    <n v="1663.33"/>
    <n v="5"/>
    <n v="0"/>
    <n v="8316.65"/>
    <n v="0"/>
    <n v="8316.65"/>
    <x v="1"/>
    <x v="0"/>
    <s v="Ruwan Jayasuriya"/>
  </r>
  <r>
    <s v="ORD-1983"/>
    <d v="2025-12-23T00:00:00"/>
    <x v="8"/>
    <s v="Kamal Bandara"/>
    <x v="2"/>
    <x v="2"/>
    <x v="2"/>
    <x v="31"/>
    <n v="1254.08"/>
    <n v="2"/>
    <n v="0"/>
    <n v="2508.16"/>
    <n v="0"/>
    <n v="2508.16"/>
    <x v="1"/>
    <x v="0"/>
    <s v="Dinesh Silva"/>
  </r>
  <r>
    <s v="ORD-1984"/>
    <d v="2025-12-24T00:00:00"/>
    <x v="8"/>
    <s v="Kumari Bandara"/>
    <x v="3"/>
    <x v="3"/>
    <x v="6"/>
    <x v="9"/>
    <n v="383.26"/>
    <n v="3"/>
    <n v="5"/>
    <n v="1149.78"/>
    <n v="57.488999999999997"/>
    <n v="1092.2909999999999"/>
    <x v="5"/>
    <x v="0"/>
    <s v="Amara Perera"/>
  </r>
  <r>
    <s v="ORD-1985"/>
    <d v="2025-12-25T00:00:00"/>
    <x v="8"/>
    <s v="Kumari Bandara"/>
    <x v="7"/>
    <x v="6"/>
    <x v="6"/>
    <x v="11"/>
    <n v="1400.08"/>
    <n v="3"/>
    <n v="10"/>
    <n v="4200.24"/>
    <n v="420.02399999999994"/>
    <n v="3780.2159999999999"/>
    <x v="1"/>
    <x v="0"/>
    <s v="Amara Perera"/>
  </r>
  <r>
    <s v="ORD-1986"/>
    <d v="2025-12-26T00:00:00"/>
    <x v="8"/>
    <s v="Nimali Kumara"/>
    <x v="4"/>
    <x v="0"/>
    <x v="0"/>
    <x v="13"/>
    <n v="1198.81"/>
    <n v="5"/>
    <n v="10"/>
    <n v="5994.0499999999993"/>
    <n v="599.40499999999997"/>
    <n v="5394.6449999999995"/>
    <x v="5"/>
    <x v="0"/>
    <s v="Ruwan Jayasuriya"/>
  </r>
  <r>
    <s v="ORD-1987"/>
    <d v="2025-12-27T00:00:00"/>
    <x v="8"/>
    <s v="Bandara Bandara"/>
    <x v="5"/>
    <x v="4"/>
    <x v="4"/>
    <x v="12"/>
    <n v="4294.34"/>
    <n v="2"/>
    <n v="10"/>
    <n v="8588.68"/>
    <n v="858.86800000000005"/>
    <n v="7729.8119999999999"/>
    <x v="1"/>
    <x v="3"/>
    <s v="Dinesh Silva"/>
  </r>
  <r>
    <s v="ORD-1988"/>
    <d v="2025-12-28T00:00:00"/>
    <x v="8"/>
    <s v="Asela Perera"/>
    <x v="7"/>
    <x v="6"/>
    <x v="4"/>
    <x v="12"/>
    <n v="4686.9799999999996"/>
    <n v="5"/>
    <n v="0"/>
    <n v="23434.899999999998"/>
    <n v="0"/>
    <n v="23434.899999999998"/>
    <x v="3"/>
    <x v="2"/>
    <s v="Dinesh Silva"/>
  </r>
  <r>
    <s v="ORD-1989"/>
    <d v="2025-12-29T00:00:00"/>
    <x v="8"/>
    <s v="Asela Wickramasinghe"/>
    <x v="7"/>
    <x v="6"/>
    <x v="3"/>
    <x v="5"/>
    <n v="141717.88"/>
    <n v="5"/>
    <n v="0"/>
    <n v="708589.4"/>
    <n v="0"/>
    <n v="708589.4"/>
    <x v="3"/>
    <x v="0"/>
    <s v="Dinesh Silva"/>
  </r>
  <r>
    <s v="ORD-1990"/>
    <d v="2025-12-30T00:00:00"/>
    <x v="8"/>
    <s v="Ruwan Wickramasinghe"/>
    <x v="0"/>
    <x v="0"/>
    <x v="0"/>
    <x v="25"/>
    <n v="2744.77"/>
    <n v="2"/>
    <n v="15"/>
    <n v="5489.54"/>
    <n v="823.43100000000004"/>
    <n v="4666.1090000000004"/>
    <x v="5"/>
    <x v="0"/>
    <s v="Kavya Fernando"/>
  </r>
  <r>
    <s v="ORD-1991"/>
    <d v="2025-12-31T00:00:00"/>
    <x v="8"/>
    <s v="Nadeesha Rajapaksa"/>
    <x v="8"/>
    <x v="7"/>
    <x v="3"/>
    <x v="19"/>
    <n v="102295.74"/>
    <n v="3"/>
    <n v="0"/>
    <n v="306887.22000000003"/>
    <n v="0"/>
    <n v="306887.22000000003"/>
    <x v="2"/>
    <x v="3"/>
    <s v="Kavya Fernando"/>
  </r>
  <r>
    <s v="ORD-1992"/>
    <d v="2026-01-01T00:00:00"/>
    <x v="9"/>
    <s v="Nimali Pathirana"/>
    <x v="0"/>
    <x v="0"/>
    <x v="6"/>
    <x v="22"/>
    <n v="2076.48"/>
    <n v="3"/>
    <n v="15"/>
    <n v="6229.4400000000005"/>
    <n v="934.41600000000005"/>
    <n v="5295.0240000000003"/>
    <x v="3"/>
    <x v="0"/>
    <s v="Thilini Bandara"/>
  </r>
  <r>
    <s v="ORD-1993"/>
    <d v="2026-01-02T00:00:00"/>
    <x v="9"/>
    <s v="Rajith Silva"/>
    <x v="5"/>
    <x v="4"/>
    <x v="0"/>
    <x v="0"/>
    <n v="1611.01"/>
    <n v="5"/>
    <n v="0"/>
    <n v="8055.05"/>
    <n v="0"/>
    <n v="8055.05"/>
    <x v="1"/>
    <x v="2"/>
    <s v="Ruwan Jayasuriya"/>
  </r>
  <r>
    <s v="ORD-1994"/>
    <d v="2026-01-03T00:00:00"/>
    <x v="9"/>
    <s v="Thilak Wickramasinghe"/>
    <x v="4"/>
    <x v="0"/>
    <x v="5"/>
    <x v="7"/>
    <n v="4190.08"/>
    <n v="2"/>
    <n v="0"/>
    <n v="8380.16"/>
    <n v="0"/>
    <n v="8380.16"/>
    <x v="3"/>
    <x v="0"/>
    <s v="Ruwan Jayasuriya"/>
  </r>
  <r>
    <s v="ORD-1995"/>
    <d v="2026-01-04T00:00:00"/>
    <x v="9"/>
    <s v="Roshani Fernando"/>
    <x v="6"/>
    <x v="5"/>
    <x v="1"/>
    <x v="1"/>
    <n v="4219.97"/>
    <n v="4"/>
    <n v="0"/>
    <n v="16879.88"/>
    <n v="0"/>
    <n v="16879.88"/>
    <x v="3"/>
    <x v="0"/>
    <s v="Kavya Fernando"/>
  </r>
  <r>
    <s v="ORD-1996"/>
    <d v="2026-01-05T00:00:00"/>
    <x v="9"/>
    <s v="Sanduni Dissanayake"/>
    <x v="2"/>
    <x v="2"/>
    <x v="1"/>
    <x v="34"/>
    <n v="1393.06"/>
    <n v="4"/>
    <n v="0"/>
    <n v="5572.24"/>
    <n v="0"/>
    <n v="5572.24"/>
    <x v="2"/>
    <x v="1"/>
    <s v="Ruwan Jayasuriya"/>
  </r>
  <r>
    <s v="ORD-1997"/>
    <d v="2026-01-06T00:00:00"/>
    <x v="9"/>
    <s v="Kavindi Bandara"/>
    <x v="9"/>
    <x v="7"/>
    <x v="0"/>
    <x v="29"/>
    <n v="816.53"/>
    <n v="4"/>
    <n v="15"/>
    <n v="3266.12"/>
    <n v="489.91799999999995"/>
    <n v="2776.2019999999998"/>
    <x v="5"/>
    <x v="0"/>
    <s v="Amara Perera"/>
  </r>
  <r>
    <s v="ORD-1998"/>
    <d v="2026-01-07T00:00:00"/>
    <x v="9"/>
    <s v="Nimali Fernando"/>
    <x v="4"/>
    <x v="0"/>
    <x v="6"/>
    <x v="11"/>
    <n v="1430.3"/>
    <n v="5"/>
    <n v="10"/>
    <n v="7151.5"/>
    <n v="715.15"/>
    <n v="6436.35"/>
    <x v="5"/>
    <x v="2"/>
    <s v="Amara Perera"/>
  </r>
  <r>
    <s v="ORD-1999"/>
    <d v="2026-01-08T00:00:00"/>
    <x v="9"/>
    <s v="Kavindi Rajapaksa"/>
    <x v="1"/>
    <x v="1"/>
    <x v="1"/>
    <x v="1"/>
    <n v="4482.38"/>
    <n v="5"/>
    <n v="5"/>
    <n v="22411.9"/>
    <n v="1120.595"/>
    <n v="21291.305"/>
    <x v="1"/>
    <x v="0"/>
    <s v="Kavya Fernan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01D6F-CC9F-4C8B-8795-AAAD2C279CF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6:B104" firstHeaderRow="1" firstDataRow="1" firstDataCol="1"/>
  <pivotFields count="17">
    <pivotField showAll="0"/>
    <pivotField numFmtId="164" showAll="0"/>
    <pivotField showAll="0"/>
    <pivotField showAll="0"/>
    <pivotField showAll="0"/>
    <pivotField showAll="0">
      <items count="9">
        <item x="1"/>
        <item x="2"/>
        <item x="4"/>
        <item x="3"/>
        <item x="6"/>
        <item x="7"/>
        <item x="5"/>
        <item x="0"/>
        <item t="default"/>
      </items>
    </pivotField>
    <pivotField axis="axisRow" showAll="0" sortType="descending">
      <items count="8">
        <item x="0"/>
        <item x="1"/>
        <item x="3"/>
        <item x="2"/>
        <item x="6"/>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 showAll="0"/>
    <pivotField showAll="0"/>
    <pivotField showAll="0"/>
  </pivotFields>
  <rowFields count="1">
    <field x="6"/>
  </rowFields>
  <rowItems count="8">
    <i>
      <x v="2"/>
    </i>
    <i>
      <x v="5"/>
    </i>
    <i>
      <x v="6"/>
    </i>
    <i>
      <x v="1"/>
    </i>
    <i>
      <x/>
    </i>
    <i>
      <x v="4"/>
    </i>
    <i>
      <x v="3"/>
    </i>
    <i t="grand">
      <x/>
    </i>
  </rowItems>
  <colItems count="1">
    <i/>
  </colItems>
  <dataFields count="1">
    <dataField name="Sum of Net_Total" fld="13" baseField="0" baseItem="0" numFmtId="2"/>
  </dataFields>
  <formats count="24">
    <format dxfId="77">
      <pivotArea type="all" dataOnly="0" outline="0" fieldPosition="0"/>
    </format>
    <format dxfId="76">
      <pivotArea outline="0" collapsedLevelsAreSubtotals="1" fieldPosition="0"/>
    </format>
    <format dxfId="75">
      <pivotArea field="6" type="button" dataOnly="0" labelOnly="1" outline="0" axis="axisRow" fieldPosition="0"/>
    </format>
    <format dxfId="74">
      <pivotArea dataOnly="0" labelOnly="1" fieldPosition="0">
        <references count="1">
          <reference field="6"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grandRow="1" outline="0" fieldPosition="0"/>
    </format>
    <format dxfId="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9E909-1C5F-4160-82E4-8A6CEEDD265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0:B86" firstHeaderRow="1" firstDataRow="1" firstDataCol="1"/>
  <pivotFields count="17">
    <pivotField showAll="0"/>
    <pivotField numFmtId="164" showAll="0"/>
    <pivotField showAll="0"/>
    <pivotField showAll="0"/>
    <pivotField showAll="0"/>
    <pivotField showAll="0">
      <items count="9">
        <item x="1"/>
        <item x="2"/>
        <item x="4"/>
        <item x="3"/>
        <item x="6"/>
        <item x="7"/>
        <item x="5"/>
        <item x="0"/>
        <item t="default"/>
      </items>
    </pivotField>
    <pivotField showAll="0"/>
    <pivotField showAll="0"/>
    <pivotField showAll="0"/>
    <pivotField showAll="0"/>
    <pivotField showAll="0"/>
    <pivotField numFmtId="2" showAll="0"/>
    <pivotField numFmtId="2" showAll="0"/>
    <pivotField dataField="1" numFmtId="2" showAll="0"/>
    <pivotField axis="axisRow" showAll="0" sortType="descending">
      <items count="7">
        <item x="5"/>
        <item x="1"/>
        <item x="3"/>
        <item x="0"/>
        <item x="2"/>
        <item h="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6">
    <i>
      <x v="2"/>
    </i>
    <i>
      <x/>
    </i>
    <i>
      <x v="4"/>
    </i>
    <i>
      <x v="1"/>
    </i>
    <i>
      <x v="3"/>
    </i>
    <i t="grand">
      <x/>
    </i>
  </rowItems>
  <colItems count="1">
    <i/>
  </colItems>
  <dataFields count="1">
    <dataField name="Sum of Net_Total" fld="13" showDataAs="percentOfTotal" baseField="14" baseItem="0" numFmtId="10"/>
  </dataFields>
  <formats count="30">
    <format dxfId="107">
      <pivotArea type="all" dataOnly="0" outline="0" fieldPosition="0"/>
    </format>
    <format dxfId="106">
      <pivotArea outline="0" collapsedLevelsAreSubtotals="1" fieldPosition="0"/>
    </format>
    <format dxfId="105">
      <pivotArea field="14" type="button" dataOnly="0" labelOnly="1" outline="0" axis="axisRow" fieldPosition="0"/>
    </format>
    <format dxfId="104">
      <pivotArea dataOnly="0" labelOnly="1" fieldPosition="0">
        <references count="1">
          <reference field="14"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14" type="button" dataOnly="0" labelOnly="1" outline="0" axis="axisRow" fieldPosition="0"/>
    </format>
    <format dxfId="98">
      <pivotArea dataOnly="0" labelOnly="1" fieldPosition="0">
        <references count="1">
          <reference field="14"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4" type="button" dataOnly="0" labelOnly="1" outline="0" axis="axisRow" fieldPosition="0"/>
    </format>
    <format dxfId="92">
      <pivotArea dataOnly="0" labelOnly="1" fieldPosition="0">
        <references count="1">
          <reference field="14"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4" type="button" dataOnly="0" labelOnly="1" outline="0" axis="axisRow" fieldPosition="0"/>
    </format>
    <format dxfId="86">
      <pivotArea dataOnly="0" labelOnly="1" fieldPosition="0">
        <references count="1">
          <reference field="14"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4" type="button" dataOnly="0" labelOnly="1" outline="0" axis="axisRow" fieldPosition="0"/>
    </format>
    <format dxfId="80">
      <pivotArea dataOnly="0" labelOnly="1" fieldPosition="0">
        <references count="1">
          <reference field="14" count="0"/>
        </references>
      </pivotArea>
    </format>
    <format dxfId="79">
      <pivotArea dataOnly="0" labelOnly="1" grandRow="1" outline="0" fieldPosition="0"/>
    </format>
    <format dxfId="78">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4" count="1" selected="0">
            <x v="2"/>
          </reference>
        </references>
      </pivotArea>
    </chartFormat>
    <chartFormat chart="9" format="2">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4"/>
          </reference>
        </references>
      </pivotArea>
    </chartFormat>
    <chartFormat chart="9" format="4">
      <pivotArea type="data" outline="0" fieldPosition="0">
        <references count="2">
          <reference field="4294967294" count="1" selected="0">
            <x v="0"/>
          </reference>
          <reference field="14" count="1" selected="0">
            <x v="1"/>
          </reference>
        </references>
      </pivotArea>
    </chartFormat>
    <chartFormat chart="9" format="5">
      <pivotArea type="data" outline="0" fieldPosition="0">
        <references count="2">
          <reference field="4294967294" count="1" selected="0">
            <x v="0"/>
          </reference>
          <reference field="14" count="1" selected="0">
            <x v="3"/>
          </reference>
        </references>
      </pivotArea>
    </chartFormat>
    <chartFormat chart="9" format="6">
      <pivotArea type="data" outline="0" fieldPosition="0">
        <references count="2">
          <reference field="4294967294" count="1" selected="0">
            <x v="0"/>
          </reference>
          <reference field="14"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4" count="1" selected="0">
            <x v="2"/>
          </reference>
        </references>
      </pivotArea>
    </chartFormat>
    <chartFormat chart="11" format="16">
      <pivotArea type="data" outline="0" fieldPosition="0">
        <references count="2">
          <reference field="4294967294" count="1" selected="0">
            <x v="0"/>
          </reference>
          <reference field="14" count="1" selected="0">
            <x v="0"/>
          </reference>
        </references>
      </pivotArea>
    </chartFormat>
    <chartFormat chart="11" format="17">
      <pivotArea type="data" outline="0" fieldPosition="0">
        <references count="2">
          <reference field="4294967294" count="1" selected="0">
            <x v="0"/>
          </reference>
          <reference field="14" count="1" selected="0">
            <x v="4"/>
          </reference>
        </references>
      </pivotArea>
    </chartFormat>
    <chartFormat chart="11" format="18">
      <pivotArea type="data" outline="0" fieldPosition="0">
        <references count="2">
          <reference field="4294967294" count="1" selected="0">
            <x v="0"/>
          </reference>
          <reference field="14" count="1" selected="0">
            <x v="1"/>
          </reference>
        </references>
      </pivotArea>
    </chartFormat>
    <chartFormat chart="11" format="19">
      <pivotArea type="data" outline="0" fieldPosition="0">
        <references count="2">
          <reference field="4294967294" count="1" selected="0">
            <x v="0"/>
          </reference>
          <reference field="14" count="1" selected="0">
            <x v="3"/>
          </reference>
        </references>
      </pivotArea>
    </chartFormat>
    <chartFormat chart="11"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F529BC-4735-43DD-B5AF-DF9F0536C8F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B47" firstHeaderRow="1" firstDataRow="1" firstDataCol="1"/>
  <pivotFields count="17">
    <pivotField showAll="0"/>
    <pivotField numFmtId="164" showAll="0"/>
    <pivotField showAll="0"/>
    <pivotField showAll="0"/>
    <pivotField showAll="0"/>
    <pivotField showAll="0">
      <items count="9">
        <item x="1"/>
        <item x="2"/>
        <item x="4"/>
        <item x="3"/>
        <item x="6"/>
        <item x="7"/>
        <item x="5"/>
        <item x="0"/>
        <item t="default"/>
      </items>
    </pivotField>
    <pivotField showAll="0"/>
    <pivotField axis="axisRow" showAll="0" measureFilter="1" sortType="descending">
      <items count="38">
        <item x="19"/>
        <item x="33"/>
        <item x="31"/>
        <item x="0"/>
        <item x="23"/>
        <item x="30"/>
        <item x="20"/>
        <item x="28"/>
        <item x="11"/>
        <item x="24"/>
        <item x="15"/>
        <item x="7"/>
        <item x="3"/>
        <item x="6"/>
        <item x="1"/>
        <item x="12"/>
        <item x="5"/>
        <item x="29"/>
        <item x="4"/>
        <item x="2"/>
        <item x="17"/>
        <item x="16"/>
        <item x="13"/>
        <item x="14"/>
        <item x="35"/>
        <item x="26"/>
        <item x="18"/>
        <item x="10"/>
        <item x="8"/>
        <item x="21"/>
        <item x="36"/>
        <item x="27"/>
        <item x="25"/>
        <item x="9"/>
        <item x="34"/>
        <item x="22"/>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2" showAll="0"/>
    <pivotField dataField="1" numFmtId="2" showAll="0"/>
    <pivotField showAll="0"/>
    <pivotField showAll="0"/>
    <pivotField showAll="0"/>
  </pivotFields>
  <rowFields count="1">
    <field x="7"/>
  </rowFields>
  <rowItems count="11">
    <i>
      <x v="16"/>
    </i>
    <i>
      <x/>
    </i>
    <i>
      <x v="26"/>
    </i>
    <i>
      <x v="27"/>
    </i>
    <i>
      <x v="30"/>
    </i>
    <i>
      <x v="4"/>
    </i>
    <i>
      <x v="12"/>
    </i>
    <i>
      <x v="21"/>
    </i>
    <i>
      <x v="20"/>
    </i>
    <i>
      <x v="5"/>
    </i>
    <i t="grand">
      <x/>
    </i>
  </rowItems>
  <colItems count="1">
    <i/>
  </colItems>
  <dataFields count="1">
    <dataField name="Sum of Net_Total" fld="13" baseField="0" baseItem="0" numFmtId="2"/>
  </dataFields>
  <formats count="24">
    <format dxfId="131">
      <pivotArea type="all" dataOnly="0" outline="0" fieldPosition="0"/>
    </format>
    <format dxfId="130">
      <pivotArea outline="0" collapsedLevelsAreSubtotals="1" fieldPosition="0"/>
    </format>
    <format dxfId="129">
      <pivotArea field="7" type="button" dataOnly="0" labelOnly="1" outline="0" axis="axisRow" fieldPosition="0"/>
    </format>
    <format dxfId="128">
      <pivotArea dataOnly="0" labelOnly="1" fieldPosition="0">
        <references count="1">
          <reference field="7"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7" type="button" dataOnly="0" labelOnly="1" outline="0" axis="axisRow" fieldPosition="0"/>
    </format>
    <format dxfId="122">
      <pivotArea dataOnly="0" labelOnly="1" fieldPosition="0">
        <references count="1">
          <reference field="7"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grandRow="1" outline="0" fieldPosition="0"/>
    </format>
    <format dxfId="10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5E385C-ED78-4855-AE38-6165AEF0A37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30" firstHeaderRow="1" firstDataRow="1" firstDataCol="1"/>
  <pivotFields count="17">
    <pivotField showAll="0"/>
    <pivotField numFmtId="164" showAll="0"/>
    <pivotField showAll="0"/>
    <pivotField showAll="0"/>
    <pivotField axis="axisRow" showAll="0" sortType="descending">
      <items count="11">
        <item x="6"/>
        <item x="0"/>
        <item x="9"/>
        <item x="3"/>
        <item x="1"/>
        <item x="5"/>
        <item x="8"/>
        <item x="4"/>
        <item x="7"/>
        <item x="2"/>
        <item t="default"/>
      </items>
      <autoSortScope>
        <pivotArea dataOnly="0" outline="0" fieldPosition="0">
          <references count="1">
            <reference field="4294967294" count="1" selected="0">
              <x v="0"/>
            </reference>
          </references>
        </pivotArea>
      </autoSortScope>
    </pivotField>
    <pivotField showAll="0">
      <items count="9">
        <item x="1"/>
        <item x="2"/>
        <item x="4"/>
        <item x="3"/>
        <item x="6"/>
        <item x="7"/>
        <item x="5"/>
        <item x="0"/>
        <item t="default"/>
      </items>
    </pivotField>
    <pivotField showAll="0"/>
    <pivotField showAll="0"/>
    <pivotField showAll="0"/>
    <pivotField showAll="0"/>
    <pivotField showAll="0"/>
    <pivotField numFmtId="2" showAll="0"/>
    <pivotField numFmtId="2" showAll="0"/>
    <pivotField dataField="1" numFmtId="2" showAll="0"/>
    <pivotField showAll="0"/>
    <pivotField showAll="0"/>
    <pivotField showAll="0"/>
  </pivotFields>
  <rowFields count="1">
    <field x="4"/>
  </rowFields>
  <rowItems count="11">
    <i>
      <x v="8"/>
    </i>
    <i>
      <x v="4"/>
    </i>
    <i>
      <x v="1"/>
    </i>
    <i>
      <x v="7"/>
    </i>
    <i>
      <x/>
    </i>
    <i>
      <x v="6"/>
    </i>
    <i>
      <x v="3"/>
    </i>
    <i>
      <x v="9"/>
    </i>
    <i>
      <x v="5"/>
    </i>
    <i>
      <x v="2"/>
    </i>
    <i t="grand">
      <x/>
    </i>
  </rowItems>
  <colItems count="1">
    <i/>
  </colItems>
  <dataFields count="1">
    <dataField name="Sum of Net_Total" fld="13" baseField="0" baseItem="0" numFmtId="2"/>
  </dataFields>
  <formats count="18">
    <format dxfId="149">
      <pivotArea type="all" dataOnly="0" outline="0" fieldPosition="0"/>
    </format>
    <format dxfId="148">
      <pivotArea outline="0" collapsedLevelsAreSubtotals="1" fieldPosition="0"/>
    </format>
    <format dxfId="147">
      <pivotArea field="4" type="button" dataOnly="0" labelOnly="1" outline="0" axis="axisRow" fieldPosition="0"/>
    </format>
    <format dxfId="146">
      <pivotArea dataOnly="0" labelOnly="1" fieldPosition="0">
        <references count="1">
          <reference field="4"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4" type="button" dataOnly="0" labelOnly="1" outline="0" axis="axisRow" fieldPosition="0"/>
    </format>
    <format dxfId="134">
      <pivotArea dataOnly="0" labelOnly="1" fieldPosition="0">
        <references count="1">
          <reference field="4" count="0"/>
        </references>
      </pivotArea>
    </format>
    <format dxfId="133">
      <pivotArea dataOnly="0" labelOnly="1" grandRow="1" outline="0" fieldPosition="0"/>
    </format>
    <format dxfId="1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F273E4-4979-4071-92D6-9B6E84F0ADE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17">
    <pivotField showAll="0"/>
    <pivotField numFmtId="164" showAll="0"/>
    <pivotField axis="axisRow" showAll="0">
      <items count="13">
        <item x="9"/>
        <item x="10"/>
        <item x="11"/>
        <item x="0"/>
        <item x="1"/>
        <item x="2"/>
        <item x="3"/>
        <item x="4"/>
        <item x="5"/>
        <item x="6"/>
        <item x="7"/>
        <item x="8"/>
        <item t="default"/>
      </items>
    </pivotField>
    <pivotField showAll="0"/>
    <pivotField showAll="0"/>
    <pivotField showAll="0">
      <items count="9">
        <item x="1"/>
        <item x="2"/>
        <item x="4"/>
        <item x="3"/>
        <item x="6"/>
        <item x="7"/>
        <item x="5"/>
        <item x="0"/>
        <item t="default"/>
      </items>
    </pivotField>
    <pivotField showAll="0">
      <items count="8">
        <item x="0"/>
        <item x="1"/>
        <item x="3"/>
        <item x="2"/>
        <item x="6"/>
        <item x="4"/>
        <item x="5"/>
        <item t="default"/>
      </items>
    </pivotField>
    <pivotField showAll="0"/>
    <pivotField showAll="0"/>
    <pivotField showAll="0"/>
    <pivotField showAll="0"/>
    <pivotField numFmtId="2" showAll="0"/>
    <pivotField numFmtId="2" showAll="0"/>
    <pivotField dataField="1" numFmtId="2" showAll="0"/>
    <pivotField showAll="0"/>
    <pivotField showAll="0">
      <items count="5">
        <item x="1"/>
        <item x="0"/>
        <item x="3"/>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Net_Total" fld="13" baseField="0" baseItem="0" numFmtId="2"/>
  </dataFields>
  <formats count="54">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2" type="button" dataOnly="0" labelOnly="1" outline="0" axis="axisRow" fieldPosition="0"/>
    </format>
    <format dxfId="9">
      <pivotArea dataOnly="0" labelOnly="1" fieldPosition="0">
        <references count="1">
          <reference field="2"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fieldPosition="0">
        <references count="1">
          <reference field="2"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2" type="button" dataOnly="0" labelOnly="1" outline="0" axis="axisRow" fieldPosition="0"/>
    </format>
    <format dxfId="21">
      <pivotArea dataOnly="0" labelOnly="1" fieldPosition="0">
        <references count="1">
          <reference field="2"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2" type="button" dataOnly="0" labelOnly="1" outline="0" axis="axisRow" fieldPosition="0"/>
    </format>
    <format dxfId="27">
      <pivotArea dataOnly="0" labelOnly="1" fieldPosition="0">
        <references count="1">
          <reference field="2"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2" type="button" dataOnly="0" labelOnly="1" outline="0" axis="axisRow" fieldPosition="0"/>
    </format>
    <format dxfId="33">
      <pivotArea dataOnly="0" labelOnly="1" fieldPosition="0">
        <references count="1">
          <reference field="2" count="0"/>
        </references>
      </pivotArea>
    </format>
    <format dxfId="34">
      <pivotArea dataOnly="0" labelOnly="1" grandRow="1" outline="0" fieldPosition="0"/>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2" type="button" dataOnly="0" labelOnly="1" outline="0" axis="axisRow" fieldPosition="0"/>
    </format>
    <format dxfId="39">
      <pivotArea dataOnly="0" labelOnly="1" fieldPosition="0">
        <references count="1">
          <reference field="2"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2" type="button" dataOnly="0" labelOnly="1" outline="0" axis="axisRow" fieldPosition="0"/>
    </format>
    <format dxfId="45">
      <pivotArea dataOnly="0" labelOnly="1" fieldPosition="0">
        <references count="1">
          <reference field="2" count="0"/>
        </references>
      </pivotArea>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field="2" type="button" dataOnly="0" labelOnly="1" outline="0" axis="axisRow" fieldPosition="0"/>
    </format>
    <format dxfId="51">
      <pivotArea dataOnly="0" labelOnly="1" fieldPosition="0">
        <references count="1">
          <reference field="2" count="0"/>
        </references>
      </pivotArea>
    </format>
    <format dxfId="52">
      <pivotArea dataOnly="0" labelOnly="1" grandRow="1" outline="0" fieldPosition="0"/>
    </format>
    <format dxfId="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6C65BC-72FF-4B9F-8137-3640E7EBF655}" sourceName="Region">
  <pivotTables>
    <pivotTable tabId="8" name="PivotTable1"/>
    <pivotTable tabId="8" name="PivotTable2"/>
    <pivotTable tabId="8" name="PivotTable3"/>
    <pivotTable tabId="8" name="PivotTable4"/>
    <pivotTable tabId="8" name="PivotTable5"/>
  </pivotTables>
  <data>
    <tabular pivotCacheId="1694306567">
      <items count="8">
        <i x="1" s="1"/>
        <i x="2" s="1"/>
        <i x="4" s="1"/>
        <i x="3" s="1"/>
        <i x="6" s="1"/>
        <i x="7"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06DA83-05FF-40CD-BC6C-20436AB6CBF7}" sourceName="Category">
  <pivotTables>
    <pivotTable tabId="8" name="PivotTable1"/>
  </pivotTables>
  <data>
    <tabular pivotCacheId="1694306567">
      <items count="7">
        <i x="0" s="1"/>
        <i x="1" s="1"/>
        <i x="3" s="1"/>
        <i x="2"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86603CA-A372-424E-B4AA-77C3734DFAC2}" sourceName="Order_Status">
  <pivotTables>
    <pivotTable tabId="8" name="PivotTable1"/>
  </pivotTables>
  <data>
    <tabular pivotCacheId="169430656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8E2FDF-C35F-4DE8-8FF8-E3D2FBF2CD97}" cache="Slicer_Region" caption="Region" rowHeight="241300"/>
  <slicer name="Category" xr10:uid="{00CF2107-F2D0-4655-86D0-AB6E14299A46}" cache="Slicer_Category" caption="Category" rowHeight="241300"/>
  <slicer name="Order_Status" xr10:uid="{8EC498E4-5F5A-4FB2-8419-0CFFCB36B3E3}" cache="Slicer_Order_Status"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8380B5C-07FA-4CC9-BF00-F43827629114}" cache="Slicer_Region" caption="Region" style="SlicerStyleDark2" rowHeight="241300"/>
  <slicer name="Order_Status 1" xr10:uid="{62366D33-F460-47F9-97D6-218169BBFCF7}" cache="Slicer_Order_Status" caption="Order_Status"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55E061-86DD-4278-8F45-06F15760FBEE}" name="Table2" displayName="Table2" ref="A1:Q991" totalsRowShown="0" headerRowDxfId="170" dataDxfId="169">
  <autoFilter ref="A1:Q991" xr:uid="{6355E061-86DD-4278-8F45-06F15760FBEE}"/>
  <tableColumns count="17">
    <tableColumn id="1" xr3:uid="{BEA013C8-7B20-4F7E-AF43-3C2AB369D47B}" name="Order_ID" dataDxfId="168"/>
    <tableColumn id="2" xr3:uid="{FA242AA2-23C8-4963-AC3B-7AB7F6233AF3}" name="clean_date" dataDxfId="167"/>
    <tableColumn id="18" xr3:uid="{516275A3-6BC8-4249-ADF6-E46D85B3AC7D}" name="Month" dataDxfId="166">
      <calculatedColumnFormula>TEXT(B2,"mmm")</calculatedColumnFormula>
    </tableColumn>
    <tableColumn id="3" xr3:uid="{D90ABF41-9DFA-4664-AFCF-B7C3F6C685E1}" name="Clean Name" dataDxfId="165"/>
    <tableColumn id="4" xr3:uid="{06346CEF-17B5-4170-B584-F6D0674EC8E8}" name="City" dataDxfId="164"/>
    <tableColumn id="5" xr3:uid="{68C7AA6F-B5CD-4C06-B979-129CD66E8FFC}" name="Region" dataDxfId="163"/>
    <tableColumn id="6" xr3:uid="{A0753A5B-6F69-4520-BD4A-A6A85056250E}" name="Category" dataDxfId="162"/>
    <tableColumn id="7" xr3:uid="{65404814-729D-4DE4-9EF5-7694C65937CF}" name="Product" dataDxfId="161"/>
    <tableColumn id="8" xr3:uid="{8B8876BD-DDC0-43C8-BAC4-AA41456A63E4}" name="Unit_Price" dataDxfId="160"/>
    <tableColumn id="9" xr3:uid="{98A45A45-75F9-4D3B-9E7B-331BCA61E6CD}" name="Quantity" dataDxfId="159"/>
    <tableColumn id="10" xr3:uid="{A4BD34BC-FA2B-4749-A200-62DE5E1689B3}" name="Discount_%" dataDxfId="158"/>
    <tableColumn id="11" xr3:uid="{E445491C-621F-4412-B6A8-3715DD051DDD}" name="Gross_Total" dataDxfId="157">
      <calculatedColumnFormula>J2*I2</calculatedColumnFormula>
    </tableColumn>
    <tableColumn id="12" xr3:uid="{7A95FB8A-90B9-4052-B1DA-99E69E8DE907}" name="Discount_Amount" dataDxfId="156">
      <calculatedColumnFormula>L2*K2/100</calculatedColumnFormula>
    </tableColumn>
    <tableColumn id="13" xr3:uid="{413CBDBE-0206-435B-91B4-DB52BC01348B}" name="Net_Total" dataDxfId="155">
      <calculatedColumnFormula>L2-M2</calculatedColumnFormula>
    </tableColumn>
    <tableColumn id="14" xr3:uid="{69135D8C-514E-4831-BACA-4D5597BC1EA0}" name="Payment_Method" dataDxfId="154"/>
    <tableColumn id="15" xr3:uid="{741C90E8-65CC-41CD-B184-A147E19B904D}" name="Order_Status" dataDxfId="153"/>
    <tableColumn id="16" xr3:uid="{9757CD3B-3A55-48E0-8FC9-33F9991ABDEC}" name="Sales_Rep" dataDxfId="1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6180AC-D324-4222-8CA2-D09B4AE1F4E3}" name="Table3" displayName="Table3" ref="A3:Q73" totalsRowShown="0">
  <autoFilter ref="A3:Q73" xr:uid="{466180AC-D324-4222-8CA2-D09B4AE1F4E3}"/>
  <tableColumns count="17">
    <tableColumn id="1" xr3:uid="{92918F6B-65BD-43F1-84A9-7CE007A0025A}" name="Order_ID"/>
    <tableColumn id="2" xr3:uid="{57C8C168-AED2-493C-B262-B67B5BFB277E}" name="clean_date" dataDxfId="151"/>
    <tableColumn id="3" xr3:uid="{E34B2E48-CC29-496A-8CF6-88C3519A97CC}" name="Month"/>
    <tableColumn id="4" xr3:uid="{B1F0E7F6-3F04-4200-AADE-571E915EAD90}" name="Clean Name"/>
    <tableColumn id="5" xr3:uid="{17604CC0-6D95-46B4-92F2-C8BCE0230996}" name="City"/>
    <tableColumn id="6" xr3:uid="{388973A5-5912-4A94-868D-03F4A1158DA9}" name="Region"/>
    <tableColumn id="7" xr3:uid="{396E8195-1678-4507-8586-6A76E27213CA}" name="Category"/>
    <tableColumn id="8" xr3:uid="{4B488698-9D71-487A-92F8-75A36EB0CAC3}" name="Product"/>
    <tableColumn id="9" xr3:uid="{C4157EBB-CAE0-43BB-AF7B-863C5704DAAE}" name="Unit_Price"/>
    <tableColumn id="10" xr3:uid="{673CA7DB-A08B-4E13-BE82-CE244CE22831}" name="Quantity"/>
    <tableColumn id="11" xr3:uid="{41FD2175-E8E8-43E2-A60A-BE36EDCA65BC}" name="Discount_%"/>
    <tableColumn id="12" xr3:uid="{858AA2E2-A162-4887-A1A3-B0EAA9537B38}" name="Gross_Total"/>
    <tableColumn id="13" xr3:uid="{38DD28CC-FACE-4965-9AB4-EE00817D5893}" name="Discount_Amount"/>
    <tableColumn id="14" xr3:uid="{DAE9FBA7-CDA1-479C-9E95-65E7857315AE}" name="Net_Total"/>
    <tableColumn id="15" xr3:uid="{98F92EEA-5FFF-48A7-9978-8F6FF98BE1F1}" name="Payment_Method"/>
    <tableColumn id="16" xr3:uid="{B26A17FA-6DF6-49DD-BF96-604A6F05F9C5}" name="Order_Status"/>
    <tableColumn id="17" xr3:uid="{29638037-9BE5-477E-BDDD-1A39208566D5}" name="Sales_Rep"/>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B6F654-2945-49D0-834B-4478DF1E8B33}" name="Table4" displayName="Table4" ref="A3:Q93" totalsRowShown="0">
  <autoFilter ref="A3:Q93" xr:uid="{8DB6F654-2945-49D0-834B-4478DF1E8B33}"/>
  <tableColumns count="17">
    <tableColumn id="1" xr3:uid="{B7219D4E-8ED4-4450-AC45-207F58D7E64B}" name="Order_ID"/>
    <tableColumn id="2" xr3:uid="{27909227-0952-4B4B-8799-F0A9273DF130}" name="clean_date" dataDxfId="150"/>
    <tableColumn id="3" xr3:uid="{D16FECCB-828D-4536-978A-22D97331338C}" name="Month"/>
    <tableColumn id="4" xr3:uid="{52B21B13-1D3B-4A1B-B944-EC74348D8FEF}" name="Clean Name"/>
    <tableColumn id="5" xr3:uid="{5E1605A7-F437-40CC-AB68-04621F3964A1}" name="City"/>
    <tableColumn id="6" xr3:uid="{F5C9CB0A-DC21-441C-933F-CC35FDBF2EB5}" name="Region"/>
    <tableColumn id="7" xr3:uid="{3BAC71B8-E6E6-40BF-B540-533CE119CF04}" name="Category"/>
    <tableColumn id="8" xr3:uid="{D9FC0A8D-6352-4AE8-9B10-7BF39F3F828A}" name="Product"/>
    <tableColumn id="9" xr3:uid="{48BC0BF8-9F1A-4D0B-92F8-E3812C6D9CF1}" name="Unit_Price"/>
    <tableColumn id="10" xr3:uid="{B948ADB7-D10C-46E6-BAE2-DF9A62B7C930}" name="Quantity"/>
    <tableColumn id="11" xr3:uid="{79B8CE2D-1F8B-4191-BBC0-616E889D5937}" name="Discount_%"/>
    <tableColumn id="12" xr3:uid="{0A3E7C53-7212-492A-A491-DC218974F71A}" name="Gross_Total"/>
    <tableColumn id="13" xr3:uid="{BE3CE521-F6DB-4DF6-ACB7-DDC5251DA773}" name="Discount_Amount"/>
    <tableColumn id="14" xr3:uid="{5199E7AD-F786-45B9-A17F-CEC2C08B248E}" name="Net_Total"/>
    <tableColumn id="15" xr3:uid="{23F13ED8-93FE-4918-A81B-BBB8A43C02F7}" name="Payment_Method"/>
    <tableColumn id="16" xr3:uid="{0E1DB4BB-17E7-4740-A604-E143F4ECB26C}" name="Order_Status"/>
    <tableColumn id="17" xr3:uid="{A924A949-C833-4571-BD17-100A3DB8F475}" name="Sales_Re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F1" workbookViewId="0">
      <pane ySplit="1" topLeftCell="A2" activePane="bottomLeft" state="frozen"/>
      <selection pane="bottomLeft" activeCell="O1" sqref="O1"/>
    </sheetView>
  </sheetViews>
  <sheetFormatPr defaultRowHeight="15" x14ac:dyDescent="0.25"/>
  <cols>
    <col min="1" max="1" width="12" customWidth="1"/>
    <col min="2" max="2" width="18.28515625" customWidth="1"/>
    <col min="3" max="3" width="28" customWidth="1"/>
    <col min="4" max="4" width="14" customWidth="1"/>
    <col min="5" max="5" width="16" customWidth="1"/>
    <col min="6" max="6" width="18" customWidth="1"/>
    <col min="7" max="7" width="20" customWidth="1"/>
    <col min="8" max="8" width="12" customWidth="1"/>
    <col min="9" max="9" width="10" customWidth="1"/>
    <col min="10" max="10" width="12" customWidth="1"/>
    <col min="11" max="11" width="14" style="11" customWidth="1"/>
    <col min="12" max="13" width="19.140625" style="11" customWidth="1"/>
    <col min="14" max="14" width="18" customWidth="1"/>
    <col min="15" max="15" width="14" customWidth="1"/>
    <col min="16" max="16" width="18" customWidth="1"/>
  </cols>
  <sheetData>
    <row r="1" spans="1:16" ht="30" customHeight="1" x14ac:dyDescent="0.25">
      <c r="A1" s="1" t="s">
        <v>0</v>
      </c>
      <c r="B1" s="1" t="s">
        <v>1361</v>
      </c>
      <c r="C1" s="1" t="s">
        <v>1362</v>
      </c>
      <c r="D1" s="1" t="s">
        <v>1</v>
      </c>
      <c r="E1" s="1" t="s">
        <v>2</v>
      </c>
      <c r="F1" s="1" t="s">
        <v>3</v>
      </c>
      <c r="G1" s="1" t="s">
        <v>4</v>
      </c>
      <c r="H1" s="1" t="s">
        <v>5</v>
      </c>
      <c r="I1" s="1" t="s">
        <v>6</v>
      </c>
      <c r="J1" s="1" t="s">
        <v>7</v>
      </c>
      <c r="K1" s="8" t="s">
        <v>1364</v>
      </c>
      <c r="L1" s="8" t="s">
        <v>1365</v>
      </c>
      <c r="M1" s="8" t="s">
        <v>1366</v>
      </c>
      <c r="N1" s="1" t="s">
        <v>8</v>
      </c>
      <c r="O1" s="1" t="s">
        <v>9</v>
      </c>
      <c r="P1" s="1" t="s">
        <v>10</v>
      </c>
    </row>
    <row r="2" spans="1:16" x14ac:dyDescent="0.25">
      <c r="A2" s="2" t="s">
        <v>11</v>
      </c>
      <c r="B2" s="4">
        <v>45031</v>
      </c>
      <c r="C2" s="2" t="s">
        <v>12</v>
      </c>
      <c r="D2" s="6" t="s">
        <v>13</v>
      </c>
      <c r="E2" s="2" t="s">
        <v>14</v>
      </c>
      <c r="F2" s="2" t="s">
        <v>15</v>
      </c>
      <c r="G2" s="2" t="s">
        <v>16</v>
      </c>
      <c r="H2" s="2">
        <v>1423.47</v>
      </c>
      <c r="I2" s="2">
        <v>2</v>
      </c>
      <c r="J2" s="2">
        <v>5</v>
      </c>
      <c r="K2" s="9">
        <f t="shared" ref="K2:K65" si="0">I2*H2</f>
        <v>2846.94</v>
      </c>
      <c r="L2" s="9">
        <f t="shared" ref="L2:L65" si="1">K2*J2/100</f>
        <v>142.34700000000001</v>
      </c>
      <c r="M2" s="10">
        <f t="shared" ref="M2:M65" si="2">K2-L2</f>
        <v>2704.5929999999998</v>
      </c>
      <c r="N2" s="2" t="s">
        <v>17</v>
      </c>
      <c r="O2" s="2" t="s">
        <v>18</v>
      </c>
      <c r="P2" s="2" t="s">
        <v>19</v>
      </c>
    </row>
    <row r="3" spans="1:16" x14ac:dyDescent="0.25">
      <c r="A3" s="3" t="s">
        <v>20</v>
      </c>
      <c r="B3" s="4">
        <v>45032</v>
      </c>
      <c r="C3" s="3" t="s">
        <v>21</v>
      </c>
      <c r="D3" s="3" t="s">
        <v>22</v>
      </c>
      <c r="E3" s="3" t="s">
        <v>23</v>
      </c>
      <c r="F3" s="7" t="s">
        <v>24</v>
      </c>
      <c r="G3" s="3" t="s">
        <v>25</v>
      </c>
      <c r="H3" s="3">
        <v>4504.82</v>
      </c>
      <c r="I3" s="3">
        <v>1</v>
      </c>
      <c r="J3" s="3">
        <v>5</v>
      </c>
      <c r="K3" s="9">
        <f t="shared" si="0"/>
        <v>4504.82</v>
      </c>
      <c r="L3" s="9">
        <f t="shared" si="1"/>
        <v>225.24099999999999</v>
      </c>
      <c r="M3" s="10">
        <f t="shared" si="2"/>
        <v>4279.5789999999997</v>
      </c>
      <c r="N3" s="3" t="s">
        <v>26</v>
      </c>
      <c r="O3" s="3" t="s">
        <v>27</v>
      </c>
      <c r="P3" s="3" t="s">
        <v>19</v>
      </c>
    </row>
    <row r="4" spans="1:16" x14ac:dyDescent="0.25">
      <c r="A4" s="2" t="s">
        <v>28</v>
      </c>
      <c r="B4" s="4">
        <v>45033</v>
      </c>
      <c r="C4" s="6" t="s">
        <v>237</v>
      </c>
      <c r="D4" s="6" t="s">
        <v>29</v>
      </c>
      <c r="E4" s="2" t="s">
        <v>30</v>
      </c>
      <c r="F4" s="2" t="s">
        <v>31</v>
      </c>
      <c r="G4" s="2" t="s">
        <v>32</v>
      </c>
      <c r="H4" s="2">
        <v>2629.4</v>
      </c>
      <c r="I4" s="2">
        <v>2</v>
      </c>
      <c r="J4" s="2">
        <v>0</v>
      </c>
      <c r="K4" s="9">
        <f t="shared" si="0"/>
        <v>5258.8</v>
      </c>
      <c r="L4" s="9">
        <f t="shared" si="1"/>
        <v>0</v>
      </c>
      <c r="M4" s="10">
        <f t="shared" si="2"/>
        <v>5258.8</v>
      </c>
      <c r="N4" s="2" t="s">
        <v>33</v>
      </c>
      <c r="O4" s="2" t="s">
        <v>18</v>
      </c>
      <c r="P4" s="2" t="s">
        <v>34</v>
      </c>
    </row>
    <row r="5" spans="1:16" x14ac:dyDescent="0.25">
      <c r="A5" s="3" t="s">
        <v>35</v>
      </c>
      <c r="B5" s="4">
        <v>45034</v>
      </c>
      <c r="C5" s="3" t="s">
        <v>323</v>
      </c>
      <c r="D5" s="3" t="s">
        <v>22</v>
      </c>
      <c r="E5" s="3" t="s">
        <v>23</v>
      </c>
      <c r="F5" s="3" t="s">
        <v>36</v>
      </c>
      <c r="G5" s="3" t="s">
        <v>37</v>
      </c>
      <c r="H5" s="3">
        <v>11032.12</v>
      </c>
      <c r="I5" s="3">
        <v>3</v>
      </c>
      <c r="J5" s="3">
        <v>15</v>
      </c>
      <c r="K5" s="9">
        <f t="shared" si="0"/>
        <v>33096.36</v>
      </c>
      <c r="L5" s="9">
        <f t="shared" si="1"/>
        <v>4964.4540000000006</v>
      </c>
      <c r="M5" s="10">
        <f t="shared" si="2"/>
        <v>28131.905999999999</v>
      </c>
      <c r="N5" s="3" t="s">
        <v>38</v>
      </c>
      <c r="O5" s="3" t="s">
        <v>39</v>
      </c>
      <c r="P5" s="3" t="s">
        <v>40</v>
      </c>
    </row>
    <row r="6" spans="1:16" x14ac:dyDescent="0.25">
      <c r="A6" s="2" t="s">
        <v>41</v>
      </c>
      <c r="B6" s="4">
        <v>45035</v>
      </c>
      <c r="C6" s="2" t="s">
        <v>42</v>
      </c>
      <c r="D6" s="2" t="s">
        <v>22</v>
      </c>
      <c r="E6" s="2" t="s">
        <v>23</v>
      </c>
      <c r="F6" s="2" t="s">
        <v>43</v>
      </c>
      <c r="G6" s="2" t="s">
        <v>44</v>
      </c>
      <c r="H6" s="2">
        <v>3536.43</v>
      </c>
      <c r="I6" s="2">
        <v>5</v>
      </c>
      <c r="J6" s="2">
        <v>0</v>
      </c>
      <c r="K6" s="9">
        <f t="shared" si="0"/>
        <v>17682.149999999998</v>
      </c>
      <c r="L6" s="9">
        <f t="shared" si="1"/>
        <v>0</v>
      </c>
      <c r="M6" s="10">
        <f t="shared" si="2"/>
        <v>17682.149999999998</v>
      </c>
      <c r="N6" s="2" t="s">
        <v>17</v>
      </c>
      <c r="O6" s="2" t="s">
        <v>18</v>
      </c>
      <c r="P6" s="2" t="s">
        <v>40</v>
      </c>
    </row>
    <row r="7" spans="1:16" x14ac:dyDescent="0.25">
      <c r="A7" s="3" t="s">
        <v>45</v>
      </c>
      <c r="B7" s="4">
        <v>45036</v>
      </c>
      <c r="C7" s="3" t="s">
        <v>46</v>
      </c>
      <c r="D7" s="3" t="s">
        <v>47</v>
      </c>
      <c r="E7" s="3" t="s">
        <v>48</v>
      </c>
      <c r="F7" s="3" t="s">
        <v>36</v>
      </c>
      <c r="G7" s="3" t="s">
        <v>49</v>
      </c>
      <c r="H7" s="3">
        <v>160994.51</v>
      </c>
      <c r="I7" s="3">
        <v>4</v>
      </c>
      <c r="J7" s="3">
        <v>0</v>
      </c>
      <c r="K7" s="9">
        <f t="shared" si="0"/>
        <v>643978.04</v>
      </c>
      <c r="L7" s="9">
        <f t="shared" si="1"/>
        <v>0</v>
      </c>
      <c r="M7" s="10">
        <f t="shared" si="2"/>
        <v>643978.04</v>
      </c>
      <c r="N7" s="3" t="s">
        <v>33</v>
      </c>
      <c r="O7" s="3" t="s">
        <v>27</v>
      </c>
      <c r="P7" s="3" t="s">
        <v>34</v>
      </c>
    </row>
    <row r="8" spans="1:16" x14ac:dyDescent="0.25">
      <c r="A8" s="2" t="s">
        <v>50</v>
      </c>
      <c r="B8" s="4">
        <v>45037</v>
      </c>
      <c r="C8" s="2" t="s">
        <v>316</v>
      </c>
      <c r="D8" s="2" t="s">
        <v>51</v>
      </c>
      <c r="E8" s="2" t="s">
        <v>14</v>
      </c>
      <c r="F8" s="2" t="s">
        <v>15</v>
      </c>
      <c r="G8" s="2" t="s">
        <v>16</v>
      </c>
      <c r="H8" s="2">
        <v>1560.55</v>
      </c>
      <c r="I8" s="2">
        <v>1</v>
      </c>
      <c r="J8" s="2">
        <v>0</v>
      </c>
      <c r="K8" s="9">
        <f t="shared" si="0"/>
        <v>1560.55</v>
      </c>
      <c r="L8" s="9">
        <f t="shared" si="1"/>
        <v>0</v>
      </c>
      <c r="M8" s="10">
        <f t="shared" si="2"/>
        <v>1560.55</v>
      </c>
      <c r="N8" s="6" t="s">
        <v>26</v>
      </c>
      <c r="O8" s="2" t="s">
        <v>52</v>
      </c>
      <c r="P8" s="2" t="s">
        <v>53</v>
      </c>
    </row>
    <row r="9" spans="1:16" x14ac:dyDescent="0.25">
      <c r="A9" s="3" t="s">
        <v>54</v>
      </c>
      <c r="B9" s="4">
        <v>45038</v>
      </c>
      <c r="C9" s="3" t="s">
        <v>55</v>
      </c>
      <c r="D9" s="3" t="s">
        <v>47</v>
      </c>
      <c r="E9" s="3" t="s">
        <v>48</v>
      </c>
      <c r="F9" s="3" t="s">
        <v>15</v>
      </c>
      <c r="G9" s="3" t="s">
        <v>56</v>
      </c>
      <c r="H9" s="3">
        <v>1699.06</v>
      </c>
      <c r="I9" s="3">
        <v>3</v>
      </c>
      <c r="J9" s="3">
        <v>0</v>
      </c>
      <c r="K9" s="9">
        <f t="shared" si="0"/>
        <v>5097.18</v>
      </c>
      <c r="L9" s="9">
        <f t="shared" si="1"/>
        <v>0</v>
      </c>
      <c r="M9" s="10">
        <f t="shared" si="2"/>
        <v>5097.18</v>
      </c>
      <c r="N9" s="7" t="s">
        <v>508</v>
      </c>
      <c r="O9" s="3" t="s">
        <v>39</v>
      </c>
      <c r="P9" s="3" t="s">
        <v>40</v>
      </c>
    </row>
    <row r="10" spans="1:16" x14ac:dyDescent="0.25">
      <c r="A10" s="2" t="s">
        <v>57</v>
      </c>
      <c r="B10" s="4">
        <v>45039</v>
      </c>
      <c r="C10" s="2" t="s">
        <v>58</v>
      </c>
      <c r="D10" s="2" t="s">
        <v>22</v>
      </c>
      <c r="E10" s="2" t="s">
        <v>23</v>
      </c>
      <c r="F10" s="2" t="s">
        <v>24</v>
      </c>
      <c r="G10" s="2" t="s">
        <v>59</v>
      </c>
      <c r="H10" s="2">
        <v>0</v>
      </c>
      <c r="I10" s="2">
        <v>3</v>
      </c>
      <c r="J10" s="2">
        <v>0</v>
      </c>
      <c r="K10" s="9">
        <f t="shared" si="0"/>
        <v>0</v>
      </c>
      <c r="L10" s="9">
        <f t="shared" si="1"/>
        <v>0</v>
      </c>
      <c r="M10" s="10">
        <f t="shared" si="2"/>
        <v>0</v>
      </c>
      <c r="N10" s="2" t="s">
        <v>33</v>
      </c>
      <c r="O10" s="2" t="s">
        <v>18</v>
      </c>
      <c r="P10" s="2" t="s">
        <v>60</v>
      </c>
    </row>
    <row r="11" spans="1:16" x14ac:dyDescent="0.25">
      <c r="A11" s="3" t="s">
        <v>61</v>
      </c>
      <c r="B11" s="4">
        <v>45040</v>
      </c>
      <c r="C11" s="3" t="s">
        <v>62</v>
      </c>
      <c r="D11" s="3" t="s">
        <v>51</v>
      </c>
      <c r="E11" s="3" t="s">
        <v>14</v>
      </c>
      <c r="F11" s="3" t="s">
        <v>15</v>
      </c>
      <c r="G11" s="3" t="s">
        <v>56</v>
      </c>
      <c r="H11" s="3">
        <v>1814.03</v>
      </c>
      <c r="I11" s="3">
        <v>5</v>
      </c>
      <c r="J11" s="3">
        <v>0</v>
      </c>
      <c r="K11" s="9">
        <f t="shared" si="0"/>
        <v>9070.15</v>
      </c>
      <c r="L11" s="9">
        <f t="shared" si="1"/>
        <v>0</v>
      </c>
      <c r="M11" s="10">
        <f t="shared" si="2"/>
        <v>9070.15</v>
      </c>
      <c r="N11" s="3" t="s">
        <v>17</v>
      </c>
      <c r="O11" s="3" t="s">
        <v>18</v>
      </c>
      <c r="P11" s="3" t="s">
        <v>34</v>
      </c>
    </row>
    <row r="12" spans="1:16" x14ac:dyDescent="0.25">
      <c r="A12" s="3" t="s">
        <v>63</v>
      </c>
      <c r="B12" s="4">
        <v>45042</v>
      </c>
      <c r="C12" s="3" t="s">
        <v>64</v>
      </c>
      <c r="D12" s="3" t="s">
        <v>65</v>
      </c>
      <c r="E12" s="3" t="s">
        <v>66</v>
      </c>
      <c r="F12" s="3" t="s">
        <v>110</v>
      </c>
      <c r="G12" s="3" t="s">
        <v>67</v>
      </c>
      <c r="H12" s="3">
        <v>4526.2</v>
      </c>
      <c r="I12" s="3">
        <v>5</v>
      </c>
      <c r="J12" s="3">
        <v>0</v>
      </c>
      <c r="K12" s="9">
        <f t="shared" si="0"/>
        <v>22631</v>
      </c>
      <c r="L12" s="9">
        <f t="shared" si="1"/>
        <v>0</v>
      </c>
      <c r="M12" s="10">
        <f t="shared" si="2"/>
        <v>22631</v>
      </c>
      <c r="N12" s="3" t="s">
        <v>68</v>
      </c>
      <c r="O12" s="3" t="s">
        <v>27</v>
      </c>
      <c r="P12" s="3" t="s">
        <v>19</v>
      </c>
    </row>
    <row r="13" spans="1:16" x14ac:dyDescent="0.25">
      <c r="A13" s="2" t="s">
        <v>69</v>
      </c>
      <c r="B13" s="4">
        <v>45043</v>
      </c>
      <c r="C13" s="2" t="s">
        <v>336</v>
      </c>
      <c r="D13" s="2" t="s">
        <v>22</v>
      </c>
      <c r="E13" s="2" t="s">
        <v>23</v>
      </c>
      <c r="F13" s="2" t="s">
        <v>31</v>
      </c>
      <c r="G13" s="2" t="s">
        <v>70</v>
      </c>
      <c r="H13" s="2">
        <v>558.98</v>
      </c>
      <c r="I13" s="2">
        <v>1</v>
      </c>
      <c r="J13" s="2">
        <v>10</v>
      </c>
      <c r="K13" s="9">
        <f t="shared" si="0"/>
        <v>558.98</v>
      </c>
      <c r="L13" s="9">
        <f t="shared" si="1"/>
        <v>55.898000000000003</v>
      </c>
      <c r="M13" s="10">
        <f t="shared" si="2"/>
        <v>503.08199999999999</v>
      </c>
      <c r="N13" s="2" t="s">
        <v>17</v>
      </c>
      <c r="O13" s="2" t="s">
        <v>39</v>
      </c>
      <c r="P13" s="2" t="s">
        <v>53</v>
      </c>
    </row>
    <row r="14" spans="1:16" x14ac:dyDescent="0.25">
      <c r="A14" s="3" t="s">
        <v>71</v>
      </c>
      <c r="B14" s="4">
        <v>45044</v>
      </c>
      <c r="C14" s="3" t="s">
        <v>816</v>
      </c>
      <c r="D14" s="3" t="s">
        <v>47</v>
      </c>
      <c r="E14" s="3" t="s">
        <v>48</v>
      </c>
      <c r="F14" s="3" t="s">
        <v>72</v>
      </c>
      <c r="G14" s="3" t="s">
        <v>73</v>
      </c>
      <c r="H14" s="3">
        <v>357.63</v>
      </c>
      <c r="I14" s="3">
        <v>2</v>
      </c>
      <c r="J14" s="3">
        <v>0</v>
      </c>
      <c r="K14" s="9">
        <f t="shared" si="0"/>
        <v>715.26</v>
      </c>
      <c r="L14" s="9">
        <f t="shared" si="1"/>
        <v>0</v>
      </c>
      <c r="M14" s="10">
        <f t="shared" si="2"/>
        <v>715.26</v>
      </c>
      <c r="N14" s="3" t="s">
        <v>26</v>
      </c>
      <c r="O14" s="3" t="s">
        <v>52</v>
      </c>
      <c r="P14" s="3" t="s">
        <v>19</v>
      </c>
    </row>
    <row r="15" spans="1:16" x14ac:dyDescent="0.25">
      <c r="A15" s="2" t="s">
        <v>74</v>
      </c>
      <c r="B15" s="4">
        <v>45045</v>
      </c>
      <c r="C15" s="2" t="s">
        <v>75</v>
      </c>
      <c r="D15" s="2" t="s">
        <v>76</v>
      </c>
      <c r="E15" s="2" t="s">
        <v>77</v>
      </c>
      <c r="F15" s="2" t="s">
        <v>36</v>
      </c>
      <c r="G15" s="2" t="s">
        <v>78</v>
      </c>
      <c r="H15" s="2">
        <v>92294.68</v>
      </c>
      <c r="I15" s="2">
        <v>3</v>
      </c>
      <c r="J15" s="2">
        <v>0</v>
      </c>
      <c r="K15" s="9">
        <f t="shared" si="0"/>
        <v>276884.03999999998</v>
      </c>
      <c r="L15" s="9">
        <f t="shared" si="1"/>
        <v>0</v>
      </c>
      <c r="M15" s="10">
        <f t="shared" si="2"/>
        <v>276884.03999999998</v>
      </c>
      <c r="N15" s="2" t="s">
        <v>68</v>
      </c>
      <c r="O15" s="2" t="s">
        <v>18</v>
      </c>
      <c r="P15" s="2" t="s">
        <v>19</v>
      </c>
    </row>
    <row r="16" spans="1:16" x14ac:dyDescent="0.25">
      <c r="A16" s="3" t="s">
        <v>79</v>
      </c>
      <c r="B16" s="4">
        <v>45046</v>
      </c>
      <c r="C16" s="3" t="s">
        <v>80</v>
      </c>
      <c r="D16" s="3" t="s">
        <v>76</v>
      </c>
      <c r="E16" s="3" t="s">
        <v>77</v>
      </c>
      <c r="F16" s="3" t="s">
        <v>72</v>
      </c>
      <c r="G16" s="3" t="s">
        <v>81</v>
      </c>
      <c r="H16" s="3">
        <v>1643.4</v>
      </c>
      <c r="I16" s="3">
        <v>5</v>
      </c>
      <c r="J16" s="3">
        <v>10</v>
      </c>
      <c r="K16" s="9">
        <f t="shared" si="0"/>
        <v>8217</v>
      </c>
      <c r="L16" s="9">
        <f t="shared" si="1"/>
        <v>821.7</v>
      </c>
      <c r="M16" s="10">
        <f t="shared" si="2"/>
        <v>7395.3</v>
      </c>
      <c r="N16" s="3" t="s">
        <v>26</v>
      </c>
      <c r="O16" s="3" t="s">
        <v>27</v>
      </c>
      <c r="P16" s="3" t="s">
        <v>60</v>
      </c>
    </row>
    <row r="17" spans="1:16" x14ac:dyDescent="0.25">
      <c r="A17" s="2" t="s">
        <v>82</v>
      </c>
      <c r="B17" s="4">
        <v>45047</v>
      </c>
      <c r="C17" s="2" t="s">
        <v>288</v>
      </c>
      <c r="D17" s="2" t="s">
        <v>83</v>
      </c>
      <c r="E17" s="2" t="s">
        <v>84</v>
      </c>
      <c r="F17" s="2" t="s">
        <v>72</v>
      </c>
      <c r="G17" s="2" t="s">
        <v>73</v>
      </c>
      <c r="H17" s="2">
        <v>344.62</v>
      </c>
      <c r="I17" s="2">
        <v>2</v>
      </c>
      <c r="J17" s="2">
        <v>5</v>
      </c>
      <c r="K17" s="9">
        <f t="shared" si="0"/>
        <v>689.24</v>
      </c>
      <c r="L17" s="9">
        <f t="shared" si="1"/>
        <v>34.461999999999996</v>
      </c>
      <c r="M17" s="10">
        <f t="shared" si="2"/>
        <v>654.77800000000002</v>
      </c>
      <c r="N17" s="2" t="s">
        <v>26</v>
      </c>
      <c r="O17" s="2" t="s">
        <v>27</v>
      </c>
      <c r="P17" s="2" t="s">
        <v>34</v>
      </c>
    </row>
    <row r="18" spans="1:16" x14ac:dyDescent="0.25">
      <c r="A18" s="3" t="s">
        <v>85</v>
      </c>
      <c r="B18" s="4">
        <v>45048</v>
      </c>
      <c r="C18" s="3" t="s">
        <v>86</v>
      </c>
      <c r="D18" s="3" t="s">
        <v>87</v>
      </c>
      <c r="E18" s="3" t="s">
        <v>88</v>
      </c>
      <c r="F18" s="3" t="s">
        <v>43</v>
      </c>
      <c r="G18" s="3" t="s">
        <v>89</v>
      </c>
      <c r="H18" s="3">
        <v>4456.34</v>
      </c>
      <c r="I18" s="3">
        <v>2</v>
      </c>
      <c r="J18" s="3">
        <v>10</v>
      </c>
      <c r="K18" s="9">
        <f t="shared" si="0"/>
        <v>8912.68</v>
      </c>
      <c r="L18" s="9">
        <f t="shared" si="1"/>
        <v>891.26800000000003</v>
      </c>
      <c r="M18" s="10">
        <f t="shared" si="2"/>
        <v>8021.4120000000003</v>
      </c>
      <c r="N18" s="7" t="s">
        <v>508</v>
      </c>
      <c r="O18" s="3" t="s">
        <v>18</v>
      </c>
      <c r="P18" s="3" t="s">
        <v>40</v>
      </c>
    </row>
    <row r="19" spans="1:16" x14ac:dyDescent="0.25">
      <c r="A19" s="2" t="s">
        <v>90</v>
      </c>
      <c r="B19" s="4">
        <v>45049</v>
      </c>
      <c r="C19" s="2" t="s">
        <v>91</v>
      </c>
      <c r="D19" s="2" t="s">
        <v>29</v>
      </c>
      <c r="E19" s="2" t="s">
        <v>30</v>
      </c>
      <c r="F19" s="2" t="s">
        <v>24</v>
      </c>
      <c r="G19" s="2" t="s">
        <v>92</v>
      </c>
      <c r="H19" s="2">
        <v>0</v>
      </c>
      <c r="I19" s="2">
        <v>1</v>
      </c>
      <c r="J19" s="2">
        <v>0</v>
      </c>
      <c r="K19" s="9">
        <f t="shared" si="0"/>
        <v>0</v>
      </c>
      <c r="L19" s="9">
        <f t="shared" si="1"/>
        <v>0</v>
      </c>
      <c r="M19" s="10">
        <f t="shared" si="2"/>
        <v>0</v>
      </c>
      <c r="N19" s="2" t="s">
        <v>68</v>
      </c>
      <c r="O19" s="2" t="s">
        <v>18</v>
      </c>
      <c r="P19" s="2" t="s">
        <v>34</v>
      </c>
    </row>
    <row r="20" spans="1:16" x14ac:dyDescent="0.25">
      <c r="A20" s="3" t="s">
        <v>93</v>
      </c>
      <c r="B20" s="4">
        <v>45050</v>
      </c>
      <c r="C20" s="3" t="s">
        <v>94</v>
      </c>
      <c r="D20" s="3" t="s">
        <v>47</v>
      </c>
      <c r="E20" s="3" t="s">
        <v>48</v>
      </c>
      <c r="F20" s="3" t="s">
        <v>15</v>
      </c>
      <c r="G20" s="3" t="s">
        <v>95</v>
      </c>
      <c r="H20" s="3">
        <v>1131.42</v>
      </c>
      <c r="I20" s="3">
        <v>2</v>
      </c>
      <c r="J20" s="3">
        <v>5</v>
      </c>
      <c r="K20" s="9">
        <f t="shared" si="0"/>
        <v>2262.84</v>
      </c>
      <c r="L20" s="9">
        <f t="shared" si="1"/>
        <v>113.14200000000001</v>
      </c>
      <c r="M20" s="10">
        <f t="shared" si="2"/>
        <v>2149.6980000000003</v>
      </c>
      <c r="N20" s="3" t="s">
        <v>17</v>
      </c>
      <c r="O20" s="3" t="s">
        <v>18</v>
      </c>
      <c r="P20" s="3" t="s">
        <v>53</v>
      </c>
    </row>
    <row r="21" spans="1:16" x14ac:dyDescent="0.25">
      <c r="A21" s="3" t="s">
        <v>96</v>
      </c>
      <c r="B21" s="4">
        <v>45052</v>
      </c>
      <c r="C21" s="3" t="s">
        <v>97</v>
      </c>
      <c r="D21" s="3" t="s">
        <v>22</v>
      </c>
      <c r="E21" s="3" t="s">
        <v>23</v>
      </c>
      <c r="F21" s="3" t="s">
        <v>98</v>
      </c>
      <c r="G21" s="3" t="s">
        <v>37</v>
      </c>
      <c r="H21" s="3">
        <v>12547.71</v>
      </c>
      <c r="I21" s="3">
        <v>1</v>
      </c>
      <c r="J21" s="3">
        <v>5</v>
      </c>
      <c r="K21" s="9">
        <f t="shared" si="0"/>
        <v>12547.71</v>
      </c>
      <c r="L21" s="9">
        <f t="shared" si="1"/>
        <v>627.38549999999998</v>
      </c>
      <c r="M21" s="10">
        <f t="shared" si="2"/>
        <v>11920.324499999999</v>
      </c>
      <c r="N21" s="3" t="s">
        <v>26</v>
      </c>
      <c r="O21" s="3" t="s">
        <v>18</v>
      </c>
      <c r="P21" s="3" t="s">
        <v>19</v>
      </c>
    </row>
    <row r="22" spans="1:16" x14ac:dyDescent="0.25">
      <c r="A22" s="2" t="s">
        <v>99</v>
      </c>
      <c r="B22" s="4">
        <v>45053</v>
      </c>
      <c r="C22" s="2" t="s">
        <v>541</v>
      </c>
      <c r="D22" s="2" t="s">
        <v>100</v>
      </c>
      <c r="E22" s="2" t="s">
        <v>88</v>
      </c>
      <c r="F22" s="2" t="s">
        <v>31</v>
      </c>
      <c r="G22" s="2" t="s">
        <v>70</v>
      </c>
      <c r="H22" s="2">
        <v>569.98</v>
      </c>
      <c r="I22" s="2">
        <v>1</v>
      </c>
      <c r="J22" s="2">
        <v>15</v>
      </c>
      <c r="K22" s="9">
        <f t="shared" si="0"/>
        <v>569.98</v>
      </c>
      <c r="L22" s="9">
        <f t="shared" si="1"/>
        <v>85.497000000000014</v>
      </c>
      <c r="M22" s="10">
        <f t="shared" si="2"/>
        <v>484.483</v>
      </c>
      <c r="N22" s="2" t="s">
        <v>17</v>
      </c>
      <c r="O22" s="2" t="s">
        <v>18</v>
      </c>
      <c r="P22" s="2" t="s">
        <v>40</v>
      </c>
    </row>
    <row r="23" spans="1:16" x14ac:dyDescent="0.25">
      <c r="A23" s="3" t="s">
        <v>101</v>
      </c>
      <c r="B23" s="4">
        <v>45054</v>
      </c>
      <c r="C23" s="3" t="s">
        <v>169</v>
      </c>
      <c r="D23" s="3" t="s">
        <v>22</v>
      </c>
      <c r="E23" s="3" t="s">
        <v>23</v>
      </c>
      <c r="F23" s="3" t="s">
        <v>72</v>
      </c>
      <c r="G23" s="3" t="s">
        <v>102</v>
      </c>
      <c r="H23" s="3">
        <v>606.62</v>
      </c>
      <c r="I23" s="3">
        <v>4</v>
      </c>
      <c r="J23" s="3">
        <v>0</v>
      </c>
      <c r="K23" s="9">
        <f t="shared" si="0"/>
        <v>2426.48</v>
      </c>
      <c r="L23" s="9">
        <f t="shared" si="1"/>
        <v>0</v>
      </c>
      <c r="M23" s="10">
        <f t="shared" si="2"/>
        <v>2426.48</v>
      </c>
      <c r="N23" s="3" t="s">
        <v>26</v>
      </c>
      <c r="O23" s="3" t="s">
        <v>39</v>
      </c>
      <c r="P23" s="3" t="s">
        <v>60</v>
      </c>
    </row>
    <row r="24" spans="1:16" x14ac:dyDescent="0.25">
      <c r="A24" s="2" t="s">
        <v>103</v>
      </c>
      <c r="B24" s="4">
        <v>45055</v>
      </c>
      <c r="C24" s="2" t="s">
        <v>104</v>
      </c>
      <c r="D24" s="2" t="s">
        <v>13</v>
      </c>
      <c r="E24" s="2" t="s">
        <v>14</v>
      </c>
      <c r="F24" s="2" t="s">
        <v>43</v>
      </c>
      <c r="G24" s="2" t="s">
        <v>105</v>
      </c>
      <c r="H24" s="2">
        <v>3038.85</v>
      </c>
      <c r="I24" s="2">
        <v>4</v>
      </c>
      <c r="J24" s="2">
        <v>15</v>
      </c>
      <c r="K24" s="9">
        <f t="shared" si="0"/>
        <v>12155.4</v>
      </c>
      <c r="L24" s="9">
        <f t="shared" si="1"/>
        <v>1823.31</v>
      </c>
      <c r="M24" s="10">
        <f t="shared" si="2"/>
        <v>10332.09</v>
      </c>
      <c r="N24" s="2" t="s">
        <v>33</v>
      </c>
      <c r="O24" s="2" t="s">
        <v>27</v>
      </c>
      <c r="P24" s="2" t="s">
        <v>19</v>
      </c>
    </row>
    <row r="25" spans="1:16" x14ac:dyDescent="0.25">
      <c r="A25" s="3" t="s">
        <v>106</v>
      </c>
      <c r="B25" s="4">
        <v>45056</v>
      </c>
      <c r="C25" s="3" t="s">
        <v>107</v>
      </c>
      <c r="D25" s="3" t="s">
        <v>100</v>
      </c>
      <c r="E25" s="3" t="s">
        <v>88</v>
      </c>
      <c r="F25" s="3" t="s">
        <v>24</v>
      </c>
      <c r="G25" s="3" t="s">
        <v>108</v>
      </c>
      <c r="H25" s="3">
        <v>7548.32</v>
      </c>
      <c r="I25" s="3">
        <v>1</v>
      </c>
      <c r="J25" s="3">
        <v>0</v>
      </c>
      <c r="K25" s="9">
        <f t="shared" si="0"/>
        <v>7548.32</v>
      </c>
      <c r="L25" s="9">
        <f t="shared" si="1"/>
        <v>0</v>
      </c>
      <c r="M25" s="10">
        <f t="shared" si="2"/>
        <v>7548.32</v>
      </c>
      <c r="N25" s="3" t="s">
        <v>17</v>
      </c>
      <c r="O25" s="3" t="s">
        <v>18</v>
      </c>
      <c r="P25" s="3" t="s">
        <v>34</v>
      </c>
    </row>
    <row r="26" spans="1:16" x14ac:dyDescent="0.25">
      <c r="A26" s="2" t="s">
        <v>109</v>
      </c>
      <c r="B26" s="4">
        <v>45057</v>
      </c>
      <c r="C26" s="2" t="s">
        <v>1363</v>
      </c>
      <c r="D26" s="2" t="s">
        <v>76</v>
      </c>
      <c r="E26" s="2" t="s">
        <v>77</v>
      </c>
      <c r="F26" s="2" t="s">
        <v>110</v>
      </c>
      <c r="G26" s="2" t="s">
        <v>111</v>
      </c>
      <c r="H26" s="2">
        <v>8849.1200000000008</v>
      </c>
      <c r="I26" s="2">
        <v>5</v>
      </c>
      <c r="J26" s="2">
        <v>0</v>
      </c>
      <c r="K26" s="9">
        <f t="shared" si="0"/>
        <v>44245.600000000006</v>
      </c>
      <c r="L26" s="9">
        <f t="shared" si="1"/>
        <v>0</v>
      </c>
      <c r="M26" s="10">
        <f t="shared" si="2"/>
        <v>44245.600000000006</v>
      </c>
      <c r="N26" s="2" t="s">
        <v>26</v>
      </c>
      <c r="O26" s="2" t="s">
        <v>18</v>
      </c>
      <c r="P26" s="2" t="s">
        <v>19</v>
      </c>
    </row>
    <row r="27" spans="1:16" x14ac:dyDescent="0.25">
      <c r="A27" s="3" t="s">
        <v>112</v>
      </c>
      <c r="B27" s="4">
        <v>45058</v>
      </c>
      <c r="C27" s="3" t="s">
        <v>46</v>
      </c>
      <c r="D27" s="3" t="s">
        <v>65</v>
      </c>
      <c r="E27" s="3" t="s">
        <v>66</v>
      </c>
      <c r="F27" s="3" t="s">
        <v>36</v>
      </c>
      <c r="G27" s="3" t="s">
        <v>113</v>
      </c>
      <c r="H27" s="3">
        <v>113909.17</v>
      </c>
      <c r="I27" s="3">
        <v>5</v>
      </c>
      <c r="J27" s="3">
        <v>15</v>
      </c>
      <c r="K27" s="9">
        <f t="shared" si="0"/>
        <v>569545.85</v>
      </c>
      <c r="L27" s="9">
        <f t="shared" si="1"/>
        <v>85431.877500000002</v>
      </c>
      <c r="M27" s="10">
        <f t="shared" si="2"/>
        <v>484113.97249999997</v>
      </c>
      <c r="N27" s="7" t="s">
        <v>508</v>
      </c>
      <c r="O27" s="3" t="s">
        <v>18</v>
      </c>
      <c r="P27" s="3" t="s">
        <v>60</v>
      </c>
    </row>
    <row r="28" spans="1:16" x14ac:dyDescent="0.25">
      <c r="A28" s="2" t="s">
        <v>114</v>
      </c>
      <c r="B28" s="4">
        <v>45059</v>
      </c>
      <c r="C28" s="2" t="s">
        <v>115</v>
      </c>
      <c r="D28" s="2" t="s">
        <v>83</v>
      </c>
      <c r="E28" s="2" t="s">
        <v>84</v>
      </c>
      <c r="F28" s="2" t="s">
        <v>31</v>
      </c>
      <c r="G28" s="2" t="s">
        <v>116</v>
      </c>
      <c r="H28" s="2">
        <v>0</v>
      </c>
      <c r="I28" s="2">
        <v>3</v>
      </c>
      <c r="J28" s="2">
        <v>15</v>
      </c>
      <c r="K28" s="9">
        <f t="shared" si="0"/>
        <v>0</v>
      </c>
      <c r="L28" s="9">
        <f t="shared" si="1"/>
        <v>0</v>
      </c>
      <c r="M28" s="10">
        <f t="shared" si="2"/>
        <v>0</v>
      </c>
      <c r="N28" s="2" t="s">
        <v>38</v>
      </c>
      <c r="O28" s="2" t="s">
        <v>18</v>
      </c>
      <c r="P28" s="2" t="s">
        <v>53</v>
      </c>
    </row>
    <row r="29" spans="1:16" x14ac:dyDescent="0.25">
      <c r="A29" s="3" t="s">
        <v>117</v>
      </c>
      <c r="B29" s="4">
        <v>45060</v>
      </c>
      <c r="C29" s="3" t="s">
        <v>118</v>
      </c>
      <c r="D29" s="3" t="s">
        <v>76</v>
      </c>
      <c r="E29" s="3" t="s">
        <v>77</v>
      </c>
      <c r="F29" s="3" t="s">
        <v>31</v>
      </c>
      <c r="G29" s="3" t="s">
        <v>32</v>
      </c>
      <c r="H29" s="3">
        <v>2254.66</v>
      </c>
      <c r="I29" s="3">
        <v>5</v>
      </c>
      <c r="J29" s="3">
        <v>0</v>
      </c>
      <c r="K29" s="9">
        <f t="shared" si="0"/>
        <v>11273.3</v>
      </c>
      <c r="L29" s="9">
        <f t="shared" si="1"/>
        <v>0</v>
      </c>
      <c r="M29" s="10">
        <f t="shared" si="2"/>
        <v>11273.3</v>
      </c>
      <c r="N29" s="3" t="s">
        <v>68</v>
      </c>
      <c r="O29" s="3" t="s">
        <v>18</v>
      </c>
      <c r="P29" s="3" t="s">
        <v>19</v>
      </c>
    </row>
    <row r="30" spans="1:16" x14ac:dyDescent="0.25">
      <c r="A30" s="3" t="s">
        <v>119</v>
      </c>
      <c r="B30" s="4">
        <v>45062</v>
      </c>
      <c r="C30" s="3" t="s">
        <v>120</v>
      </c>
      <c r="D30" s="3" t="s">
        <v>83</v>
      </c>
      <c r="E30" s="3" t="s">
        <v>84</v>
      </c>
      <c r="F30" s="3" t="s">
        <v>36</v>
      </c>
      <c r="G30" s="3" t="s">
        <v>121</v>
      </c>
      <c r="H30" s="3">
        <v>101024.98</v>
      </c>
      <c r="I30" s="3">
        <v>3</v>
      </c>
      <c r="J30" s="3">
        <v>0</v>
      </c>
      <c r="K30" s="9">
        <f t="shared" si="0"/>
        <v>303074.94</v>
      </c>
      <c r="L30" s="9">
        <f t="shared" si="1"/>
        <v>0</v>
      </c>
      <c r="M30" s="10">
        <f t="shared" si="2"/>
        <v>303074.94</v>
      </c>
      <c r="N30" s="3" t="s">
        <v>68</v>
      </c>
      <c r="O30" s="3" t="s">
        <v>18</v>
      </c>
      <c r="P30" s="3" t="s">
        <v>34</v>
      </c>
    </row>
    <row r="31" spans="1:16" x14ac:dyDescent="0.25">
      <c r="A31" s="2" t="s">
        <v>122</v>
      </c>
      <c r="B31" s="4">
        <v>45063</v>
      </c>
      <c r="C31" s="2" t="s">
        <v>455</v>
      </c>
      <c r="D31" s="2" t="s">
        <v>83</v>
      </c>
      <c r="E31" s="2" t="s">
        <v>84</v>
      </c>
      <c r="F31" s="2" t="s">
        <v>24</v>
      </c>
      <c r="G31" s="2" t="s">
        <v>108</v>
      </c>
      <c r="H31" s="2">
        <v>7650.81</v>
      </c>
      <c r="I31" s="2">
        <v>2</v>
      </c>
      <c r="J31" s="2">
        <v>10</v>
      </c>
      <c r="K31" s="9">
        <f t="shared" si="0"/>
        <v>15301.62</v>
      </c>
      <c r="L31" s="9">
        <f t="shared" si="1"/>
        <v>1530.162</v>
      </c>
      <c r="M31" s="10">
        <f t="shared" si="2"/>
        <v>13771.458000000001</v>
      </c>
      <c r="N31" s="2" t="s">
        <v>26</v>
      </c>
      <c r="O31" s="2" t="s">
        <v>27</v>
      </c>
      <c r="P31" s="2" t="s">
        <v>34</v>
      </c>
    </row>
    <row r="32" spans="1:16" x14ac:dyDescent="0.25">
      <c r="A32" s="3" t="s">
        <v>123</v>
      </c>
      <c r="B32" s="4">
        <v>45064</v>
      </c>
      <c r="C32" s="3" t="s">
        <v>653</v>
      </c>
      <c r="D32" s="3" t="s">
        <v>13</v>
      </c>
      <c r="E32" s="3" t="s">
        <v>14</v>
      </c>
      <c r="F32" s="3" t="s">
        <v>36</v>
      </c>
      <c r="G32" s="3" t="s">
        <v>121</v>
      </c>
      <c r="H32" s="3">
        <v>93547.94</v>
      </c>
      <c r="I32" s="3">
        <v>3</v>
      </c>
      <c r="J32" s="3">
        <v>15</v>
      </c>
      <c r="K32" s="9">
        <f t="shared" si="0"/>
        <v>280643.82</v>
      </c>
      <c r="L32" s="9">
        <f t="shared" si="1"/>
        <v>42096.572999999997</v>
      </c>
      <c r="M32" s="10">
        <f t="shared" si="2"/>
        <v>238547.247</v>
      </c>
      <c r="N32" s="3" t="s">
        <v>68</v>
      </c>
      <c r="O32" s="3" t="s">
        <v>18</v>
      </c>
      <c r="P32" s="3" t="s">
        <v>53</v>
      </c>
    </row>
    <row r="33" spans="1:16" x14ac:dyDescent="0.25">
      <c r="A33" s="2" t="s">
        <v>124</v>
      </c>
      <c r="B33" s="4">
        <v>45065</v>
      </c>
      <c r="C33" s="2" t="s">
        <v>62</v>
      </c>
      <c r="D33" s="2" t="s">
        <v>76</v>
      </c>
      <c r="E33" s="2" t="s">
        <v>77</v>
      </c>
      <c r="F33" s="2" t="s">
        <v>110</v>
      </c>
      <c r="G33" s="2" t="s">
        <v>67</v>
      </c>
      <c r="H33" s="2">
        <v>4554.82</v>
      </c>
      <c r="I33" s="2">
        <v>1</v>
      </c>
      <c r="J33" s="2">
        <v>0</v>
      </c>
      <c r="K33" s="9">
        <f t="shared" si="0"/>
        <v>4554.82</v>
      </c>
      <c r="L33" s="9">
        <f t="shared" si="1"/>
        <v>0</v>
      </c>
      <c r="M33" s="10">
        <f t="shared" si="2"/>
        <v>4554.82</v>
      </c>
      <c r="N33" s="2" t="s">
        <v>26</v>
      </c>
      <c r="O33" s="2" t="s">
        <v>52</v>
      </c>
      <c r="P33" s="2" t="s">
        <v>40</v>
      </c>
    </row>
    <row r="34" spans="1:16" x14ac:dyDescent="0.25">
      <c r="A34" s="3" t="s">
        <v>125</v>
      </c>
      <c r="B34" s="4">
        <v>45066</v>
      </c>
      <c r="C34" s="3" t="s">
        <v>126</v>
      </c>
      <c r="D34" s="3" t="s">
        <v>100</v>
      </c>
      <c r="E34" s="3" t="s">
        <v>88</v>
      </c>
      <c r="F34" s="3" t="s">
        <v>43</v>
      </c>
      <c r="G34" s="3" t="s">
        <v>127</v>
      </c>
      <c r="H34" s="3">
        <v>4996.01</v>
      </c>
      <c r="I34" s="3">
        <v>3</v>
      </c>
      <c r="J34" s="3">
        <v>15</v>
      </c>
      <c r="K34" s="9">
        <f t="shared" si="0"/>
        <v>14988.03</v>
      </c>
      <c r="L34" s="9">
        <f t="shared" si="1"/>
        <v>2248.2045000000003</v>
      </c>
      <c r="M34" s="10">
        <f t="shared" si="2"/>
        <v>12739.825500000001</v>
      </c>
      <c r="N34" s="3" t="s">
        <v>38</v>
      </c>
      <c r="O34" s="3" t="s">
        <v>18</v>
      </c>
      <c r="P34" s="3" t="s">
        <v>53</v>
      </c>
    </row>
    <row r="35" spans="1:16" x14ac:dyDescent="0.25">
      <c r="A35" s="2" t="s">
        <v>128</v>
      </c>
      <c r="B35" s="4">
        <v>45067</v>
      </c>
      <c r="C35" s="2" t="s">
        <v>601</v>
      </c>
      <c r="D35" s="2" t="s">
        <v>83</v>
      </c>
      <c r="E35" s="2" t="s">
        <v>84</v>
      </c>
      <c r="F35" s="2" t="s">
        <v>72</v>
      </c>
      <c r="G35" s="2" t="s">
        <v>129</v>
      </c>
      <c r="H35" s="2">
        <v>1970.58</v>
      </c>
      <c r="I35" s="2">
        <v>2</v>
      </c>
      <c r="J35" s="2">
        <v>5</v>
      </c>
      <c r="K35" s="9">
        <f t="shared" si="0"/>
        <v>3941.16</v>
      </c>
      <c r="L35" s="9">
        <f t="shared" si="1"/>
        <v>197.05799999999999</v>
      </c>
      <c r="M35" s="10">
        <f t="shared" si="2"/>
        <v>3744.1019999999999</v>
      </c>
      <c r="N35" s="2" t="s">
        <v>26</v>
      </c>
      <c r="O35" s="2" t="s">
        <v>39</v>
      </c>
      <c r="P35" s="2" t="s">
        <v>53</v>
      </c>
    </row>
    <row r="36" spans="1:16" x14ac:dyDescent="0.25">
      <c r="A36" s="3" t="s">
        <v>130</v>
      </c>
      <c r="B36" s="4">
        <v>45068</v>
      </c>
      <c r="C36" s="3" t="s">
        <v>131</v>
      </c>
      <c r="D36" s="3" t="s">
        <v>87</v>
      </c>
      <c r="E36" s="3" t="s">
        <v>88</v>
      </c>
      <c r="F36" s="3" t="s">
        <v>72</v>
      </c>
      <c r="G36" s="3" t="s">
        <v>129</v>
      </c>
      <c r="H36" s="3">
        <v>1908.8</v>
      </c>
      <c r="I36" s="3">
        <v>2</v>
      </c>
      <c r="J36" s="3">
        <v>5</v>
      </c>
      <c r="K36" s="9">
        <f t="shared" si="0"/>
        <v>3817.6</v>
      </c>
      <c r="L36" s="9">
        <f t="shared" si="1"/>
        <v>190.88</v>
      </c>
      <c r="M36" s="10">
        <f t="shared" si="2"/>
        <v>3626.72</v>
      </c>
      <c r="N36" s="7" t="s">
        <v>508</v>
      </c>
      <c r="O36" s="3" t="s">
        <v>39</v>
      </c>
      <c r="P36" s="3" t="s">
        <v>40</v>
      </c>
    </row>
    <row r="37" spans="1:16" x14ac:dyDescent="0.25">
      <c r="A37" s="2" t="s">
        <v>132</v>
      </c>
      <c r="B37" s="4">
        <v>45069</v>
      </c>
      <c r="C37" s="2" t="s">
        <v>133</v>
      </c>
      <c r="D37" s="2" t="s">
        <v>51</v>
      </c>
      <c r="E37" s="2" t="s">
        <v>14</v>
      </c>
      <c r="F37" s="2" t="s">
        <v>24</v>
      </c>
      <c r="G37" s="2" t="s">
        <v>134</v>
      </c>
      <c r="H37" s="2">
        <v>0</v>
      </c>
      <c r="I37" s="2">
        <v>2</v>
      </c>
      <c r="J37" s="2">
        <v>5</v>
      </c>
      <c r="K37" s="9">
        <f t="shared" si="0"/>
        <v>0</v>
      </c>
      <c r="L37" s="9">
        <f t="shared" si="1"/>
        <v>0</v>
      </c>
      <c r="M37" s="10">
        <f t="shared" si="2"/>
        <v>0</v>
      </c>
      <c r="N37" s="2" t="s">
        <v>68</v>
      </c>
      <c r="O37" s="2" t="s">
        <v>27</v>
      </c>
      <c r="P37" s="2" t="s">
        <v>53</v>
      </c>
    </row>
    <row r="38" spans="1:16" x14ac:dyDescent="0.25">
      <c r="A38" s="3" t="s">
        <v>135</v>
      </c>
      <c r="B38" s="4">
        <v>45070</v>
      </c>
      <c r="C38" s="3" t="s">
        <v>136</v>
      </c>
      <c r="D38" s="3" t="s">
        <v>22</v>
      </c>
      <c r="E38" s="3" t="s">
        <v>23</v>
      </c>
      <c r="F38" s="3" t="s">
        <v>72</v>
      </c>
      <c r="G38" s="3" t="s">
        <v>137</v>
      </c>
      <c r="H38" s="3">
        <v>2134.5</v>
      </c>
      <c r="I38" s="3">
        <v>5</v>
      </c>
      <c r="J38" s="3">
        <v>0</v>
      </c>
      <c r="K38" s="9">
        <f t="shared" si="0"/>
        <v>10672.5</v>
      </c>
      <c r="L38" s="9">
        <f t="shared" si="1"/>
        <v>0</v>
      </c>
      <c r="M38" s="10">
        <f t="shared" si="2"/>
        <v>10672.5</v>
      </c>
      <c r="N38" s="3" t="s">
        <v>17</v>
      </c>
      <c r="O38" s="3" t="s">
        <v>18</v>
      </c>
      <c r="P38" s="3" t="s">
        <v>40</v>
      </c>
    </row>
    <row r="39" spans="1:16" x14ac:dyDescent="0.25">
      <c r="A39" s="3" t="s">
        <v>138</v>
      </c>
      <c r="B39" s="4">
        <v>45072</v>
      </c>
      <c r="C39" s="3" t="s">
        <v>139</v>
      </c>
      <c r="D39" s="3" t="s">
        <v>29</v>
      </c>
      <c r="E39" s="3" t="s">
        <v>30</v>
      </c>
      <c r="F39" s="3" t="s">
        <v>24</v>
      </c>
      <c r="G39" s="3" t="s">
        <v>108</v>
      </c>
      <c r="H39" s="3">
        <v>7271.02</v>
      </c>
      <c r="I39" s="3">
        <v>4</v>
      </c>
      <c r="J39" s="3">
        <v>15</v>
      </c>
      <c r="K39" s="9">
        <f t="shared" si="0"/>
        <v>29084.080000000002</v>
      </c>
      <c r="L39" s="9">
        <f t="shared" si="1"/>
        <v>4362.6120000000001</v>
      </c>
      <c r="M39" s="10">
        <f t="shared" si="2"/>
        <v>24721.468000000001</v>
      </c>
      <c r="N39" s="3" t="s">
        <v>17</v>
      </c>
      <c r="O39" s="3" t="s">
        <v>39</v>
      </c>
      <c r="P39" s="3" t="s">
        <v>19</v>
      </c>
    </row>
    <row r="40" spans="1:16" x14ac:dyDescent="0.25">
      <c r="A40" s="2" t="s">
        <v>140</v>
      </c>
      <c r="B40" s="4">
        <v>45073</v>
      </c>
      <c r="C40" s="2" t="s">
        <v>395</v>
      </c>
      <c r="D40" s="2" t="s">
        <v>51</v>
      </c>
      <c r="E40" s="2" t="s">
        <v>14</v>
      </c>
      <c r="F40" s="2" t="s">
        <v>31</v>
      </c>
      <c r="G40" s="2" t="s">
        <v>70</v>
      </c>
      <c r="H40" s="2">
        <v>548.4</v>
      </c>
      <c r="I40" s="2">
        <v>3</v>
      </c>
      <c r="J40" s="2">
        <v>15</v>
      </c>
      <c r="K40" s="9">
        <f t="shared" si="0"/>
        <v>1645.1999999999998</v>
      </c>
      <c r="L40" s="9">
        <f t="shared" si="1"/>
        <v>246.77999999999997</v>
      </c>
      <c r="M40" s="10">
        <f t="shared" si="2"/>
        <v>1398.4199999999998</v>
      </c>
      <c r="N40" s="2" t="s">
        <v>38</v>
      </c>
      <c r="O40" s="2" t="s">
        <v>27</v>
      </c>
      <c r="P40" s="2" t="s">
        <v>40</v>
      </c>
    </row>
    <row r="41" spans="1:16" x14ac:dyDescent="0.25">
      <c r="A41" s="3" t="s">
        <v>141</v>
      </c>
      <c r="B41" s="4">
        <v>45074</v>
      </c>
      <c r="C41" s="3" t="s">
        <v>851</v>
      </c>
      <c r="D41" s="3" t="s">
        <v>47</v>
      </c>
      <c r="E41" s="3" t="s">
        <v>48</v>
      </c>
      <c r="F41" s="3" t="s">
        <v>15</v>
      </c>
      <c r="G41" s="3" t="s">
        <v>95</v>
      </c>
      <c r="H41" s="3">
        <v>1158.28</v>
      </c>
      <c r="I41" s="3">
        <v>3</v>
      </c>
      <c r="J41" s="3">
        <v>15</v>
      </c>
      <c r="K41" s="9">
        <f t="shared" si="0"/>
        <v>3474.84</v>
      </c>
      <c r="L41" s="9">
        <f t="shared" si="1"/>
        <v>521.22600000000011</v>
      </c>
      <c r="M41" s="10">
        <f t="shared" si="2"/>
        <v>2953.614</v>
      </c>
      <c r="N41" s="3" t="s">
        <v>26</v>
      </c>
      <c r="O41" s="3" t="s">
        <v>18</v>
      </c>
      <c r="P41" s="3" t="s">
        <v>60</v>
      </c>
    </row>
    <row r="42" spans="1:16" x14ac:dyDescent="0.25">
      <c r="A42" s="2" t="s">
        <v>142</v>
      </c>
      <c r="B42" s="4">
        <v>45075</v>
      </c>
      <c r="C42" s="2" t="s">
        <v>143</v>
      </c>
      <c r="D42" s="2" t="s">
        <v>100</v>
      </c>
      <c r="E42" s="2" t="s">
        <v>88</v>
      </c>
      <c r="F42" s="2" t="s">
        <v>110</v>
      </c>
      <c r="G42" s="2" t="s">
        <v>111</v>
      </c>
      <c r="H42" s="2">
        <v>9121.7999999999993</v>
      </c>
      <c r="I42" s="2">
        <v>5</v>
      </c>
      <c r="J42" s="2">
        <v>5</v>
      </c>
      <c r="K42" s="9">
        <f t="shared" si="0"/>
        <v>45609</v>
      </c>
      <c r="L42" s="9">
        <f t="shared" si="1"/>
        <v>2280.4499999999998</v>
      </c>
      <c r="M42" s="10">
        <f t="shared" si="2"/>
        <v>43328.55</v>
      </c>
      <c r="N42" s="2" t="s">
        <v>38</v>
      </c>
      <c r="O42" s="2" t="s">
        <v>18</v>
      </c>
      <c r="P42" s="2" t="s">
        <v>53</v>
      </c>
    </row>
    <row r="43" spans="1:16" x14ac:dyDescent="0.25">
      <c r="A43" s="3" t="s">
        <v>144</v>
      </c>
      <c r="B43" s="4">
        <v>45076</v>
      </c>
      <c r="C43" s="3" t="s">
        <v>115</v>
      </c>
      <c r="D43" s="3" t="s">
        <v>87</v>
      </c>
      <c r="E43" s="3" t="s">
        <v>88</v>
      </c>
      <c r="F43" s="3" t="s">
        <v>43</v>
      </c>
      <c r="G43" s="3" t="s">
        <v>145</v>
      </c>
      <c r="H43" s="3">
        <v>11861.18</v>
      </c>
      <c r="I43" s="3">
        <v>2</v>
      </c>
      <c r="J43" s="3">
        <v>15</v>
      </c>
      <c r="K43" s="9">
        <f t="shared" si="0"/>
        <v>23722.36</v>
      </c>
      <c r="L43" s="9">
        <f t="shared" si="1"/>
        <v>3558.3540000000003</v>
      </c>
      <c r="M43" s="10">
        <f t="shared" si="2"/>
        <v>20164.006000000001</v>
      </c>
      <c r="N43" s="3" t="s">
        <v>33</v>
      </c>
      <c r="O43" s="3" t="s">
        <v>39</v>
      </c>
      <c r="P43" s="3" t="s">
        <v>53</v>
      </c>
    </row>
    <row r="44" spans="1:16" x14ac:dyDescent="0.25">
      <c r="A44" s="2" t="s">
        <v>146</v>
      </c>
      <c r="B44" s="4">
        <v>45077</v>
      </c>
      <c r="C44" s="2" t="s">
        <v>369</v>
      </c>
      <c r="D44" s="2" t="s">
        <v>83</v>
      </c>
      <c r="E44" s="2" t="s">
        <v>84</v>
      </c>
      <c r="F44" s="2" t="s">
        <v>15</v>
      </c>
      <c r="G44" s="2" t="s">
        <v>56</v>
      </c>
      <c r="H44" s="2">
        <v>1740.67</v>
      </c>
      <c r="I44" s="2">
        <v>2</v>
      </c>
      <c r="J44" s="2">
        <v>0</v>
      </c>
      <c r="K44" s="9">
        <f t="shared" si="0"/>
        <v>3481.34</v>
      </c>
      <c r="L44" s="9">
        <f t="shared" si="1"/>
        <v>0</v>
      </c>
      <c r="M44" s="10">
        <f t="shared" si="2"/>
        <v>3481.34</v>
      </c>
      <c r="N44" s="2" t="s">
        <v>38</v>
      </c>
      <c r="O44" s="2" t="s">
        <v>18</v>
      </c>
      <c r="P44" s="2" t="s">
        <v>53</v>
      </c>
    </row>
    <row r="45" spans="1:16" x14ac:dyDescent="0.25">
      <c r="A45" s="3" t="s">
        <v>147</v>
      </c>
      <c r="B45" s="4">
        <v>45078</v>
      </c>
      <c r="C45" s="3" t="s">
        <v>148</v>
      </c>
      <c r="D45" s="3" t="s">
        <v>51</v>
      </c>
      <c r="E45" s="3" t="s">
        <v>14</v>
      </c>
      <c r="F45" s="3" t="s">
        <v>43</v>
      </c>
      <c r="G45" s="3" t="s">
        <v>89</v>
      </c>
      <c r="H45" s="3">
        <v>4814.76</v>
      </c>
      <c r="I45" s="3">
        <v>1</v>
      </c>
      <c r="J45" s="3">
        <v>0</v>
      </c>
      <c r="K45" s="9">
        <f t="shared" si="0"/>
        <v>4814.76</v>
      </c>
      <c r="L45" s="9">
        <f t="shared" si="1"/>
        <v>0</v>
      </c>
      <c r="M45" s="10">
        <f t="shared" si="2"/>
        <v>4814.76</v>
      </c>
      <c r="N45" s="7" t="s">
        <v>508</v>
      </c>
      <c r="O45" s="3" t="s">
        <v>27</v>
      </c>
      <c r="P45" s="3" t="s">
        <v>19</v>
      </c>
    </row>
    <row r="46" spans="1:16" x14ac:dyDescent="0.25">
      <c r="A46" s="2" t="s">
        <v>149</v>
      </c>
      <c r="B46" s="4">
        <v>45079</v>
      </c>
      <c r="C46" s="2" t="s">
        <v>150</v>
      </c>
      <c r="D46" s="2" t="s">
        <v>65</v>
      </c>
      <c r="E46" s="2" t="s">
        <v>66</v>
      </c>
      <c r="F46" s="2" t="s">
        <v>43</v>
      </c>
      <c r="G46" s="2" t="s">
        <v>145</v>
      </c>
      <c r="H46" s="2">
        <v>0</v>
      </c>
      <c r="I46" s="2">
        <v>1</v>
      </c>
      <c r="J46" s="2">
        <v>15</v>
      </c>
      <c r="K46" s="9">
        <f t="shared" si="0"/>
        <v>0</v>
      </c>
      <c r="L46" s="9">
        <f t="shared" si="1"/>
        <v>0</v>
      </c>
      <c r="M46" s="10">
        <f t="shared" si="2"/>
        <v>0</v>
      </c>
      <c r="N46" s="2" t="s">
        <v>33</v>
      </c>
      <c r="O46" s="2" t="s">
        <v>18</v>
      </c>
      <c r="P46" s="2" t="s">
        <v>53</v>
      </c>
    </row>
    <row r="47" spans="1:16" x14ac:dyDescent="0.25">
      <c r="A47" s="3" t="s">
        <v>151</v>
      </c>
      <c r="B47" s="4">
        <v>45080</v>
      </c>
      <c r="C47" s="3" t="s">
        <v>152</v>
      </c>
      <c r="D47" s="3" t="s">
        <v>13</v>
      </c>
      <c r="E47" s="3" t="s">
        <v>14</v>
      </c>
      <c r="F47" s="3" t="s">
        <v>110</v>
      </c>
      <c r="G47" s="3" t="s">
        <v>153</v>
      </c>
      <c r="H47" s="3">
        <v>3792.23</v>
      </c>
      <c r="I47" s="3">
        <v>1</v>
      </c>
      <c r="J47" s="3">
        <v>15</v>
      </c>
      <c r="K47" s="9">
        <f t="shared" si="0"/>
        <v>3792.23</v>
      </c>
      <c r="L47" s="9">
        <f t="shared" si="1"/>
        <v>568.83449999999993</v>
      </c>
      <c r="M47" s="10">
        <f t="shared" si="2"/>
        <v>3223.3955000000001</v>
      </c>
      <c r="N47" s="3" t="s">
        <v>26</v>
      </c>
      <c r="O47" s="3" t="s">
        <v>39</v>
      </c>
      <c r="P47" s="3" t="s">
        <v>60</v>
      </c>
    </row>
    <row r="48" spans="1:16" x14ac:dyDescent="0.25">
      <c r="A48" s="3" t="s">
        <v>154</v>
      </c>
      <c r="B48" s="4">
        <v>45082</v>
      </c>
      <c r="C48" s="3" t="s">
        <v>155</v>
      </c>
      <c r="D48" s="3" t="s">
        <v>47</v>
      </c>
      <c r="E48" s="3" t="s">
        <v>48</v>
      </c>
      <c r="F48" s="3" t="s">
        <v>72</v>
      </c>
      <c r="G48" s="3" t="s">
        <v>102</v>
      </c>
      <c r="H48" s="3">
        <v>694.18</v>
      </c>
      <c r="I48" s="3">
        <v>3</v>
      </c>
      <c r="J48" s="3">
        <v>0</v>
      </c>
      <c r="K48" s="9">
        <f t="shared" si="0"/>
        <v>2082.54</v>
      </c>
      <c r="L48" s="9">
        <f t="shared" si="1"/>
        <v>0</v>
      </c>
      <c r="M48" s="10">
        <f t="shared" si="2"/>
        <v>2082.54</v>
      </c>
      <c r="N48" s="3" t="s">
        <v>33</v>
      </c>
      <c r="O48" s="3" t="s">
        <v>27</v>
      </c>
      <c r="P48" s="3" t="s">
        <v>53</v>
      </c>
    </row>
    <row r="49" spans="1:16" x14ac:dyDescent="0.25">
      <c r="A49" s="2" t="s">
        <v>156</v>
      </c>
      <c r="B49" s="4">
        <v>45083</v>
      </c>
      <c r="C49" s="2" t="s">
        <v>263</v>
      </c>
      <c r="D49" s="2" t="s">
        <v>47</v>
      </c>
      <c r="E49" s="2" t="s">
        <v>48</v>
      </c>
      <c r="F49" s="2" t="s">
        <v>24</v>
      </c>
      <c r="G49" s="2" t="s">
        <v>108</v>
      </c>
      <c r="H49" s="2">
        <v>7737.36</v>
      </c>
      <c r="I49" s="2">
        <v>5</v>
      </c>
      <c r="J49" s="2">
        <v>5</v>
      </c>
      <c r="K49" s="9">
        <f t="shared" si="0"/>
        <v>38686.799999999996</v>
      </c>
      <c r="L49" s="9">
        <f t="shared" si="1"/>
        <v>1934.3399999999997</v>
      </c>
      <c r="M49" s="10">
        <f t="shared" si="2"/>
        <v>36752.46</v>
      </c>
      <c r="N49" s="2" t="s">
        <v>26</v>
      </c>
      <c r="O49" s="2" t="s">
        <v>18</v>
      </c>
      <c r="P49" s="2" t="s">
        <v>53</v>
      </c>
    </row>
    <row r="50" spans="1:16" x14ac:dyDescent="0.25">
      <c r="A50" s="3" t="s">
        <v>157</v>
      </c>
      <c r="B50" s="4">
        <v>45084</v>
      </c>
      <c r="C50" s="3" t="s">
        <v>219</v>
      </c>
      <c r="D50" s="3" t="s">
        <v>51</v>
      </c>
      <c r="E50" s="3" t="s">
        <v>14</v>
      </c>
      <c r="F50" s="3" t="s">
        <v>36</v>
      </c>
      <c r="G50" s="3" t="s">
        <v>37</v>
      </c>
      <c r="H50" s="3">
        <v>11778.24</v>
      </c>
      <c r="I50" s="3">
        <v>5</v>
      </c>
      <c r="J50" s="3">
        <v>5</v>
      </c>
      <c r="K50" s="9">
        <f t="shared" si="0"/>
        <v>58891.199999999997</v>
      </c>
      <c r="L50" s="9">
        <f t="shared" si="1"/>
        <v>2944.56</v>
      </c>
      <c r="M50" s="10">
        <f t="shared" si="2"/>
        <v>55946.64</v>
      </c>
      <c r="N50" s="3" t="s">
        <v>33</v>
      </c>
      <c r="O50" s="3" t="s">
        <v>18</v>
      </c>
      <c r="P50" s="3" t="s">
        <v>53</v>
      </c>
    </row>
    <row r="51" spans="1:16" x14ac:dyDescent="0.25">
      <c r="A51" s="2" t="s">
        <v>158</v>
      </c>
      <c r="B51" s="4">
        <v>45085</v>
      </c>
      <c r="C51" s="2" t="s">
        <v>159</v>
      </c>
      <c r="D51" s="2" t="s">
        <v>13</v>
      </c>
      <c r="E51" s="2" t="s">
        <v>14</v>
      </c>
      <c r="F51" s="2" t="s">
        <v>72</v>
      </c>
      <c r="G51" s="2" t="s">
        <v>73</v>
      </c>
      <c r="H51" s="2">
        <v>341.63</v>
      </c>
      <c r="I51" s="2">
        <v>1</v>
      </c>
      <c r="J51" s="2">
        <v>5</v>
      </c>
      <c r="K51" s="9">
        <f t="shared" si="0"/>
        <v>341.63</v>
      </c>
      <c r="L51" s="9">
        <f t="shared" si="1"/>
        <v>17.081500000000002</v>
      </c>
      <c r="M51" s="10">
        <f t="shared" si="2"/>
        <v>324.54849999999999</v>
      </c>
      <c r="N51" s="2" t="s">
        <v>38</v>
      </c>
      <c r="O51" s="2" t="s">
        <v>39</v>
      </c>
      <c r="P51" s="2" t="s">
        <v>60</v>
      </c>
    </row>
    <row r="52" spans="1:16" x14ac:dyDescent="0.25">
      <c r="A52" s="3" t="s">
        <v>160</v>
      </c>
      <c r="B52" s="4">
        <v>45086</v>
      </c>
      <c r="C52" s="3" t="s">
        <v>161</v>
      </c>
      <c r="D52" s="3" t="s">
        <v>83</v>
      </c>
      <c r="E52" s="3" t="s">
        <v>84</v>
      </c>
      <c r="F52" s="3" t="s">
        <v>72</v>
      </c>
      <c r="G52" s="3" t="s">
        <v>73</v>
      </c>
      <c r="H52" s="3">
        <v>377.85</v>
      </c>
      <c r="I52" s="3">
        <v>4</v>
      </c>
      <c r="J52" s="3">
        <v>0</v>
      </c>
      <c r="K52" s="9">
        <f t="shared" si="0"/>
        <v>1511.4</v>
      </c>
      <c r="L52" s="9">
        <f t="shared" si="1"/>
        <v>0</v>
      </c>
      <c r="M52" s="10">
        <f t="shared" si="2"/>
        <v>1511.4</v>
      </c>
      <c r="N52" s="3" t="s">
        <v>38</v>
      </c>
      <c r="O52" s="3" t="s">
        <v>18</v>
      </c>
      <c r="P52" s="3" t="s">
        <v>60</v>
      </c>
    </row>
    <row r="53" spans="1:16" x14ac:dyDescent="0.25">
      <c r="A53" s="2" t="s">
        <v>162</v>
      </c>
      <c r="B53" s="4">
        <v>45087</v>
      </c>
      <c r="C53" s="2" t="s">
        <v>1044</v>
      </c>
      <c r="D53" s="2" t="s">
        <v>65</v>
      </c>
      <c r="E53" s="2" t="s">
        <v>66</v>
      </c>
      <c r="F53" s="2" t="s">
        <v>15</v>
      </c>
      <c r="G53" s="2" t="s">
        <v>163</v>
      </c>
      <c r="H53" s="2">
        <v>2670.25</v>
      </c>
      <c r="I53" s="2">
        <v>2</v>
      </c>
      <c r="J53" s="2">
        <v>10</v>
      </c>
      <c r="K53" s="9">
        <f t="shared" si="0"/>
        <v>5340.5</v>
      </c>
      <c r="L53" s="9">
        <f t="shared" si="1"/>
        <v>534.04999999999995</v>
      </c>
      <c r="M53" s="10">
        <f t="shared" si="2"/>
        <v>4806.45</v>
      </c>
      <c r="N53" s="2" t="s">
        <v>17</v>
      </c>
      <c r="O53" s="2" t="s">
        <v>18</v>
      </c>
      <c r="P53" s="2" t="s">
        <v>60</v>
      </c>
    </row>
    <row r="54" spans="1:16" x14ac:dyDescent="0.25">
      <c r="A54" s="3" t="s">
        <v>164</v>
      </c>
      <c r="B54" s="4">
        <v>45088</v>
      </c>
      <c r="C54" s="3" t="s">
        <v>165</v>
      </c>
      <c r="D54" s="3" t="s">
        <v>13</v>
      </c>
      <c r="E54" s="3" t="s">
        <v>14</v>
      </c>
      <c r="F54" s="3" t="s">
        <v>36</v>
      </c>
      <c r="G54" s="3" t="s">
        <v>121</v>
      </c>
      <c r="H54" s="3">
        <v>93643.64</v>
      </c>
      <c r="I54" s="3">
        <v>4</v>
      </c>
      <c r="J54" s="3">
        <v>0</v>
      </c>
      <c r="K54" s="9">
        <f t="shared" si="0"/>
        <v>374574.56</v>
      </c>
      <c r="L54" s="9">
        <f t="shared" si="1"/>
        <v>0</v>
      </c>
      <c r="M54" s="10">
        <f t="shared" si="2"/>
        <v>374574.56</v>
      </c>
      <c r="N54" s="7" t="s">
        <v>508</v>
      </c>
      <c r="O54" s="3" t="s">
        <v>18</v>
      </c>
      <c r="P54" s="3" t="s">
        <v>60</v>
      </c>
    </row>
    <row r="55" spans="1:16" x14ac:dyDescent="0.25">
      <c r="A55" s="2" t="s">
        <v>166</v>
      </c>
      <c r="B55" s="4">
        <v>45089</v>
      </c>
      <c r="C55" s="2" t="s">
        <v>167</v>
      </c>
      <c r="D55" s="2" t="s">
        <v>87</v>
      </c>
      <c r="E55" s="2" t="s">
        <v>88</v>
      </c>
      <c r="F55" s="2" t="s">
        <v>31</v>
      </c>
      <c r="G55" s="2" t="s">
        <v>70</v>
      </c>
      <c r="H55" s="2">
        <v>573.39</v>
      </c>
      <c r="I55" s="2">
        <v>4</v>
      </c>
      <c r="J55" s="2">
        <v>15</v>
      </c>
      <c r="K55" s="9">
        <f t="shared" si="0"/>
        <v>2293.56</v>
      </c>
      <c r="L55" s="9">
        <f t="shared" si="1"/>
        <v>344.03399999999999</v>
      </c>
      <c r="M55" s="10">
        <f t="shared" si="2"/>
        <v>1949.5259999999998</v>
      </c>
      <c r="N55" s="2" t="s">
        <v>68</v>
      </c>
      <c r="O55" s="2" t="s">
        <v>18</v>
      </c>
      <c r="P55" s="2" t="s">
        <v>40</v>
      </c>
    </row>
    <row r="56" spans="1:16" x14ac:dyDescent="0.25">
      <c r="A56" s="3" t="s">
        <v>168</v>
      </c>
      <c r="B56" s="4">
        <v>45090</v>
      </c>
      <c r="C56" s="3" t="s">
        <v>169</v>
      </c>
      <c r="D56" s="3" t="s">
        <v>87</v>
      </c>
      <c r="E56" s="3" t="s">
        <v>88</v>
      </c>
      <c r="F56" s="3" t="s">
        <v>24</v>
      </c>
      <c r="G56" s="3" t="s">
        <v>170</v>
      </c>
      <c r="H56" s="3">
        <v>1096.47</v>
      </c>
      <c r="I56" s="3">
        <v>1</v>
      </c>
      <c r="J56" s="3">
        <v>10</v>
      </c>
      <c r="K56" s="9">
        <f t="shared" si="0"/>
        <v>1096.47</v>
      </c>
      <c r="L56" s="9">
        <f t="shared" si="1"/>
        <v>109.64700000000001</v>
      </c>
      <c r="M56" s="10">
        <f t="shared" si="2"/>
        <v>986.82299999999998</v>
      </c>
      <c r="N56" s="3" t="s">
        <v>26</v>
      </c>
      <c r="O56" s="3" t="s">
        <v>18</v>
      </c>
      <c r="P56" s="3" t="s">
        <v>40</v>
      </c>
    </row>
    <row r="57" spans="1:16" x14ac:dyDescent="0.25">
      <c r="A57" s="2" t="s">
        <v>171</v>
      </c>
      <c r="B57" s="4">
        <v>45091</v>
      </c>
      <c r="C57" s="2" t="s">
        <v>60</v>
      </c>
      <c r="D57" s="2" t="s">
        <v>100</v>
      </c>
      <c r="E57" s="2" t="s">
        <v>88</v>
      </c>
      <c r="F57" s="2" t="s">
        <v>43</v>
      </c>
      <c r="G57" s="2" t="s">
        <v>44</v>
      </c>
      <c r="H57" s="2">
        <v>3544.78</v>
      </c>
      <c r="I57" s="2">
        <v>2</v>
      </c>
      <c r="J57" s="2">
        <v>10</v>
      </c>
      <c r="K57" s="9">
        <f t="shared" si="0"/>
        <v>7089.56</v>
      </c>
      <c r="L57" s="9">
        <f t="shared" si="1"/>
        <v>708.95600000000002</v>
      </c>
      <c r="M57" s="10">
        <f t="shared" si="2"/>
        <v>6380.6040000000003</v>
      </c>
      <c r="N57" s="2" t="s">
        <v>38</v>
      </c>
      <c r="O57" s="2" t="s">
        <v>39</v>
      </c>
      <c r="P57" s="2" t="s">
        <v>34</v>
      </c>
    </row>
    <row r="58" spans="1:16" x14ac:dyDescent="0.25">
      <c r="A58" s="3" t="s">
        <v>172</v>
      </c>
      <c r="B58" s="4">
        <v>45092</v>
      </c>
      <c r="C58" s="3" t="s">
        <v>173</v>
      </c>
      <c r="D58" s="3" t="s">
        <v>22</v>
      </c>
      <c r="E58" s="3" t="s">
        <v>23</v>
      </c>
      <c r="F58" s="3" t="s">
        <v>72</v>
      </c>
      <c r="G58" s="3" t="s">
        <v>102</v>
      </c>
      <c r="H58" s="3">
        <v>710.41</v>
      </c>
      <c r="I58" s="3">
        <v>1</v>
      </c>
      <c r="J58" s="3">
        <v>15</v>
      </c>
      <c r="K58" s="9">
        <f t="shared" si="0"/>
        <v>710.41</v>
      </c>
      <c r="L58" s="9">
        <f t="shared" si="1"/>
        <v>106.5615</v>
      </c>
      <c r="M58" s="10">
        <f t="shared" si="2"/>
        <v>603.84849999999994</v>
      </c>
      <c r="N58" s="3" t="s">
        <v>68</v>
      </c>
      <c r="O58" s="3" t="s">
        <v>18</v>
      </c>
      <c r="P58" s="3" t="s">
        <v>19</v>
      </c>
    </row>
    <row r="59" spans="1:16" x14ac:dyDescent="0.25">
      <c r="A59" s="2" t="s">
        <v>174</v>
      </c>
      <c r="B59" s="4">
        <v>45093</v>
      </c>
      <c r="C59" s="2" t="s">
        <v>418</v>
      </c>
      <c r="D59" s="2" t="s">
        <v>51</v>
      </c>
      <c r="E59" s="2" t="s">
        <v>14</v>
      </c>
      <c r="F59" s="2" t="s">
        <v>36</v>
      </c>
      <c r="G59" s="2" t="s">
        <v>113</v>
      </c>
      <c r="H59" s="2">
        <v>124574.75</v>
      </c>
      <c r="I59" s="2">
        <v>2</v>
      </c>
      <c r="J59" s="2">
        <v>0</v>
      </c>
      <c r="K59" s="9">
        <f t="shared" si="0"/>
        <v>249149.5</v>
      </c>
      <c r="L59" s="9">
        <f t="shared" si="1"/>
        <v>0</v>
      </c>
      <c r="M59" s="10">
        <f t="shared" si="2"/>
        <v>249149.5</v>
      </c>
      <c r="N59" s="2" t="s">
        <v>38</v>
      </c>
      <c r="O59" s="2" t="s">
        <v>39</v>
      </c>
      <c r="P59" s="2" t="s">
        <v>19</v>
      </c>
    </row>
    <row r="60" spans="1:16" x14ac:dyDescent="0.25">
      <c r="A60" s="3" t="s">
        <v>175</v>
      </c>
      <c r="B60" s="4">
        <v>45094</v>
      </c>
      <c r="C60" s="3" t="s">
        <v>734</v>
      </c>
      <c r="D60" s="3" t="s">
        <v>87</v>
      </c>
      <c r="E60" s="3" t="s">
        <v>88</v>
      </c>
      <c r="F60" s="3" t="s">
        <v>110</v>
      </c>
      <c r="G60" s="3" t="s">
        <v>67</v>
      </c>
      <c r="H60" s="3">
        <v>4645.37</v>
      </c>
      <c r="I60" s="3">
        <v>1</v>
      </c>
      <c r="J60" s="3">
        <v>5</v>
      </c>
      <c r="K60" s="9">
        <f t="shared" si="0"/>
        <v>4645.37</v>
      </c>
      <c r="L60" s="9">
        <f t="shared" si="1"/>
        <v>232.26849999999999</v>
      </c>
      <c r="M60" s="10">
        <f t="shared" si="2"/>
        <v>4413.1014999999998</v>
      </c>
      <c r="N60" s="3" t="s">
        <v>38</v>
      </c>
      <c r="O60" s="3" t="s">
        <v>18</v>
      </c>
      <c r="P60" s="3" t="s">
        <v>60</v>
      </c>
    </row>
    <row r="61" spans="1:16" x14ac:dyDescent="0.25">
      <c r="A61" s="2" t="s">
        <v>176</v>
      </c>
      <c r="B61" s="4">
        <v>45095</v>
      </c>
      <c r="C61" s="2" t="s">
        <v>139</v>
      </c>
      <c r="D61" s="2" t="s">
        <v>87</v>
      </c>
      <c r="E61" s="2" t="s">
        <v>88</v>
      </c>
      <c r="F61" s="2" t="s">
        <v>15</v>
      </c>
      <c r="G61" s="2" t="s">
        <v>95</v>
      </c>
      <c r="H61" s="2">
        <v>1249.75</v>
      </c>
      <c r="I61" s="2">
        <v>4</v>
      </c>
      <c r="J61" s="2">
        <v>10</v>
      </c>
      <c r="K61" s="9">
        <f t="shared" si="0"/>
        <v>4999</v>
      </c>
      <c r="L61" s="9">
        <f t="shared" si="1"/>
        <v>499.9</v>
      </c>
      <c r="M61" s="10">
        <f t="shared" si="2"/>
        <v>4499.1000000000004</v>
      </c>
      <c r="N61" s="2" t="s">
        <v>17</v>
      </c>
      <c r="O61" s="2" t="s">
        <v>27</v>
      </c>
      <c r="P61" s="2" t="s">
        <v>34</v>
      </c>
    </row>
    <row r="62" spans="1:16" x14ac:dyDescent="0.25">
      <c r="A62" s="3" t="s">
        <v>177</v>
      </c>
      <c r="B62" s="4">
        <v>45096</v>
      </c>
      <c r="C62" s="3" t="s">
        <v>178</v>
      </c>
      <c r="D62" s="3" t="s">
        <v>76</v>
      </c>
      <c r="E62" s="3" t="s">
        <v>77</v>
      </c>
      <c r="F62" s="3" t="s">
        <v>43</v>
      </c>
      <c r="G62" s="3" t="s">
        <v>89</v>
      </c>
      <c r="H62" s="3">
        <v>4291.5600000000004</v>
      </c>
      <c r="I62" s="3">
        <v>2</v>
      </c>
      <c r="J62" s="3">
        <v>5</v>
      </c>
      <c r="K62" s="9">
        <f t="shared" si="0"/>
        <v>8583.1200000000008</v>
      </c>
      <c r="L62" s="9">
        <f t="shared" si="1"/>
        <v>429.15600000000006</v>
      </c>
      <c r="M62" s="10">
        <f t="shared" si="2"/>
        <v>8153.9640000000009</v>
      </c>
      <c r="N62" s="3" t="s">
        <v>38</v>
      </c>
      <c r="O62" s="3" t="s">
        <v>18</v>
      </c>
      <c r="P62" s="3" t="s">
        <v>53</v>
      </c>
    </row>
    <row r="63" spans="1:16" x14ac:dyDescent="0.25">
      <c r="A63" s="2" t="s">
        <v>179</v>
      </c>
      <c r="B63" s="4">
        <v>45097</v>
      </c>
      <c r="C63" s="2" t="s">
        <v>115</v>
      </c>
      <c r="D63" s="2" t="s">
        <v>65</v>
      </c>
      <c r="E63" s="2" t="s">
        <v>66</v>
      </c>
      <c r="F63" s="2" t="s">
        <v>31</v>
      </c>
      <c r="G63" s="2" t="s">
        <v>32</v>
      </c>
      <c r="H63" s="2">
        <v>2497.15</v>
      </c>
      <c r="I63" s="2">
        <v>3</v>
      </c>
      <c r="J63" s="2">
        <v>0</v>
      </c>
      <c r="K63" s="9">
        <f t="shared" si="0"/>
        <v>7491.4500000000007</v>
      </c>
      <c r="L63" s="9">
        <f t="shared" si="1"/>
        <v>0</v>
      </c>
      <c r="M63" s="10">
        <f t="shared" si="2"/>
        <v>7491.4500000000007</v>
      </c>
      <c r="N63" s="2" t="s">
        <v>33</v>
      </c>
      <c r="O63" s="2" t="s">
        <v>18</v>
      </c>
      <c r="P63" s="2" t="s">
        <v>34</v>
      </c>
    </row>
    <row r="64" spans="1:16" x14ac:dyDescent="0.25">
      <c r="A64" s="3" t="s">
        <v>180</v>
      </c>
      <c r="B64" s="4">
        <v>45098</v>
      </c>
      <c r="C64" s="3" t="s">
        <v>136</v>
      </c>
      <c r="D64" s="3" t="s">
        <v>29</v>
      </c>
      <c r="E64" s="3" t="s">
        <v>30</v>
      </c>
      <c r="F64" s="3" t="s">
        <v>15</v>
      </c>
      <c r="G64" s="3" t="s">
        <v>16</v>
      </c>
      <c r="H64" s="3">
        <v>1516.74</v>
      </c>
      <c r="I64" s="3">
        <v>5</v>
      </c>
      <c r="J64" s="3">
        <v>5</v>
      </c>
      <c r="K64" s="9">
        <f t="shared" si="0"/>
        <v>7583.7</v>
      </c>
      <c r="L64" s="9">
        <f t="shared" si="1"/>
        <v>379.185</v>
      </c>
      <c r="M64" s="10">
        <f t="shared" si="2"/>
        <v>7204.5149999999994</v>
      </c>
      <c r="N64" s="7" t="s">
        <v>508</v>
      </c>
      <c r="O64" s="3" t="s">
        <v>18</v>
      </c>
      <c r="P64" s="3" t="s">
        <v>60</v>
      </c>
    </row>
    <row r="65" spans="1:16" x14ac:dyDescent="0.25">
      <c r="A65" s="2" t="s">
        <v>181</v>
      </c>
      <c r="B65" s="4">
        <v>45099</v>
      </c>
      <c r="C65" s="2" t="s">
        <v>91</v>
      </c>
      <c r="D65" s="2" t="s">
        <v>76</v>
      </c>
      <c r="E65" s="2" t="s">
        <v>77</v>
      </c>
      <c r="F65" s="2" t="s">
        <v>15</v>
      </c>
      <c r="G65" s="2" t="s">
        <v>95</v>
      </c>
      <c r="H65" s="2">
        <v>1187.56</v>
      </c>
      <c r="I65" s="2">
        <v>1</v>
      </c>
      <c r="J65" s="2">
        <v>15</v>
      </c>
      <c r="K65" s="9">
        <f t="shared" si="0"/>
        <v>1187.56</v>
      </c>
      <c r="L65" s="9">
        <f t="shared" si="1"/>
        <v>178.13399999999999</v>
      </c>
      <c r="M65" s="10">
        <f t="shared" si="2"/>
        <v>1009.4259999999999</v>
      </c>
      <c r="N65" s="2" t="s">
        <v>38</v>
      </c>
      <c r="O65" s="2" t="s">
        <v>18</v>
      </c>
      <c r="P65" s="2" t="s">
        <v>60</v>
      </c>
    </row>
    <row r="66" spans="1:16" x14ac:dyDescent="0.25">
      <c r="A66" s="3" t="s">
        <v>182</v>
      </c>
      <c r="B66" s="4">
        <v>45100</v>
      </c>
      <c r="C66" s="3" t="s">
        <v>183</v>
      </c>
      <c r="D66" s="3" t="s">
        <v>29</v>
      </c>
      <c r="E66" s="3" t="s">
        <v>30</v>
      </c>
      <c r="F66" s="3" t="s">
        <v>31</v>
      </c>
      <c r="G66" s="3" t="s">
        <v>70</v>
      </c>
      <c r="H66" s="3">
        <v>606.41999999999996</v>
      </c>
      <c r="I66" s="3">
        <v>3</v>
      </c>
      <c r="J66" s="3">
        <v>15</v>
      </c>
      <c r="K66" s="9">
        <f t="shared" ref="K66:K129" si="3">I66*H66</f>
        <v>1819.2599999999998</v>
      </c>
      <c r="L66" s="9">
        <f t="shared" ref="L66:L129" si="4">K66*J66/100</f>
        <v>272.88899999999995</v>
      </c>
      <c r="M66" s="10">
        <f t="shared" ref="M66:M129" si="5">K66-L66</f>
        <v>1546.3709999999999</v>
      </c>
      <c r="N66" s="3" t="s">
        <v>17</v>
      </c>
      <c r="O66" s="3" t="s">
        <v>18</v>
      </c>
      <c r="P66" s="3" t="s">
        <v>34</v>
      </c>
    </row>
    <row r="67" spans="1:16" x14ac:dyDescent="0.25">
      <c r="A67" s="2" t="s">
        <v>184</v>
      </c>
      <c r="B67" s="4">
        <v>45101</v>
      </c>
      <c r="C67" s="2" t="s">
        <v>185</v>
      </c>
      <c r="D67" s="2" t="s">
        <v>47</v>
      </c>
      <c r="E67" s="2" t="s">
        <v>48</v>
      </c>
      <c r="F67" s="2" t="s">
        <v>31</v>
      </c>
      <c r="G67" s="2" t="s">
        <v>186</v>
      </c>
      <c r="H67" s="2">
        <v>739.3</v>
      </c>
      <c r="I67" s="2">
        <v>2</v>
      </c>
      <c r="J67" s="2">
        <v>50</v>
      </c>
      <c r="K67" s="9">
        <f t="shared" si="3"/>
        <v>1478.6</v>
      </c>
      <c r="L67" s="9">
        <f t="shared" si="4"/>
        <v>739.3</v>
      </c>
      <c r="M67" s="10">
        <f t="shared" si="5"/>
        <v>739.3</v>
      </c>
      <c r="N67" s="2" t="s">
        <v>68</v>
      </c>
      <c r="O67" s="2" t="s">
        <v>27</v>
      </c>
      <c r="P67" s="2" t="s">
        <v>19</v>
      </c>
    </row>
    <row r="68" spans="1:16" x14ac:dyDescent="0.25">
      <c r="A68" s="3" t="s">
        <v>187</v>
      </c>
      <c r="B68" s="4">
        <v>45102</v>
      </c>
      <c r="C68" s="3" t="s">
        <v>188</v>
      </c>
      <c r="D68" s="3" t="s">
        <v>51</v>
      </c>
      <c r="E68" s="3" t="s">
        <v>14</v>
      </c>
      <c r="F68" s="3" t="s">
        <v>15</v>
      </c>
      <c r="G68" s="3" t="s">
        <v>95</v>
      </c>
      <c r="H68" s="3">
        <v>1146.3599999999999</v>
      </c>
      <c r="I68" s="3">
        <v>5</v>
      </c>
      <c r="J68" s="3">
        <v>0</v>
      </c>
      <c r="K68" s="9">
        <f t="shared" si="3"/>
        <v>5731.7999999999993</v>
      </c>
      <c r="L68" s="9">
        <f t="shared" si="4"/>
        <v>0</v>
      </c>
      <c r="M68" s="10">
        <f t="shared" si="5"/>
        <v>5731.7999999999993</v>
      </c>
      <c r="N68" s="3" t="s">
        <v>17</v>
      </c>
      <c r="O68" s="3" t="s">
        <v>18</v>
      </c>
      <c r="P68" s="3" t="s">
        <v>40</v>
      </c>
    </row>
    <row r="69" spans="1:16" x14ac:dyDescent="0.25">
      <c r="A69" s="2" t="s">
        <v>189</v>
      </c>
      <c r="B69" s="4">
        <v>45103</v>
      </c>
      <c r="C69" s="2" t="s">
        <v>340</v>
      </c>
      <c r="D69" s="2" t="s">
        <v>87</v>
      </c>
      <c r="E69" s="2" t="s">
        <v>88</v>
      </c>
      <c r="F69" s="2" t="s">
        <v>24</v>
      </c>
      <c r="G69" s="2" t="s">
        <v>108</v>
      </c>
      <c r="H69" s="2">
        <v>7222.64</v>
      </c>
      <c r="I69" s="2">
        <v>5</v>
      </c>
      <c r="J69" s="2">
        <v>10</v>
      </c>
      <c r="K69" s="9">
        <f t="shared" si="3"/>
        <v>36113.200000000004</v>
      </c>
      <c r="L69" s="9">
        <f t="shared" si="4"/>
        <v>3611.3200000000006</v>
      </c>
      <c r="M69" s="10">
        <f t="shared" si="5"/>
        <v>32501.880000000005</v>
      </c>
      <c r="N69" s="2" t="s">
        <v>38</v>
      </c>
      <c r="O69" s="2" t="s">
        <v>18</v>
      </c>
      <c r="P69" s="2" t="s">
        <v>40</v>
      </c>
    </row>
    <row r="70" spans="1:16" x14ac:dyDescent="0.25">
      <c r="A70" s="3" t="s">
        <v>190</v>
      </c>
      <c r="B70" s="4">
        <v>45104</v>
      </c>
      <c r="C70" s="3" t="s">
        <v>495</v>
      </c>
      <c r="D70" s="3" t="s">
        <v>100</v>
      </c>
      <c r="E70" s="3" t="s">
        <v>88</v>
      </c>
      <c r="F70" s="3" t="s">
        <v>15</v>
      </c>
      <c r="G70" s="3" t="s">
        <v>95</v>
      </c>
      <c r="H70" s="3">
        <v>1104.6199999999999</v>
      </c>
      <c r="I70" s="3">
        <v>1</v>
      </c>
      <c r="J70" s="3">
        <v>5</v>
      </c>
      <c r="K70" s="9">
        <f t="shared" si="3"/>
        <v>1104.6199999999999</v>
      </c>
      <c r="L70" s="9">
        <f t="shared" si="4"/>
        <v>55.230999999999995</v>
      </c>
      <c r="M70" s="10">
        <f t="shared" si="5"/>
        <v>1049.3889999999999</v>
      </c>
      <c r="N70" s="3" t="s">
        <v>38</v>
      </c>
      <c r="O70" s="3" t="s">
        <v>18</v>
      </c>
      <c r="P70" s="3" t="s">
        <v>60</v>
      </c>
    </row>
    <row r="71" spans="1:16" x14ac:dyDescent="0.25">
      <c r="A71" s="2" t="s">
        <v>191</v>
      </c>
      <c r="B71" s="4">
        <v>45105</v>
      </c>
      <c r="C71" s="2" t="s">
        <v>192</v>
      </c>
      <c r="D71" s="2" t="s">
        <v>13</v>
      </c>
      <c r="E71" s="2" t="s">
        <v>14</v>
      </c>
      <c r="F71" s="2" t="s">
        <v>31</v>
      </c>
      <c r="G71" s="2" t="s">
        <v>70</v>
      </c>
      <c r="H71" s="2">
        <v>553.69000000000005</v>
      </c>
      <c r="I71" s="2">
        <v>1</v>
      </c>
      <c r="J71" s="2">
        <v>15</v>
      </c>
      <c r="K71" s="9">
        <f t="shared" si="3"/>
        <v>553.69000000000005</v>
      </c>
      <c r="L71" s="9">
        <f t="shared" si="4"/>
        <v>83.0535</v>
      </c>
      <c r="M71" s="10">
        <f t="shared" si="5"/>
        <v>470.63650000000007</v>
      </c>
      <c r="N71" s="2" t="s">
        <v>33</v>
      </c>
      <c r="O71" s="2" t="s">
        <v>18</v>
      </c>
      <c r="P71" s="2" t="s">
        <v>19</v>
      </c>
    </row>
    <row r="72" spans="1:16" x14ac:dyDescent="0.25">
      <c r="A72" s="3" t="s">
        <v>193</v>
      </c>
      <c r="B72" s="4">
        <v>45106</v>
      </c>
      <c r="C72" s="3" t="s">
        <v>194</v>
      </c>
      <c r="D72" s="3" t="s">
        <v>100</v>
      </c>
      <c r="E72" s="3" t="s">
        <v>88</v>
      </c>
      <c r="F72" s="3" t="s">
        <v>24</v>
      </c>
      <c r="G72" s="3" t="s">
        <v>59</v>
      </c>
      <c r="H72" s="3">
        <v>5449.13</v>
      </c>
      <c r="I72" s="3">
        <v>1</v>
      </c>
      <c r="J72" s="3">
        <v>10</v>
      </c>
      <c r="K72" s="9">
        <f t="shared" si="3"/>
        <v>5449.13</v>
      </c>
      <c r="L72" s="9">
        <f t="shared" si="4"/>
        <v>544.91300000000001</v>
      </c>
      <c r="M72" s="10">
        <f t="shared" si="5"/>
        <v>4904.2170000000006</v>
      </c>
      <c r="N72" s="3" t="s">
        <v>68</v>
      </c>
      <c r="O72" s="3" t="s">
        <v>52</v>
      </c>
      <c r="P72" s="3" t="s">
        <v>60</v>
      </c>
    </row>
    <row r="73" spans="1:16" x14ac:dyDescent="0.25">
      <c r="A73" s="2" t="s">
        <v>195</v>
      </c>
      <c r="B73" s="4">
        <v>45107</v>
      </c>
      <c r="C73" s="2" t="s">
        <v>173</v>
      </c>
      <c r="D73" s="2" t="s">
        <v>51</v>
      </c>
      <c r="E73" s="2" t="s">
        <v>14</v>
      </c>
      <c r="F73" s="2" t="s">
        <v>72</v>
      </c>
      <c r="G73" s="2" t="s">
        <v>73</v>
      </c>
      <c r="H73" s="2">
        <v>341.63</v>
      </c>
      <c r="I73" s="2">
        <v>4</v>
      </c>
      <c r="J73" s="2">
        <v>10</v>
      </c>
      <c r="K73" s="9">
        <f t="shared" si="3"/>
        <v>1366.52</v>
      </c>
      <c r="L73" s="9">
        <f t="shared" si="4"/>
        <v>136.65200000000002</v>
      </c>
      <c r="M73" s="10">
        <f t="shared" si="5"/>
        <v>1229.8679999999999</v>
      </c>
      <c r="N73" s="2" t="s">
        <v>17</v>
      </c>
      <c r="O73" s="2" t="s">
        <v>18</v>
      </c>
      <c r="P73" s="2" t="s">
        <v>34</v>
      </c>
    </row>
    <row r="74" spans="1:16" x14ac:dyDescent="0.25">
      <c r="A74" s="3" t="s">
        <v>196</v>
      </c>
      <c r="B74" s="4">
        <v>45108</v>
      </c>
      <c r="C74" s="3" t="s">
        <v>197</v>
      </c>
      <c r="D74" s="3" t="s">
        <v>29</v>
      </c>
      <c r="E74" s="3" t="s">
        <v>30</v>
      </c>
      <c r="F74" s="3" t="s">
        <v>15</v>
      </c>
      <c r="G74" s="3" t="s">
        <v>198</v>
      </c>
      <c r="H74" s="3">
        <v>871.61</v>
      </c>
      <c r="I74" s="3">
        <v>2</v>
      </c>
      <c r="J74" s="3">
        <v>0</v>
      </c>
      <c r="K74" s="9">
        <f t="shared" si="3"/>
        <v>1743.22</v>
      </c>
      <c r="L74" s="9">
        <f t="shared" si="4"/>
        <v>0</v>
      </c>
      <c r="M74" s="10">
        <f t="shared" si="5"/>
        <v>1743.22</v>
      </c>
      <c r="N74" s="7" t="s">
        <v>508</v>
      </c>
      <c r="O74" s="3" t="s">
        <v>18</v>
      </c>
      <c r="P74" s="3" t="s">
        <v>40</v>
      </c>
    </row>
    <row r="75" spans="1:16" x14ac:dyDescent="0.25">
      <c r="A75" s="2" t="s">
        <v>199</v>
      </c>
      <c r="B75" s="4">
        <v>45109</v>
      </c>
      <c r="C75" s="2" t="s">
        <v>200</v>
      </c>
      <c r="D75" s="2" t="s">
        <v>83</v>
      </c>
      <c r="E75" s="2" t="s">
        <v>84</v>
      </c>
      <c r="F75" s="2" t="s">
        <v>36</v>
      </c>
      <c r="G75" s="2" t="s">
        <v>49</v>
      </c>
      <c r="H75" s="2">
        <v>135080.26999999999</v>
      </c>
      <c r="I75" s="2">
        <v>4</v>
      </c>
      <c r="J75" s="2">
        <v>0</v>
      </c>
      <c r="K75" s="9">
        <f t="shared" si="3"/>
        <v>540321.07999999996</v>
      </c>
      <c r="L75" s="9">
        <f t="shared" si="4"/>
        <v>0</v>
      </c>
      <c r="M75" s="10">
        <f t="shared" si="5"/>
        <v>540321.07999999996</v>
      </c>
      <c r="N75" s="2" t="s">
        <v>17</v>
      </c>
      <c r="O75" s="2" t="s">
        <v>18</v>
      </c>
      <c r="P75" s="2" t="s">
        <v>34</v>
      </c>
    </row>
    <row r="76" spans="1:16" x14ac:dyDescent="0.25">
      <c r="A76" s="3" t="s">
        <v>201</v>
      </c>
      <c r="B76" s="4">
        <v>45110</v>
      </c>
      <c r="C76" s="3" t="s">
        <v>183</v>
      </c>
      <c r="D76" s="3" t="s">
        <v>47</v>
      </c>
      <c r="E76" s="3" t="s">
        <v>48</v>
      </c>
      <c r="F76" s="3" t="s">
        <v>15</v>
      </c>
      <c r="G76" s="3" t="s">
        <v>95</v>
      </c>
      <c r="H76" s="3">
        <v>1097.08</v>
      </c>
      <c r="I76" s="3">
        <v>2</v>
      </c>
      <c r="J76" s="3">
        <v>5</v>
      </c>
      <c r="K76" s="9">
        <f t="shared" si="3"/>
        <v>2194.16</v>
      </c>
      <c r="L76" s="9">
        <f t="shared" si="4"/>
        <v>109.708</v>
      </c>
      <c r="M76" s="10">
        <f t="shared" si="5"/>
        <v>2084.4519999999998</v>
      </c>
      <c r="N76" s="3" t="s">
        <v>17</v>
      </c>
      <c r="O76" s="3" t="s">
        <v>27</v>
      </c>
      <c r="P76" s="3" t="s">
        <v>53</v>
      </c>
    </row>
    <row r="77" spans="1:16" x14ac:dyDescent="0.25">
      <c r="A77" s="2" t="s">
        <v>202</v>
      </c>
      <c r="B77" s="4">
        <v>45111</v>
      </c>
      <c r="C77" s="2" t="s">
        <v>203</v>
      </c>
      <c r="D77" s="2" t="s">
        <v>51</v>
      </c>
      <c r="E77" s="2" t="s">
        <v>14</v>
      </c>
      <c r="F77" s="2" t="s">
        <v>15</v>
      </c>
      <c r="G77" s="2" t="s">
        <v>163</v>
      </c>
      <c r="H77" s="2">
        <v>2704.21</v>
      </c>
      <c r="I77" s="2">
        <v>2</v>
      </c>
      <c r="J77" s="2">
        <v>10</v>
      </c>
      <c r="K77" s="9">
        <f t="shared" si="3"/>
        <v>5408.42</v>
      </c>
      <c r="L77" s="9">
        <f t="shared" si="4"/>
        <v>540.84199999999998</v>
      </c>
      <c r="M77" s="10">
        <f t="shared" si="5"/>
        <v>4867.5780000000004</v>
      </c>
      <c r="N77" s="2" t="s">
        <v>68</v>
      </c>
      <c r="O77" s="2" t="s">
        <v>18</v>
      </c>
      <c r="P77" s="2" t="s">
        <v>34</v>
      </c>
    </row>
    <row r="78" spans="1:16" x14ac:dyDescent="0.25">
      <c r="A78" s="3" t="s">
        <v>204</v>
      </c>
      <c r="B78" s="4">
        <v>45112</v>
      </c>
      <c r="C78" s="3" t="s">
        <v>205</v>
      </c>
      <c r="D78" s="3" t="s">
        <v>47</v>
      </c>
      <c r="E78" s="3" t="s">
        <v>48</v>
      </c>
      <c r="F78" s="3" t="s">
        <v>43</v>
      </c>
      <c r="G78" s="3" t="s">
        <v>44</v>
      </c>
      <c r="H78" s="3">
        <v>3478.09</v>
      </c>
      <c r="I78" s="3">
        <v>3</v>
      </c>
      <c r="J78" s="3">
        <v>10</v>
      </c>
      <c r="K78" s="9">
        <f t="shared" si="3"/>
        <v>10434.27</v>
      </c>
      <c r="L78" s="9">
        <f t="shared" si="4"/>
        <v>1043.4270000000001</v>
      </c>
      <c r="M78" s="10">
        <f t="shared" si="5"/>
        <v>9390.8430000000008</v>
      </c>
      <c r="N78" s="3" t="s">
        <v>33</v>
      </c>
      <c r="O78" s="3" t="s">
        <v>18</v>
      </c>
      <c r="P78" s="3" t="s">
        <v>19</v>
      </c>
    </row>
    <row r="79" spans="1:16" x14ac:dyDescent="0.25">
      <c r="A79" s="2" t="s">
        <v>206</v>
      </c>
      <c r="B79" s="4">
        <v>45113</v>
      </c>
      <c r="C79" s="2" t="s">
        <v>155</v>
      </c>
      <c r="D79" s="2" t="s">
        <v>22</v>
      </c>
      <c r="E79" s="2" t="s">
        <v>23</v>
      </c>
      <c r="F79" s="2" t="s">
        <v>110</v>
      </c>
      <c r="G79" s="2" t="s">
        <v>207</v>
      </c>
      <c r="H79" s="2">
        <v>9162.02</v>
      </c>
      <c r="I79" s="2">
        <v>3</v>
      </c>
      <c r="J79" s="2">
        <v>0</v>
      </c>
      <c r="K79" s="9">
        <f t="shared" si="3"/>
        <v>27486.06</v>
      </c>
      <c r="L79" s="9">
        <f t="shared" si="4"/>
        <v>0</v>
      </c>
      <c r="M79" s="10">
        <f t="shared" si="5"/>
        <v>27486.06</v>
      </c>
      <c r="N79" s="2" t="s">
        <v>38</v>
      </c>
      <c r="O79" s="2" t="s">
        <v>18</v>
      </c>
      <c r="P79" s="2" t="s">
        <v>40</v>
      </c>
    </row>
    <row r="80" spans="1:16" x14ac:dyDescent="0.25">
      <c r="A80" s="3" t="s">
        <v>208</v>
      </c>
      <c r="B80" s="4">
        <v>45114</v>
      </c>
      <c r="C80" s="3" t="s">
        <v>426</v>
      </c>
      <c r="D80" s="3" t="s">
        <v>29</v>
      </c>
      <c r="E80" s="3" t="s">
        <v>30</v>
      </c>
      <c r="F80" s="3" t="s">
        <v>36</v>
      </c>
      <c r="G80" s="3" t="s">
        <v>121</v>
      </c>
      <c r="H80" s="3">
        <v>101107</v>
      </c>
      <c r="I80" s="3">
        <v>5</v>
      </c>
      <c r="J80" s="3">
        <v>15</v>
      </c>
      <c r="K80" s="9">
        <f t="shared" si="3"/>
        <v>505535</v>
      </c>
      <c r="L80" s="9">
        <f t="shared" si="4"/>
        <v>75830.25</v>
      </c>
      <c r="M80" s="10">
        <f t="shared" si="5"/>
        <v>429704.75</v>
      </c>
      <c r="N80" s="3" t="s">
        <v>26</v>
      </c>
      <c r="O80" s="3" t="s">
        <v>18</v>
      </c>
      <c r="P80" s="3" t="s">
        <v>19</v>
      </c>
    </row>
    <row r="81" spans="1:16" x14ac:dyDescent="0.25">
      <c r="A81" s="2" t="s">
        <v>209</v>
      </c>
      <c r="B81" s="4">
        <v>45115</v>
      </c>
      <c r="C81" s="2" t="s">
        <v>185</v>
      </c>
      <c r="D81" s="2" t="s">
        <v>100</v>
      </c>
      <c r="E81" s="2" t="s">
        <v>88</v>
      </c>
      <c r="F81" s="2" t="s">
        <v>110</v>
      </c>
      <c r="G81" s="2" t="s">
        <v>67</v>
      </c>
      <c r="H81" s="2">
        <v>4621.3100000000004</v>
      </c>
      <c r="I81" s="2">
        <v>4</v>
      </c>
      <c r="J81" s="2">
        <v>0</v>
      </c>
      <c r="K81" s="9">
        <f t="shared" si="3"/>
        <v>18485.240000000002</v>
      </c>
      <c r="L81" s="9">
        <f t="shared" si="4"/>
        <v>0</v>
      </c>
      <c r="M81" s="10">
        <f t="shared" si="5"/>
        <v>18485.240000000002</v>
      </c>
      <c r="N81" s="2" t="s">
        <v>33</v>
      </c>
      <c r="O81" s="2" t="s">
        <v>18</v>
      </c>
      <c r="P81" s="2" t="s">
        <v>60</v>
      </c>
    </row>
    <row r="82" spans="1:16" x14ac:dyDescent="0.25">
      <c r="A82" s="3" t="s">
        <v>210</v>
      </c>
      <c r="B82" s="4">
        <v>45116</v>
      </c>
      <c r="C82" s="3" t="s">
        <v>211</v>
      </c>
      <c r="D82" s="3" t="s">
        <v>22</v>
      </c>
      <c r="E82" s="3" t="s">
        <v>23</v>
      </c>
      <c r="F82" s="3" t="s">
        <v>72</v>
      </c>
      <c r="G82" s="3" t="s">
        <v>102</v>
      </c>
      <c r="H82" s="3">
        <v>627.87</v>
      </c>
      <c r="I82" s="3">
        <v>4</v>
      </c>
      <c r="J82" s="3">
        <v>0</v>
      </c>
      <c r="K82" s="9">
        <f t="shared" si="3"/>
        <v>2511.48</v>
      </c>
      <c r="L82" s="9">
        <f t="shared" si="4"/>
        <v>0</v>
      </c>
      <c r="M82" s="10">
        <f t="shared" si="5"/>
        <v>2511.48</v>
      </c>
      <c r="N82" s="3" t="s">
        <v>33</v>
      </c>
      <c r="O82" s="3" t="s">
        <v>39</v>
      </c>
      <c r="P82" s="3" t="s">
        <v>19</v>
      </c>
    </row>
    <row r="83" spans="1:16" x14ac:dyDescent="0.25">
      <c r="A83" s="2" t="s">
        <v>212</v>
      </c>
      <c r="B83" s="4">
        <v>45117</v>
      </c>
      <c r="C83" s="2" t="s">
        <v>263</v>
      </c>
      <c r="D83" s="2" t="s">
        <v>87</v>
      </c>
      <c r="E83" s="2" t="s">
        <v>88</v>
      </c>
      <c r="F83" s="2" t="s">
        <v>31</v>
      </c>
      <c r="G83" s="2" t="s">
        <v>116</v>
      </c>
      <c r="H83" s="2">
        <v>1107.82</v>
      </c>
      <c r="I83" s="2">
        <v>4</v>
      </c>
      <c r="J83" s="2">
        <v>5</v>
      </c>
      <c r="K83" s="9">
        <f t="shared" si="3"/>
        <v>4431.28</v>
      </c>
      <c r="L83" s="9">
        <f t="shared" si="4"/>
        <v>221.56399999999996</v>
      </c>
      <c r="M83" s="10">
        <f t="shared" si="5"/>
        <v>4209.7159999999994</v>
      </c>
      <c r="N83" s="2" t="s">
        <v>68</v>
      </c>
      <c r="O83" s="2" t="s">
        <v>27</v>
      </c>
      <c r="P83" s="2" t="s">
        <v>19</v>
      </c>
    </row>
    <row r="84" spans="1:16" x14ac:dyDescent="0.25">
      <c r="A84" s="3" t="s">
        <v>213</v>
      </c>
      <c r="B84" s="4">
        <v>45118</v>
      </c>
      <c r="C84" s="3" t="s">
        <v>214</v>
      </c>
      <c r="D84" s="3" t="s">
        <v>51</v>
      </c>
      <c r="E84" s="3" t="s">
        <v>14</v>
      </c>
      <c r="F84" s="3" t="s">
        <v>110</v>
      </c>
      <c r="G84" s="3" t="s">
        <v>215</v>
      </c>
      <c r="H84" s="3">
        <v>2561.3200000000002</v>
      </c>
      <c r="I84" s="3">
        <v>4</v>
      </c>
      <c r="J84" s="3">
        <v>0</v>
      </c>
      <c r="K84" s="9">
        <f t="shared" si="3"/>
        <v>10245.280000000001</v>
      </c>
      <c r="L84" s="9">
        <f t="shared" si="4"/>
        <v>0</v>
      </c>
      <c r="M84" s="10">
        <f t="shared" si="5"/>
        <v>10245.280000000001</v>
      </c>
      <c r="N84" s="7" t="s">
        <v>508</v>
      </c>
      <c r="O84" s="3" t="s">
        <v>39</v>
      </c>
      <c r="P84" s="3" t="s">
        <v>40</v>
      </c>
    </row>
    <row r="85" spans="1:16" x14ac:dyDescent="0.25">
      <c r="A85" s="2" t="s">
        <v>216</v>
      </c>
      <c r="B85" s="4">
        <v>45119</v>
      </c>
      <c r="C85" s="2" t="s">
        <v>217</v>
      </c>
      <c r="D85" s="2" t="s">
        <v>100</v>
      </c>
      <c r="E85" s="2" t="s">
        <v>88</v>
      </c>
      <c r="F85" s="2" t="s">
        <v>31</v>
      </c>
      <c r="G85" s="2" t="s">
        <v>70</v>
      </c>
      <c r="H85" s="2">
        <v>645.70000000000005</v>
      </c>
      <c r="I85" s="2">
        <v>4</v>
      </c>
      <c r="J85" s="2">
        <v>0</v>
      </c>
      <c r="K85" s="9">
        <f t="shared" si="3"/>
        <v>2582.8000000000002</v>
      </c>
      <c r="L85" s="9">
        <f t="shared" si="4"/>
        <v>0</v>
      </c>
      <c r="M85" s="10">
        <f t="shared" si="5"/>
        <v>2582.8000000000002</v>
      </c>
      <c r="N85" s="2" t="s">
        <v>68</v>
      </c>
      <c r="O85" s="2" t="s">
        <v>27</v>
      </c>
      <c r="P85" s="2" t="s">
        <v>19</v>
      </c>
    </row>
    <row r="86" spans="1:16" x14ac:dyDescent="0.25">
      <c r="A86" s="3" t="s">
        <v>218</v>
      </c>
      <c r="B86" s="4">
        <v>45120</v>
      </c>
      <c r="C86" s="3" t="s">
        <v>219</v>
      </c>
      <c r="D86" s="3" t="s">
        <v>47</v>
      </c>
      <c r="E86" s="3" t="s">
        <v>48</v>
      </c>
      <c r="F86" s="3" t="s">
        <v>110</v>
      </c>
      <c r="G86" s="3" t="s">
        <v>207</v>
      </c>
      <c r="H86" s="3">
        <v>8588.83</v>
      </c>
      <c r="I86" s="3">
        <v>1</v>
      </c>
      <c r="J86" s="3">
        <v>15</v>
      </c>
      <c r="K86" s="9">
        <f t="shared" si="3"/>
        <v>8588.83</v>
      </c>
      <c r="L86" s="9">
        <f t="shared" si="4"/>
        <v>1288.3244999999999</v>
      </c>
      <c r="M86" s="10">
        <f t="shared" si="5"/>
        <v>7300.5055000000002</v>
      </c>
      <c r="N86" s="3" t="s">
        <v>68</v>
      </c>
      <c r="O86" s="3" t="s">
        <v>18</v>
      </c>
      <c r="P86" s="3" t="s">
        <v>40</v>
      </c>
    </row>
    <row r="87" spans="1:16" x14ac:dyDescent="0.25">
      <c r="A87" s="2" t="s">
        <v>220</v>
      </c>
      <c r="B87" s="4">
        <v>45121</v>
      </c>
      <c r="C87" s="2" t="s">
        <v>221</v>
      </c>
      <c r="D87" s="2" t="s">
        <v>47</v>
      </c>
      <c r="E87" s="2" t="s">
        <v>48</v>
      </c>
      <c r="F87" s="2" t="s">
        <v>110</v>
      </c>
      <c r="G87" s="2" t="s">
        <v>215</v>
      </c>
      <c r="H87" s="2">
        <v>2457.75</v>
      </c>
      <c r="I87" s="2">
        <v>4</v>
      </c>
      <c r="J87" s="2">
        <v>50</v>
      </c>
      <c r="K87" s="9">
        <f t="shared" si="3"/>
        <v>9831</v>
      </c>
      <c r="L87" s="9">
        <f t="shared" si="4"/>
        <v>4915.5</v>
      </c>
      <c r="M87" s="10">
        <f t="shared" si="5"/>
        <v>4915.5</v>
      </c>
      <c r="N87" s="2" t="s">
        <v>26</v>
      </c>
      <c r="O87" s="2" t="s">
        <v>18</v>
      </c>
      <c r="P87" s="2" t="s">
        <v>19</v>
      </c>
    </row>
    <row r="88" spans="1:16" x14ac:dyDescent="0.25">
      <c r="A88" s="3" t="s">
        <v>222</v>
      </c>
      <c r="B88" s="4">
        <v>45122</v>
      </c>
      <c r="C88" s="3" t="s">
        <v>223</v>
      </c>
      <c r="D88" s="3" t="s">
        <v>29</v>
      </c>
      <c r="E88" s="3" t="s">
        <v>30</v>
      </c>
      <c r="F88" s="3" t="s">
        <v>110</v>
      </c>
      <c r="G88" s="3" t="s">
        <v>153</v>
      </c>
      <c r="H88" s="3">
        <v>3754.82</v>
      </c>
      <c r="I88" s="3">
        <v>3</v>
      </c>
      <c r="J88" s="3">
        <v>0</v>
      </c>
      <c r="K88" s="9">
        <f t="shared" si="3"/>
        <v>11264.460000000001</v>
      </c>
      <c r="L88" s="9">
        <f t="shared" si="4"/>
        <v>0</v>
      </c>
      <c r="M88" s="10">
        <f t="shared" si="5"/>
        <v>11264.460000000001</v>
      </c>
      <c r="N88" s="3" t="s">
        <v>38</v>
      </c>
      <c r="O88" s="3" t="s">
        <v>39</v>
      </c>
      <c r="P88" s="3" t="s">
        <v>19</v>
      </c>
    </row>
    <row r="89" spans="1:16" x14ac:dyDescent="0.25">
      <c r="A89" s="2" t="s">
        <v>224</v>
      </c>
      <c r="B89" s="4">
        <v>45123</v>
      </c>
      <c r="C89" s="2" t="s">
        <v>413</v>
      </c>
      <c r="D89" s="2" t="s">
        <v>47</v>
      </c>
      <c r="E89" s="2" t="s">
        <v>48</v>
      </c>
      <c r="F89" s="2" t="s">
        <v>72</v>
      </c>
      <c r="G89" s="2" t="s">
        <v>73</v>
      </c>
      <c r="H89" s="2">
        <v>355.59</v>
      </c>
      <c r="I89" s="2">
        <v>4</v>
      </c>
      <c r="J89" s="2">
        <v>0</v>
      </c>
      <c r="K89" s="9">
        <f t="shared" si="3"/>
        <v>1422.36</v>
      </c>
      <c r="L89" s="9">
        <f t="shared" si="4"/>
        <v>0</v>
      </c>
      <c r="M89" s="10">
        <f t="shared" si="5"/>
        <v>1422.36</v>
      </c>
      <c r="N89" s="2" t="s">
        <v>33</v>
      </c>
      <c r="O89" s="2" t="s">
        <v>52</v>
      </c>
      <c r="P89" s="2" t="s">
        <v>60</v>
      </c>
    </row>
    <row r="90" spans="1:16" x14ac:dyDescent="0.25">
      <c r="A90" s="3" t="s">
        <v>225</v>
      </c>
      <c r="B90" s="4">
        <v>45124</v>
      </c>
      <c r="C90" s="3" t="s">
        <v>665</v>
      </c>
      <c r="D90" s="3" t="s">
        <v>83</v>
      </c>
      <c r="E90" s="3" t="s">
        <v>84</v>
      </c>
      <c r="F90" s="3" t="s">
        <v>43</v>
      </c>
      <c r="G90" s="3" t="s">
        <v>145</v>
      </c>
      <c r="H90" s="3">
        <v>13038.85</v>
      </c>
      <c r="I90" s="3">
        <v>2</v>
      </c>
      <c r="J90" s="3">
        <v>0</v>
      </c>
      <c r="K90" s="9">
        <f t="shared" si="3"/>
        <v>26077.7</v>
      </c>
      <c r="L90" s="9">
        <f t="shared" si="4"/>
        <v>0</v>
      </c>
      <c r="M90" s="10">
        <f t="shared" si="5"/>
        <v>26077.7</v>
      </c>
      <c r="N90" s="3" t="s">
        <v>26</v>
      </c>
      <c r="O90" s="3" t="s">
        <v>52</v>
      </c>
      <c r="P90" s="3" t="s">
        <v>60</v>
      </c>
    </row>
    <row r="91" spans="1:16" x14ac:dyDescent="0.25">
      <c r="A91" s="2" t="s">
        <v>226</v>
      </c>
      <c r="B91" s="4">
        <v>45125</v>
      </c>
      <c r="C91" s="2" t="s">
        <v>214</v>
      </c>
      <c r="D91" s="2" t="s">
        <v>87</v>
      </c>
      <c r="E91" s="2" t="s">
        <v>88</v>
      </c>
      <c r="F91" s="2" t="s">
        <v>15</v>
      </c>
      <c r="G91" s="2" t="s">
        <v>95</v>
      </c>
      <c r="H91" s="2">
        <v>1249.25</v>
      </c>
      <c r="I91" s="2">
        <v>4</v>
      </c>
      <c r="J91" s="2">
        <v>0</v>
      </c>
      <c r="K91" s="9">
        <f t="shared" si="3"/>
        <v>4997</v>
      </c>
      <c r="L91" s="9">
        <f t="shared" si="4"/>
        <v>0</v>
      </c>
      <c r="M91" s="10">
        <f t="shared" si="5"/>
        <v>4997</v>
      </c>
      <c r="N91" s="2" t="s">
        <v>26</v>
      </c>
      <c r="O91" s="2" t="s">
        <v>18</v>
      </c>
      <c r="P91" s="2" t="s">
        <v>40</v>
      </c>
    </row>
    <row r="92" spans="1:16" x14ac:dyDescent="0.25">
      <c r="A92" s="3" t="s">
        <v>227</v>
      </c>
      <c r="B92" s="4">
        <v>45126</v>
      </c>
      <c r="C92" s="3" t="s">
        <v>228</v>
      </c>
      <c r="D92" s="3" t="s">
        <v>87</v>
      </c>
      <c r="E92" s="3" t="s">
        <v>88</v>
      </c>
      <c r="F92" s="3" t="s">
        <v>72</v>
      </c>
      <c r="G92" s="3" t="s">
        <v>81</v>
      </c>
      <c r="H92" s="3">
        <v>1612.26</v>
      </c>
      <c r="I92" s="3">
        <v>4</v>
      </c>
      <c r="J92" s="3">
        <v>15</v>
      </c>
      <c r="K92" s="9">
        <f t="shared" si="3"/>
        <v>6449.04</v>
      </c>
      <c r="L92" s="9">
        <f t="shared" si="4"/>
        <v>967.35600000000011</v>
      </c>
      <c r="M92" s="10">
        <f t="shared" si="5"/>
        <v>5481.6840000000002</v>
      </c>
      <c r="N92" s="3" t="s">
        <v>17</v>
      </c>
      <c r="O92" s="3" t="s">
        <v>18</v>
      </c>
      <c r="P92" s="3" t="s">
        <v>40</v>
      </c>
    </row>
    <row r="93" spans="1:16" x14ac:dyDescent="0.25">
      <c r="A93" s="2" t="s">
        <v>229</v>
      </c>
      <c r="B93" s="4">
        <v>45127</v>
      </c>
      <c r="C93" s="2" t="s">
        <v>541</v>
      </c>
      <c r="D93" s="2" t="s">
        <v>100</v>
      </c>
      <c r="E93" s="2" t="s">
        <v>88</v>
      </c>
      <c r="F93" s="2" t="s">
        <v>36</v>
      </c>
      <c r="G93" s="2" t="s">
        <v>37</v>
      </c>
      <c r="H93" s="2">
        <v>12675.66</v>
      </c>
      <c r="I93" s="2">
        <v>3</v>
      </c>
      <c r="J93" s="2">
        <v>15</v>
      </c>
      <c r="K93" s="9">
        <f t="shared" si="3"/>
        <v>38026.979999999996</v>
      </c>
      <c r="L93" s="9">
        <f t="shared" si="4"/>
        <v>5704.0469999999996</v>
      </c>
      <c r="M93" s="10">
        <f t="shared" si="5"/>
        <v>32322.932999999997</v>
      </c>
      <c r="N93" s="2" t="s">
        <v>17</v>
      </c>
      <c r="O93" s="2" t="s">
        <v>27</v>
      </c>
      <c r="P93" s="2" t="s">
        <v>60</v>
      </c>
    </row>
    <row r="94" spans="1:16" x14ac:dyDescent="0.25">
      <c r="A94" s="3" t="s">
        <v>230</v>
      </c>
      <c r="B94" s="4">
        <v>45128</v>
      </c>
      <c r="C94" s="3" t="s">
        <v>231</v>
      </c>
      <c r="D94" s="3" t="s">
        <v>83</v>
      </c>
      <c r="E94" s="3" t="s">
        <v>84</v>
      </c>
      <c r="F94" s="3" t="s">
        <v>43</v>
      </c>
      <c r="G94" s="3" t="s">
        <v>105</v>
      </c>
      <c r="H94" s="3">
        <v>2871.01</v>
      </c>
      <c r="I94" s="3">
        <v>4</v>
      </c>
      <c r="J94" s="3">
        <v>0</v>
      </c>
      <c r="K94" s="9">
        <f t="shared" si="3"/>
        <v>11484.04</v>
      </c>
      <c r="L94" s="9">
        <f t="shared" si="4"/>
        <v>0</v>
      </c>
      <c r="M94" s="10">
        <f t="shared" si="5"/>
        <v>11484.04</v>
      </c>
      <c r="N94" s="7" t="s">
        <v>508</v>
      </c>
      <c r="O94" s="3" t="s">
        <v>52</v>
      </c>
      <c r="P94" s="3" t="s">
        <v>40</v>
      </c>
    </row>
    <row r="95" spans="1:16" x14ac:dyDescent="0.25">
      <c r="A95" s="2" t="s">
        <v>232</v>
      </c>
      <c r="B95" s="4">
        <v>45129</v>
      </c>
      <c r="C95" s="2" t="s">
        <v>97</v>
      </c>
      <c r="D95" s="2" t="s">
        <v>47</v>
      </c>
      <c r="E95" s="2" t="s">
        <v>48</v>
      </c>
      <c r="F95" s="2" t="s">
        <v>24</v>
      </c>
      <c r="G95" s="2" t="s">
        <v>170</v>
      </c>
      <c r="H95" s="2">
        <v>1101.69</v>
      </c>
      <c r="I95" s="2">
        <v>1</v>
      </c>
      <c r="J95" s="2">
        <v>15</v>
      </c>
      <c r="K95" s="9">
        <f t="shared" si="3"/>
        <v>1101.69</v>
      </c>
      <c r="L95" s="9">
        <f t="shared" si="4"/>
        <v>165.25350000000003</v>
      </c>
      <c r="M95" s="10">
        <f t="shared" si="5"/>
        <v>936.43650000000002</v>
      </c>
      <c r="N95" s="2" t="s">
        <v>68</v>
      </c>
      <c r="O95" s="2" t="s">
        <v>18</v>
      </c>
      <c r="P95" s="2" t="s">
        <v>53</v>
      </c>
    </row>
    <row r="96" spans="1:16" x14ac:dyDescent="0.25">
      <c r="A96" s="3" t="s">
        <v>233</v>
      </c>
      <c r="B96" s="4">
        <v>45130</v>
      </c>
      <c r="C96" s="3" t="s">
        <v>234</v>
      </c>
      <c r="D96" s="3" t="s">
        <v>13</v>
      </c>
      <c r="E96" s="3" t="s">
        <v>14</v>
      </c>
      <c r="F96" s="3" t="s">
        <v>31</v>
      </c>
      <c r="G96" s="3" t="s">
        <v>32</v>
      </c>
      <c r="H96" s="3">
        <v>2396.6799999999998</v>
      </c>
      <c r="I96" s="3">
        <v>3</v>
      </c>
      <c r="J96" s="3">
        <v>5</v>
      </c>
      <c r="K96" s="9">
        <f t="shared" si="3"/>
        <v>7190.0399999999991</v>
      </c>
      <c r="L96" s="9">
        <f t="shared" si="4"/>
        <v>359.50199999999995</v>
      </c>
      <c r="M96" s="10">
        <f t="shared" si="5"/>
        <v>6830.5379999999986</v>
      </c>
      <c r="N96" s="3" t="s">
        <v>26</v>
      </c>
      <c r="O96" s="3" t="s">
        <v>18</v>
      </c>
      <c r="P96" s="3" t="s">
        <v>19</v>
      </c>
    </row>
    <row r="97" spans="1:16" x14ac:dyDescent="0.25">
      <c r="A97" s="2" t="s">
        <v>235</v>
      </c>
      <c r="B97" s="4">
        <v>45131</v>
      </c>
      <c r="C97" s="2" t="s">
        <v>165</v>
      </c>
      <c r="D97" s="2" t="s">
        <v>100</v>
      </c>
      <c r="E97" s="2" t="s">
        <v>88</v>
      </c>
      <c r="F97" s="2" t="s">
        <v>24</v>
      </c>
      <c r="G97" s="2" t="s">
        <v>25</v>
      </c>
      <c r="H97" s="2">
        <v>4121.07</v>
      </c>
      <c r="I97" s="2">
        <v>4</v>
      </c>
      <c r="J97" s="2">
        <v>15</v>
      </c>
      <c r="K97" s="9">
        <f t="shared" si="3"/>
        <v>16484.28</v>
      </c>
      <c r="L97" s="9">
        <f t="shared" si="4"/>
        <v>2472.6419999999998</v>
      </c>
      <c r="M97" s="10">
        <f t="shared" si="5"/>
        <v>14011.637999999999</v>
      </c>
      <c r="N97" s="2" t="s">
        <v>26</v>
      </c>
      <c r="O97" s="2" t="s">
        <v>18</v>
      </c>
      <c r="P97" s="2" t="s">
        <v>19</v>
      </c>
    </row>
    <row r="98" spans="1:16" x14ac:dyDescent="0.25">
      <c r="A98" s="3" t="s">
        <v>236</v>
      </c>
      <c r="B98" s="4">
        <v>45132</v>
      </c>
      <c r="C98" s="3" t="s">
        <v>237</v>
      </c>
      <c r="D98" s="3" t="s">
        <v>47</v>
      </c>
      <c r="E98" s="3" t="s">
        <v>48</v>
      </c>
      <c r="F98" s="3" t="s">
        <v>43</v>
      </c>
      <c r="G98" s="3" t="s">
        <v>105</v>
      </c>
      <c r="H98" s="3">
        <v>2893.43</v>
      </c>
      <c r="I98" s="3">
        <v>4</v>
      </c>
      <c r="J98" s="3">
        <v>5</v>
      </c>
      <c r="K98" s="9">
        <f t="shared" si="3"/>
        <v>11573.72</v>
      </c>
      <c r="L98" s="9">
        <f t="shared" si="4"/>
        <v>578.68600000000004</v>
      </c>
      <c r="M98" s="10">
        <f t="shared" si="5"/>
        <v>10995.034</v>
      </c>
      <c r="N98" s="3" t="s">
        <v>17</v>
      </c>
      <c r="O98" s="3" t="s">
        <v>18</v>
      </c>
      <c r="P98" s="3" t="s">
        <v>40</v>
      </c>
    </row>
    <row r="99" spans="1:16" x14ac:dyDescent="0.25">
      <c r="A99" s="2" t="s">
        <v>238</v>
      </c>
      <c r="B99" s="4">
        <v>45133</v>
      </c>
      <c r="C99" s="2" t="s">
        <v>239</v>
      </c>
      <c r="D99" s="2" t="s">
        <v>47</v>
      </c>
      <c r="E99" s="2" t="s">
        <v>48</v>
      </c>
      <c r="F99" s="2" t="s">
        <v>15</v>
      </c>
      <c r="G99" s="2" t="s">
        <v>95</v>
      </c>
      <c r="H99" s="2">
        <v>1245.68</v>
      </c>
      <c r="I99" s="2">
        <v>4</v>
      </c>
      <c r="J99" s="2">
        <v>0</v>
      </c>
      <c r="K99" s="9">
        <f t="shared" si="3"/>
        <v>4982.72</v>
      </c>
      <c r="L99" s="9">
        <f t="shared" si="4"/>
        <v>0</v>
      </c>
      <c r="M99" s="10">
        <f t="shared" si="5"/>
        <v>4982.72</v>
      </c>
      <c r="N99" s="2" t="s">
        <v>26</v>
      </c>
      <c r="O99" s="2" t="s">
        <v>18</v>
      </c>
      <c r="P99" s="2" t="s">
        <v>60</v>
      </c>
    </row>
    <row r="100" spans="1:16" x14ac:dyDescent="0.25">
      <c r="A100" s="3" t="s">
        <v>240</v>
      </c>
      <c r="B100" s="4">
        <v>45134</v>
      </c>
      <c r="C100" s="3" t="s">
        <v>241</v>
      </c>
      <c r="D100" s="3" t="s">
        <v>29</v>
      </c>
      <c r="E100" s="3" t="s">
        <v>30</v>
      </c>
      <c r="F100" s="3" t="s">
        <v>31</v>
      </c>
      <c r="G100" s="3" t="s">
        <v>242</v>
      </c>
      <c r="H100" s="3">
        <v>863.26</v>
      </c>
      <c r="I100" s="3">
        <v>3</v>
      </c>
      <c r="J100" s="3">
        <v>10</v>
      </c>
      <c r="K100" s="9">
        <f t="shared" si="3"/>
        <v>2589.7799999999997</v>
      </c>
      <c r="L100" s="9">
        <f t="shared" si="4"/>
        <v>258.97799999999995</v>
      </c>
      <c r="M100" s="10">
        <f t="shared" si="5"/>
        <v>2330.8019999999997</v>
      </c>
      <c r="N100" s="3" t="s">
        <v>33</v>
      </c>
      <c r="O100" s="3" t="s">
        <v>18</v>
      </c>
      <c r="P100" s="3" t="s">
        <v>40</v>
      </c>
    </row>
    <row r="101" spans="1:16" x14ac:dyDescent="0.25">
      <c r="A101" s="2" t="s">
        <v>243</v>
      </c>
      <c r="B101" s="4">
        <v>45135</v>
      </c>
      <c r="C101" s="2" t="s">
        <v>244</v>
      </c>
      <c r="D101" s="2" t="s">
        <v>13</v>
      </c>
      <c r="E101" s="2" t="s">
        <v>14</v>
      </c>
      <c r="F101" s="2" t="s">
        <v>110</v>
      </c>
      <c r="G101" s="2" t="s">
        <v>67</v>
      </c>
      <c r="H101" s="2">
        <v>4799.5600000000004</v>
      </c>
      <c r="I101" s="2">
        <v>3</v>
      </c>
      <c r="J101" s="2">
        <v>0</v>
      </c>
      <c r="K101" s="9">
        <f t="shared" si="3"/>
        <v>14398.68</v>
      </c>
      <c r="L101" s="9">
        <f t="shared" si="4"/>
        <v>0</v>
      </c>
      <c r="M101" s="10">
        <f t="shared" si="5"/>
        <v>14398.68</v>
      </c>
      <c r="N101" s="2" t="s">
        <v>17</v>
      </c>
      <c r="O101" s="2" t="s">
        <v>39</v>
      </c>
      <c r="P101" s="2" t="s">
        <v>34</v>
      </c>
    </row>
    <row r="102" spans="1:16" x14ac:dyDescent="0.25">
      <c r="A102" s="3" t="s">
        <v>245</v>
      </c>
      <c r="B102" s="4">
        <v>45136</v>
      </c>
      <c r="C102" s="3" t="s">
        <v>246</v>
      </c>
      <c r="D102" s="3" t="s">
        <v>29</v>
      </c>
      <c r="E102" s="3" t="s">
        <v>30</v>
      </c>
      <c r="F102" s="3" t="s">
        <v>31</v>
      </c>
      <c r="G102" s="3" t="s">
        <v>186</v>
      </c>
      <c r="H102" s="3">
        <v>820.52</v>
      </c>
      <c r="I102" s="3">
        <v>1</v>
      </c>
      <c r="J102" s="3">
        <v>0</v>
      </c>
      <c r="K102" s="9">
        <f t="shared" si="3"/>
        <v>820.52</v>
      </c>
      <c r="L102" s="9">
        <f t="shared" si="4"/>
        <v>0</v>
      </c>
      <c r="M102" s="10">
        <f t="shared" si="5"/>
        <v>820.52</v>
      </c>
      <c r="N102" s="3" t="s">
        <v>33</v>
      </c>
      <c r="O102" s="3" t="s">
        <v>18</v>
      </c>
      <c r="P102" s="3" t="s">
        <v>19</v>
      </c>
    </row>
    <row r="103" spans="1:16" x14ac:dyDescent="0.25">
      <c r="A103" s="2" t="s">
        <v>247</v>
      </c>
      <c r="B103" s="4">
        <v>45137</v>
      </c>
      <c r="C103" s="2" t="s">
        <v>248</v>
      </c>
      <c r="D103" s="2" t="s">
        <v>22</v>
      </c>
      <c r="E103" s="2" t="s">
        <v>23</v>
      </c>
      <c r="F103" s="2" t="s">
        <v>31</v>
      </c>
      <c r="G103" s="2" t="s">
        <v>116</v>
      </c>
      <c r="H103" s="2">
        <v>1259.4000000000001</v>
      </c>
      <c r="I103" s="2">
        <v>2</v>
      </c>
      <c r="J103" s="2">
        <v>0</v>
      </c>
      <c r="K103" s="9">
        <f t="shared" si="3"/>
        <v>2518.8000000000002</v>
      </c>
      <c r="L103" s="9">
        <f t="shared" si="4"/>
        <v>0</v>
      </c>
      <c r="M103" s="10">
        <f t="shared" si="5"/>
        <v>2518.8000000000002</v>
      </c>
      <c r="N103" s="2" t="s">
        <v>26</v>
      </c>
      <c r="O103" s="2" t="s">
        <v>39</v>
      </c>
      <c r="P103" s="2" t="s">
        <v>19</v>
      </c>
    </row>
    <row r="104" spans="1:16" x14ac:dyDescent="0.25">
      <c r="A104" s="3" t="s">
        <v>249</v>
      </c>
      <c r="B104" s="4">
        <v>45138</v>
      </c>
      <c r="C104" s="3" t="s">
        <v>250</v>
      </c>
      <c r="D104" s="3" t="s">
        <v>47</v>
      </c>
      <c r="E104" s="3" t="s">
        <v>48</v>
      </c>
      <c r="F104" s="3" t="s">
        <v>72</v>
      </c>
      <c r="G104" s="3" t="s">
        <v>102</v>
      </c>
      <c r="H104" s="3">
        <v>618.41</v>
      </c>
      <c r="I104" s="3">
        <v>4</v>
      </c>
      <c r="J104" s="3">
        <v>5</v>
      </c>
      <c r="K104" s="9">
        <f t="shared" si="3"/>
        <v>2473.64</v>
      </c>
      <c r="L104" s="9">
        <f t="shared" si="4"/>
        <v>123.68199999999999</v>
      </c>
      <c r="M104" s="10">
        <f t="shared" si="5"/>
        <v>2349.9580000000001</v>
      </c>
      <c r="N104" s="3" t="s">
        <v>38</v>
      </c>
      <c r="O104" s="3" t="s">
        <v>39</v>
      </c>
      <c r="P104" s="3" t="s">
        <v>40</v>
      </c>
    </row>
    <row r="105" spans="1:16" x14ac:dyDescent="0.25">
      <c r="A105" s="2" t="s">
        <v>251</v>
      </c>
      <c r="B105" s="4">
        <v>45139</v>
      </c>
      <c r="C105" s="2" t="s">
        <v>252</v>
      </c>
      <c r="D105" s="2" t="s">
        <v>51</v>
      </c>
      <c r="E105" s="2" t="s">
        <v>14</v>
      </c>
      <c r="F105" s="2" t="s">
        <v>72</v>
      </c>
      <c r="G105" s="2" t="s">
        <v>129</v>
      </c>
      <c r="H105" s="2">
        <v>1968.22</v>
      </c>
      <c r="I105" s="2">
        <v>5</v>
      </c>
      <c r="J105" s="2">
        <v>0</v>
      </c>
      <c r="K105" s="9">
        <f t="shared" si="3"/>
        <v>9841.1</v>
      </c>
      <c r="L105" s="9">
        <f t="shared" si="4"/>
        <v>0</v>
      </c>
      <c r="M105" s="10">
        <f t="shared" si="5"/>
        <v>9841.1</v>
      </c>
      <c r="N105" s="2" t="s">
        <v>68</v>
      </c>
      <c r="O105" s="2" t="s">
        <v>39</v>
      </c>
      <c r="P105" s="2" t="s">
        <v>60</v>
      </c>
    </row>
    <row r="106" spans="1:16" x14ac:dyDescent="0.25">
      <c r="A106" s="3" t="s">
        <v>253</v>
      </c>
      <c r="B106" s="4">
        <v>45140</v>
      </c>
      <c r="C106" s="3" t="s">
        <v>217</v>
      </c>
      <c r="D106" s="3" t="s">
        <v>22</v>
      </c>
      <c r="E106" s="3" t="s">
        <v>23</v>
      </c>
      <c r="F106" s="3" t="s">
        <v>43</v>
      </c>
      <c r="G106" s="3" t="s">
        <v>105</v>
      </c>
      <c r="H106" s="3">
        <v>2896.78</v>
      </c>
      <c r="I106" s="3">
        <v>3</v>
      </c>
      <c r="J106" s="3">
        <v>0</v>
      </c>
      <c r="K106" s="9">
        <f t="shared" si="3"/>
        <v>8690.34</v>
      </c>
      <c r="L106" s="9">
        <f t="shared" si="4"/>
        <v>0</v>
      </c>
      <c r="M106" s="10">
        <f t="shared" si="5"/>
        <v>8690.34</v>
      </c>
      <c r="N106" s="3" t="s">
        <v>33</v>
      </c>
      <c r="O106" s="3" t="s">
        <v>39</v>
      </c>
      <c r="P106" s="3" t="s">
        <v>34</v>
      </c>
    </row>
    <row r="107" spans="1:16" x14ac:dyDescent="0.25">
      <c r="A107" s="2" t="s">
        <v>254</v>
      </c>
      <c r="B107" s="4">
        <v>45141</v>
      </c>
      <c r="C107" s="2" t="s">
        <v>46</v>
      </c>
      <c r="D107" s="2" t="s">
        <v>76</v>
      </c>
      <c r="E107" s="2" t="s">
        <v>77</v>
      </c>
      <c r="F107" s="2" t="s">
        <v>36</v>
      </c>
      <c r="G107" s="2" t="s">
        <v>113</v>
      </c>
      <c r="H107" s="2">
        <v>129221.64</v>
      </c>
      <c r="I107" s="2">
        <v>5</v>
      </c>
      <c r="J107" s="2">
        <v>15</v>
      </c>
      <c r="K107" s="9">
        <f t="shared" si="3"/>
        <v>646108.19999999995</v>
      </c>
      <c r="L107" s="9">
        <f t="shared" si="4"/>
        <v>96916.23</v>
      </c>
      <c r="M107" s="10">
        <f t="shared" si="5"/>
        <v>549191.97</v>
      </c>
      <c r="N107" s="2" t="s">
        <v>17</v>
      </c>
      <c r="O107" s="2" t="s">
        <v>18</v>
      </c>
      <c r="P107" s="2" t="s">
        <v>40</v>
      </c>
    </row>
    <row r="108" spans="1:16" x14ac:dyDescent="0.25">
      <c r="A108" s="3" t="s">
        <v>255</v>
      </c>
      <c r="B108" s="4">
        <v>45142</v>
      </c>
      <c r="C108" s="3" t="s">
        <v>256</v>
      </c>
      <c r="D108" s="3" t="s">
        <v>47</v>
      </c>
      <c r="E108" s="3" t="s">
        <v>48</v>
      </c>
      <c r="F108" s="3" t="s">
        <v>15</v>
      </c>
      <c r="G108" s="3" t="s">
        <v>95</v>
      </c>
      <c r="H108" s="3">
        <v>1108</v>
      </c>
      <c r="I108" s="3">
        <v>1</v>
      </c>
      <c r="J108" s="3">
        <v>0</v>
      </c>
      <c r="K108" s="9">
        <f t="shared" si="3"/>
        <v>1108</v>
      </c>
      <c r="L108" s="9">
        <f t="shared" si="4"/>
        <v>0</v>
      </c>
      <c r="M108" s="10">
        <f t="shared" si="5"/>
        <v>1108</v>
      </c>
      <c r="N108" s="3" t="s">
        <v>38</v>
      </c>
      <c r="O108" s="3" t="s">
        <v>18</v>
      </c>
      <c r="P108" s="3" t="s">
        <v>40</v>
      </c>
    </row>
    <row r="109" spans="1:16" x14ac:dyDescent="0.25">
      <c r="A109" s="2" t="s">
        <v>257</v>
      </c>
      <c r="B109" s="4">
        <v>45143</v>
      </c>
      <c r="C109" s="2" t="s">
        <v>258</v>
      </c>
      <c r="D109" s="2" t="s">
        <v>100</v>
      </c>
      <c r="E109" s="2" t="s">
        <v>88</v>
      </c>
      <c r="F109" s="2" t="s">
        <v>43</v>
      </c>
      <c r="G109" s="2" t="s">
        <v>145</v>
      </c>
      <c r="H109" s="2">
        <v>11690.43</v>
      </c>
      <c r="I109" s="2">
        <v>5</v>
      </c>
      <c r="J109" s="2">
        <v>5</v>
      </c>
      <c r="K109" s="9">
        <f t="shared" si="3"/>
        <v>58452.15</v>
      </c>
      <c r="L109" s="9">
        <f t="shared" si="4"/>
        <v>2922.6075000000001</v>
      </c>
      <c r="M109" s="10">
        <f t="shared" si="5"/>
        <v>55529.542500000003</v>
      </c>
      <c r="N109" s="2" t="s">
        <v>17</v>
      </c>
      <c r="O109" s="2" t="s">
        <v>27</v>
      </c>
      <c r="P109" s="2" t="s">
        <v>53</v>
      </c>
    </row>
    <row r="110" spans="1:16" x14ac:dyDescent="0.25">
      <c r="A110" s="3" t="s">
        <v>259</v>
      </c>
      <c r="B110" s="4">
        <v>45144</v>
      </c>
      <c r="C110" s="3" t="s">
        <v>12</v>
      </c>
      <c r="D110" s="3" t="s">
        <v>76</v>
      </c>
      <c r="E110" s="3" t="s">
        <v>77</v>
      </c>
      <c r="F110" s="3" t="s">
        <v>110</v>
      </c>
      <c r="G110" s="3" t="s">
        <v>67</v>
      </c>
      <c r="H110" s="3">
        <v>4895.1499999999996</v>
      </c>
      <c r="I110" s="3">
        <v>3</v>
      </c>
      <c r="J110" s="3">
        <v>5</v>
      </c>
      <c r="K110" s="9">
        <f t="shared" si="3"/>
        <v>14685.449999999999</v>
      </c>
      <c r="L110" s="9">
        <f t="shared" si="4"/>
        <v>734.27250000000004</v>
      </c>
      <c r="M110" s="10">
        <f t="shared" si="5"/>
        <v>13951.177499999998</v>
      </c>
      <c r="N110" s="3" t="s">
        <v>38</v>
      </c>
      <c r="O110" s="3" t="s">
        <v>18</v>
      </c>
      <c r="P110" s="3" t="s">
        <v>60</v>
      </c>
    </row>
    <row r="111" spans="1:16" x14ac:dyDescent="0.25">
      <c r="A111" s="2" t="s">
        <v>260</v>
      </c>
      <c r="B111" s="4">
        <v>45145</v>
      </c>
      <c r="C111" s="2" t="s">
        <v>261</v>
      </c>
      <c r="D111" s="2" t="s">
        <v>22</v>
      </c>
      <c r="E111" s="2" t="s">
        <v>23</v>
      </c>
      <c r="F111" s="2" t="s">
        <v>15</v>
      </c>
      <c r="G111" s="2" t="s">
        <v>16</v>
      </c>
      <c r="H111" s="2">
        <v>1513.34</v>
      </c>
      <c r="I111" s="2">
        <v>3</v>
      </c>
      <c r="J111" s="2">
        <v>0</v>
      </c>
      <c r="K111" s="9">
        <f t="shared" si="3"/>
        <v>4540.0199999999995</v>
      </c>
      <c r="L111" s="9">
        <f t="shared" si="4"/>
        <v>0</v>
      </c>
      <c r="M111" s="10">
        <f t="shared" si="5"/>
        <v>4540.0199999999995</v>
      </c>
      <c r="N111" s="2" t="s">
        <v>33</v>
      </c>
      <c r="O111" s="2" t="s">
        <v>18</v>
      </c>
      <c r="P111" s="2" t="s">
        <v>53</v>
      </c>
    </row>
    <row r="112" spans="1:16" x14ac:dyDescent="0.25">
      <c r="A112" s="3" t="s">
        <v>262</v>
      </c>
      <c r="B112" s="4">
        <v>45146</v>
      </c>
      <c r="C112" s="3" t="s">
        <v>263</v>
      </c>
      <c r="D112" s="3" t="s">
        <v>51</v>
      </c>
      <c r="E112" s="3" t="s">
        <v>14</v>
      </c>
      <c r="F112" s="3" t="s">
        <v>15</v>
      </c>
      <c r="G112" s="3" t="s">
        <v>56</v>
      </c>
      <c r="H112" s="3">
        <v>1969.59</v>
      </c>
      <c r="I112" s="3">
        <v>1</v>
      </c>
      <c r="J112" s="3">
        <v>0</v>
      </c>
      <c r="K112" s="9">
        <f t="shared" si="3"/>
        <v>1969.59</v>
      </c>
      <c r="L112" s="9">
        <f t="shared" si="4"/>
        <v>0</v>
      </c>
      <c r="M112" s="10">
        <f t="shared" si="5"/>
        <v>1969.59</v>
      </c>
      <c r="N112" s="3" t="s">
        <v>26</v>
      </c>
      <c r="O112" s="3" t="s">
        <v>18</v>
      </c>
      <c r="P112" s="3" t="s">
        <v>19</v>
      </c>
    </row>
    <row r="113" spans="1:16" x14ac:dyDescent="0.25">
      <c r="A113" s="2" t="s">
        <v>264</v>
      </c>
      <c r="B113" s="4">
        <v>45147</v>
      </c>
      <c r="C113" s="2" t="s">
        <v>265</v>
      </c>
      <c r="D113" s="2" t="s">
        <v>51</v>
      </c>
      <c r="E113" s="2" t="s">
        <v>14</v>
      </c>
      <c r="F113" s="2" t="s">
        <v>110</v>
      </c>
      <c r="G113" s="2" t="s">
        <v>153</v>
      </c>
      <c r="H113" s="2">
        <v>3719.14</v>
      </c>
      <c r="I113" s="2">
        <v>2</v>
      </c>
      <c r="J113" s="2">
        <v>0</v>
      </c>
      <c r="K113" s="9">
        <f t="shared" si="3"/>
        <v>7438.28</v>
      </c>
      <c r="L113" s="9">
        <f t="shared" si="4"/>
        <v>0</v>
      </c>
      <c r="M113" s="10">
        <f t="shared" si="5"/>
        <v>7438.28</v>
      </c>
      <c r="N113" s="2" t="s">
        <v>26</v>
      </c>
      <c r="O113" s="2" t="s">
        <v>39</v>
      </c>
      <c r="P113" s="2" t="s">
        <v>19</v>
      </c>
    </row>
    <row r="114" spans="1:16" x14ac:dyDescent="0.25">
      <c r="A114" s="3" t="s">
        <v>266</v>
      </c>
      <c r="B114" s="4">
        <v>45148</v>
      </c>
      <c r="C114" s="3" t="s">
        <v>62</v>
      </c>
      <c r="D114" s="3" t="s">
        <v>100</v>
      </c>
      <c r="E114" s="3" t="s">
        <v>88</v>
      </c>
      <c r="F114" s="3" t="s">
        <v>110</v>
      </c>
      <c r="G114" s="3" t="s">
        <v>215</v>
      </c>
      <c r="H114" s="3">
        <v>2649.26</v>
      </c>
      <c r="I114" s="3">
        <v>1</v>
      </c>
      <c r="J114" s="3">
        <v>0</v>
      </c>
      <c r="K114" s="9">
        <f t="shared" si="3"/>
        <v>2649.26</v>
      </c>
      <c r="L114" s="9">
        <f t="shared" si="4"/>
        <v>0</v>
      </c>
      <c r="M114" s="10">
        <f t="shared" si="5"/>
        <v>2649.26</v>
      </c>
      <c r="N114" s="3" t="s">
        <v>68</v>
      </c>
      <c r="O114" s="3" t="s">
        <v>18</v>
      </c>
      <c r="P114" s="3" t="s">
        <v>40</v>
      </c>
    </row>
    <row r="115" spans="1:16" x14ac:dyDescent="0.25">
      <c r="A115" s="2" t="s">
        <v>267</v>
      </c>
      <c r="B115" s="4">
        <v>45149</v>
      </c>
      <c r="C115" s="2" t="s">
        <v>268</v>
      </c>
      <c r="D115" s="2" t="s">
        <v>87</v>
      </c>
      <c r="E115" s="2" t="s">
        <v>88</v>
      </c>
      <c r="F115" s="2" t="s">
        <v>36</v>
      </c>
      <c r="G115" s="2" t="s">
        <v>49</v>
      </c>
      <c r="H115" s="2">
        <v>142961.03</v>
      </c>
      <c r="I115" s="2">
        <v>2</v>
      </c>
      <c r="J115" s="2">
        <v>5</v>
      </c>
      <c r="K115" s="9">
        <f t="shared" si="3"/>
        <v>285922.06</v>
      </c>
      <c r="L115" s="9">
        <f t="shared" si="4"/>
        <v>14296.103000000001</v>
      </c>
      <c r="M115" s="10">
        <f t="shared" si="5"/>
        <v>271625.95699999999</v>
      </c>
      <c r="N115" s="2" t="s">
        <v>17</v>
      </c>
      <c r="O115" s="2" t="s">
        <v>18</v>
      </c>
      <c r="P115" s="2" t="s">
        <v>40</v>
      </c>
    </row>
    <row r="116" spans="1:16" x14ac:dyDescent="0.25">
      <c r="A116" s="3" t="s">
        <v>269</v>
      </c>
      <c r="B116" s="4">
        <v>45150</v>
      </c>
      <c r="C116" s="3" t="s">
        <v>270</v>
      </c>
      <c r="D116" s="3" t="s">
        <v>83</v>
      </c>
      <c r="E116" s="3" t="s">
        <v>84</v>
      </c>
      <c r="F116" s="3" t="s">
        <v>110</v>
      </c>
      <c r="G116" s="3" t="s">
        <v>207</v>
      </c>
      <c r="H116" s="3">
        <v>8418.41</v>
      </c>
      <c r="I116" s="3">
        <v>2</v>
      </c>
      <c r="J116" s="3">
        <v>0</v>
      </c>
      <c r="K116" s="9">
        <f t="shared" si="3"/>
        <v>16836.82</v>
      </c>
      <c r="L116" s="9">
        <f t="shared" si="4"/>
        <v>0</v>
      </c>
      <c r="M116" s="10">
        <f t="shared" si="5"/>
        <v>16836.82</v>
      </c>
      <c r="N116" s="3" t="s">
        <v>68</v>
      </c>
      <c r="O116" s="3" t="s">
        <v>27</v>
      </c>
      <c r="P116" s="3" t="s">
        <v>19</v>
      </c>
    </row>
    <row r="117" spans="1:16" x14ac:dyDescent="0.25">
      <c r="A117" s="2" t="s">
        <v>271</v>
      </c>
      <c r="B117" s="4">
        <v>45151</v>
      </c>
      <c r="C117" s="2" t="s">
        <v>272</v>
      </c>
      <c r="D117" s="2" t="s">
        <v>13</v>
      </c>
      <c r="E117" s="2" t="s">
        <v>14</v>
      </c>
      <c r="F117" s="2" t="s">
        <v>36</v>
      </c>
      <c r="G117" s="2" t="s">
        <v>37</v>
      </c>
      <c r="H117" s="2">
        <v>12833.52</v>
      </c>
      <c r="I117" s="2">
        <v>4</v>
      </c>
      <c r="J117" s="2">
        <v>0</v>
      </c>
      <c r="K117" s="9">
        <f t="shared" si="3"/>
        <v>51334.080000000002</v>
      </c>
      <c r="L117" s="9">
        <f t="shared" si="4"/>
        <v>0</v>
      </c>
      <c r="M117" s="10">
        <f t="shared" si="5"/>
        <v>51334.080000000002</v>
      </c>
      <c r="N117" s="2" t="s">
        <v>68</v>
      </c>
      <c r="O117" s="2" t="s">
        <v>18</v>
      </c>
      <c r="P117" s="2" t="s">
        <v>60</v>
      </c>
    </row>
    <row r="118" spans="1:16" x14ac:dyDescent="0.25">
      <c r="A118" s="3" t="s">
        <v>273</v>
      </c>
      <c r="B118" s="4">
        <v>45152</v>
      </c>
      <c r="C118" s="3" t="s">
        <v>231</v>
      </c>
      <c r="D118" s="3" t="s">
        <v>29</v>
      </c>
      <c r="E118" s="3" t="s">
        <v>30</v>
      </c>
      <c r="F118" s="3" t="s">
        <v>24</v>
      </c>
      <c r="G118" s="3" t="s">
        <v>92</v>
      </c>
      <c r="H118" s="3">
        <v>1387.86</v>
      </c>
      <c r="I118" s="3">
        <v>5</v>
      </c>
      <c r="J118" s="3">
        <v>5</v>
      </c>
      <c r="K118" s="9">
        <f t="shared" si="3"/>
        <v>6939.2999999999993</v>
      </c>
      <c r="L118" s="9">
        <f t="shared" si="4"/>
        <v>346.96499999999997</v>
      </c>
      <c r="M118" s="10">
        <f t="shared" si="5"/>
        <v>6592.3349999999991</v>
      </c>
      <c r="N118" s="3" t="s">
        <v>17</v>
      </c>
      <c r="O118" s="3" t="s">
        <v>52</v>
      </c>
      <c r="P118" s="3" t="s">
        <v>34</v>
      </c>
    </row>
    <row r="119" spans="1:16" x14ac:dyDescent="0.25">
      <c r="A119" s="2" t="s">
        <v>274</v>
      </c>
      <c r="B119" s="4">
        <v>45153</v>
      </c>
      <c r="C119" s="2" t="s">
        <v>275</v>
      </c>
      <c r="D119" s="2" t="s">
        <v>47</v>
      </c>
      <c r="E119" s="2" t="s">
        <v>48</v>
      </c>
      <c r="F119" s="2" t="s">
        <v>43</v>
      </c>
      <c r="G119" s="2" t="s">
        <v>89</v>
      </c>
      <c r="H119" s="2">
        <v>4594.88</v>
      </c>
      <c r="I119" s="2">
        <v>1</v>
      </c>
      <c r="J119" s="2">
        <v>15</v>
      </c>
      <c r="K119" s="9">
        <f t="shared" si="3"/>
        <v>4594.88</v>
      </c>
      <c r="L119" s="9">
        <f t="shared" si="4"/>
        <v>689.23199999999997</v>
      </c>
      <c r="M119" s="10">
        <f t="shared" si="5"/>
        <v>3905.6480000000001</v>
      </c>
      <c r="N119" s="2" t="s">
        <v>68</v>
      </c>
      <c r="O119" s="2" t="s">
        <v>39</v>
      </c>
      <c r="P119" s="2" t="s">
        <v>19</v>
      </c>
    </row>
    <row r="120" spans="1:16" x14ac:dyDescent="0.25">
      <c r="A120" s="3" t="s">
        <v>276</v>
      </c>
      <c r="B120" s="4">
        <v>45154</v>
      </c>
      <c r="C120" s="3" t="s">
        <v>277</v>
      </c>
      <c r="D120" s="3" t="s">
        <v>76</v>
      </c>
      <c r="E120" s="3" t="s">
        <v>77</v>
      </c>
      <c r="F120" s="3" t="s">
        <v>24</v>
      </c>
      <c r="G120" s="3" t="s">
        <v>134</v>
      </c>
      <c r="H120" s="3">
        <v>2419.4699999999998</v>
      </c>
      <c r="I120" s="3">
        <v>4</v>
      </c>
      <c r="J120" s="3">
        <v>0</v>
      </c>
      <c r="K120" s="9">
        <f t="shared" si="3"/>
        <v>9677.8799999999992</v>
      </c>
      <c r="L120" s="9">
        <f t="shared" si="4"/>
        <v>0</v>
      </c>
      <c r="M120" s="10">
        <f t="shared" si="5"/>
        <v>9677.8799999999992</v>
      </c>
      <c r="N120" s="3" t="s">
        <v>33</v>
      </c>
      <c r="O120" s="3" t="s">
        <v>27</v>
      </c>
      <c r="P120" s="3" t="s">
        <v>40</v>
      </c>
    </row>
    <row r="121" spans="1:16" x14ac:dyDescent="0.25">
      <c r="A121" s="2" t="s">
        <v>278</v>
      </c>
      <c r="B121" s="4">
        <v>45155</v>
      </c>
      <c r="C121" s="2" t="s">
        <v>279</v>
      </c>
      <c r="D121" s="2" t="s">
        <v>47</v>
      </c>
      <c r="E121" s="2" t="s">
        <v>48</v>
      </c>
      <c r="F121" s="2" t="s">
        <v>31</v>
      </c>
      <c r="G121" s="2" t="s">
        <v>186</v>
      </c>
      <c r="H121" s="2">
        <v>829.89</v>
      </c>
      <c r="I121" s="2">
        <v>4</v>
      </c>
      <c r="J121" s="2">
        <v>0</v>
      </c>
      <c r="K121" s="9">
        <f t="shared" si="3"/>
        <v>3319.56</v>
      </c>
      <c r="L121" s="9">
        <f t="shared" si="4"/>
        <v>0</v>
      </c>
      <c r="M121" s="10">
        <f t="shared" si="5"/>
        <v>3319.56</v>
      </c>
      <c r="N121" s="2" t="s">
        <v>68</v>
      </c>
      <c r="O121" s="2" t="s">
        <v>39</v>
      </c>
      <c r="P121" s="2" t="s">
        <v>40</v>
      </c>
    </row>
    <row r="122" spans="1:16" x14ac:dyDescent="0.25">
      <c r="A122" s="3" t="s">
        <v>280</v>
      </c>
      <c r="B122" s="4">
        <v>45156</v>
      </c>
      <c r="C122" s="3" t="s">
        <v>281</v>
      </c>
      <c r="D122" s="3" t="s">
        <v>87</v>
      </c>
      <c r="E122" s="3" t="s">
        <v>88</v>
      </c>
      <c r="F122" s="3" t="s">
        <v>72</v>
      </c>
      <c r="G122" s="3" t="s">
        <v>102</v>
      </c>
      <c r="H122" s="3">
        <v>657.33</v>
      </c>
      <c r="I122" s="3">
        <v>5</v>
      </c>
      <c r="J122" s="3">
        <v>5</v>
      </c>
      <c r="K122" s="9">
        <f t="shared" si="3"/>
        <v>3286.65</v>
      </c>
      <c r="L122" s="9">
        <f t="shared" si="4"/>
        <v>164.33250000000001</v>
      </c>
      <c r="M122" s="10">
        <f t="shared" si="5"/>
        <v>3122.3175000000001</v>
      </c>
      <c r="N122" s="3" t="s">
        <v>17</v>
      </c>
      <c r="O122" s="3" t="s">
        <v>18</v>
      </c>
      <c r="P122" s="3" t="s">
        <v>40</v>
      </c>
    </row>
    <row r="123" spans="1:16" x14ac:dyDescent="0.25">
      <c r="A123" s="2" t="s">
        <v>282</v>
      </c>
      <c r="B123" s="4">
        <v>45157</v>
      </c>
      <c r="C123" s="2" t="s">
        <v>283</v>
      </c>
      <c r="D123" s="2" t="s">
        <v>65</v>
      </c>
      <c r="E123" s="2" t="s">
        <v>66</v>
      </c>
      <c r="F123" s="2" t="s">
        <v>72</v>
      </c>
      <c r="G123" s="2" t="s">
        <v>81</v>
      </c>
      <c r="H123" s="2">
        <v>1640.52</v>
      </c>
      <c r="I123" s="2">
        <v>5</v>
      </c>
      <c r="J123" s="2">
        <v>10</v>
      </c>
      <c r="K123" s="9">
        <f t="shared" si="3"/>
        <v>8202.6</v>
      </c>
      <c r="L123" s="9">
        <f t="shared" si="4"/>
        <v>820.26</v>
      </c>
      <c r="M123" s="10">
        <f t="shared" si="5"/>
        <v>7382.34</v>
      </c>
      <c r="N123" s="2" t="s">
        <v>38</v>
      </c>
      <c r="O123" s="2" t="s">
        <v>18</v>
      </c>
      <c r="P123" s="2" t="s">
        <v>19</v>
      </c>
    </row>
    <row r="124" spans="1:16" x14ac:dyDescent="0.25">
      <c r="A124" s="3" t="s">
        <v>284</v>
      </c>
      <c r="B124" s="4">
        <v>45158</v>
      </c>
      <c r="C124" s="3" t="s">
        <v>285</v>
      </c>
      <c r="D124" s="3" t="s">
        <v>76</v>
      </c>
      <c r="E124" s="3" t="s">
        <v>77</v>
      </c>
      <c r="F124" s="3" t="s">
        <v>24</v>
      </c>
      <c r="G124" s="3" t="s">
        <v>92</v>
      </c>
      <c r="H124" s="3">
        <v>1455.03</v>
      </c>
      <c r="I124" s="3">
        <v>5</v>
      </c>
      <c r="J124" s="3">
        <v>10</v>
      </c>
      <c r="K124" s="9">
        <f t="shared" si="3"/>
        <v>7275.15</v>
      </c>
      <c r="L124" s="9">
        <f t="shared" si="4"/>
        <v>727.51499999999999</v>
      </c>
      <c r="M124" s="10">
        <f t="shared" si="5"/>
        <v>6547.6349999999993</v>
      </c>
      <c r="N124" s="3" t="s">
        <v>68</v>
      </c>
      <c r="O124" s="3" t="s">
        <v>39</v>
      </c>
      <c r="P124" s="3" t="s">
        <v>34</v>
      </c>
    </row>
    <row r="125" spans="1:16" x14ac:dyDescent="0.25">
      <c r="A125" s="2" t="s">
        <v>286</v>
      </c>
      <c r="B125" s="4">
        <v>45159</v>
      </c>
      <c r="C125" s="2" t="s">
        <v>241</v>
      </c>
      <c r="D125" s="2" t="s">
        <v>83</v>
      </c>
      <c r="E125" s="2" t="s">
        <v>84</v>
      </c>
      <c r="F125" s="2" t="s">
        <v>72</v>
      </c>
      <c r="G125" s="2" t="s">
        <v>73</v>
      </c>
      <c r="H125" s="2">
        <v>357.95</v>
      </c>
      <c r="I125" s="2">
        <v>5</v>
      </c>
      <c r="J125" s="2">
        <v>0</v>
      </c>
      <c r="K125" s="9">
        <f t="shared" si="3"/>
        <v>1789.75</v>
      </c>
      <c r="L125" s="9">
        <f t="shared" si="4"/>
        <v>0</v>
      </c>
      <c r="M125" s="10">
        <f t="shared" si="5"/>
        <v>1789.75</v>
      </c>
      <c r="N125" s="2" t="s">
        <v>17</v>
      </c>
      <c r="O125" s="2" t="s">
        <v>27</v>
      </c>
      <c r="P125" s="2" t="s">
        <v>34</v>
      </c>
    </row>
    <row r="126" spans="1:16" x14ac:dyDescent="0.25">
      <c r="A126" s="3" t="s">
        <v>287</v>
      </c>
      <c r="B126" s="4">
        <v>45160</v>
      </c>
      <c r="C126" s="3" t="s">
        <v>288</v>
      </c>
      <c r="D126" s="3" t="s">
        <v>47</v>
      </c>
      <c r="E126" s="3" t="s">
        <v>48</v>
      </c>
      <c r="F126" s="3" t="s">
        <v>31</v>
      </c>
      <c r="G126" s="3" t="s">
        <v>116</v>
      </c>
      <c r="H126" s="3">
        <v>1081.47</v>
      </c>
      <c r="I126" s="3">
        <v>2</v>
      </c>
      <c r="J126" s="3">
        <v>15</v>
      </c>
      <c r="K126" s="9">
        <f t="shared" si="3"/>
        <v>2162.94</v>
      </c>
      <c r="L126" s="9">
        <f t="shared" si="4"/>
        <v>324.44100000000003</v>
      </c>
      <c r="M126" s="10">
        <f t="shared" si="5"/>
        <v>1838.499</v>
      </c>
      <c r="N126" s="3" t="s">
        <v>33</v>
      </c>
      <c r="O126" s="3" t="s">
        <v>18</v>
      </c>
      <c r="P126" s="3" t="s">
        <v>53</v>
      </c>
    </row>
    <row r="127" spans="1:16" x14ac:dyDescent="0.25">
      <c r="A127" s="2" t="s">
        <v>289</v>
      </c>
      <c r="B127" s="4">
        <v>45161</v>
      </c>
      <c r="C127" s="2" t="s">
        <v>290</v>
      </c>
      <c r="D127" s="2" t="s">
        <v>22</v>
      </c>
      <c r="E127" s="2" t="s">
        <v>23</v>
      </c>
      <c r="F127" s="2" t="s">
        <v>15</v>
      </c>
      <c r="G127" s="2" t="s">
        <v>56</v>
      </c>
      <c r="H127" s="2">
        <v>1697.45</v>
      </c>
      <c r="I127" s="2">
        <v>4</v>
      </c>
      <c r="J127" s="2">
        <v>0</v>
      </c>
      <c r="K127" s="9">
        <f t="shared" si="3"/>
        <v>6789.8</v>
      </c>
      <c r="L127" s="9">
        <f t="shared" si="4"/>
        <v>0</v>
      </c>
      <c r="M127" s="10">
        <f t="shared" si="5"/>
        <v>6789.8</v>
      </c>
      <c r="N127" s="2" t="s">
        <v>38</v>
      </c>
      <c r="O127" s="2" t="s">
        <v>18</v>
      </c>
      <c r="P127" s="2" t="s">
        <v>34</v>
      </c>
    </row>
    <row r="128" spans="1:16" x14ac:dyDescent="0.25">
      <c r="A128" s="3" t="s">
        <v>291</v>
      </c>
      <c r="B128" s="4">
        <v>45162</v>
      </c>
      <c r="C128" s="3" t="s">
        <v>292</v>
      </c>
      <c r="D128" s="3" t="s">
        <v>29</v>
      </c>
      <c r="E128" s="3" t="s">
        <v>30</v>
      </c>
      <c r="F128" s="3" t="s">
        <v>110</v>
      </c>
      <c r="G128" s="3" t="s">
        <v>207</v>
      </c>
      <c r="H128" s="3">
        <v>9151.68</v>
      </c>
      <c r="I128" s="3">
        <v>2</v>
      </c>
      <c r="J128" s="3">
        <v>0</v>
      </c>
      <c r="K128" s="9">
        <f t="shared" si="3"/>
        <v>18303.36</v>
      </c>
      <c r="L128" s="9">
        <f t="shared" si="4"/>
        <v>0</v>
      </c>
      <c r="M128" s="10">
        <f t="shared" si="5"/>
        <v>18303.36</v>
      </c>
      <c r="N128" s="3" t="s">
        <v>17</v>
      </c>
      <c r="O128" s="3" t="s">
        <v>18</v>
      </c>
      <c r="P128" s="3" t="s">
        <v>40</v>
      </c>
    </row>
    <row r="129" spans="1:16" x14ac:dyDescent="0.25">
      <c r="A129" s="2" t="s">
        <v>293</v>
      </c>
      <c r="B129" s="4">
        <v>45163</v>
      </c>
      <c r="C129" s="2" t="s">
        <v>272</v>
      </c>
      <c r="D129" s="2" t="s">
        <v>65</v>
      </c>
      <c r="E129" s="2" t="s">
        <v>66</v>
      </c>
      <c r="F129" s="2" t="s">
        <v>43</v>
      </c>
      <c r="G129" s="2" t="s">
        <v>89</v>
      </c>
      <c r="H129" s="2">
        <v>4447.84</v>
      </c>
      <c r="I129" s="2">
        <v>3</v>
      </c>
      <c r="J129" s="2">
        <v>5</v>
      </c>
      <c r="K129" s="9">
        <f t="shared" si="3"/>
        <v>13343.52</v>
      </c>
      <c r="L129" s="9">
        <f t="shared" si="4"/>
        <v>667.17600000000004</v>
      </c>
      <c r="M129" s="10">
        <f t="shared" si="5"/>
        <v>12676.344000000001</v>
      </c>
      <c r="N129" s="2" t="s">
        <v>17</v>
      </c>
      <c r="O129" s="2" t="s">
        <v>18</v>
      </c>
      <c r="P129" s="2" t="s">
        <v>34</v>
      </c>
    </row>
    <row r="130" spans="1:16" x14ac:dyDescent="0.25">
      <c r="A130" s="3" t="s">
        <v>294</v>
      </c>
      <c r="B130" s="4">
        <v>45164</v>
      </c>
      <c r="C130" s="3" t="s">
        <v>295</v>
      </c>
      <c r="D130" s="3" t="s">
        <v>29</v>
      </c>
      <c r="E130" s="3" t="s">
        <v>30</v>
      </c>
      <c r="F130" s="3" t="s">
        <v>43</v>
      </c>
      <c r="G130" s="3" t="s">
        <v>89</v>
      </c>
      <c r="H130" s="3">
        <v>4650.42</v>
      </c>
      <c r="I130" s="3">
        <v>1</v>
      </c>
      <c r="J130" s="3">
        <v>0</v>
      </c>
      <c r="K130" s="9">
        <f t="shared" ref="K130:K193" si="6">I130*H130</f>
        <v>4650.42</v>
      </c>
      <c r="L130" s="9">
        <f t="shared" ref="L130:L193" si="7">K130*J130/100</f>
        <v>0</v>
      </c>
      <c r="M130" s="10">
        <f t="shared" ref="M130:M193" si="8">K130-L130</f>
        <v>4650.42</v>
      </c>
      <c r="N130" s="3" t="s">
        <v>33</v>
      </c>
      <c r="O130" s="3" t="s">
        <v>52</v>
      </c>
      <c r="P130" s="3" t="s">
        <v>40</v>
      </c>
    </row>
    <row r="131" spans="1:16" x14ac:dyDescent="0.25">
      <c r="A131" s="2" t="s">
        <v>296</v>
      </c>
      <c r="B131" s="4">
        <v>45165</v>
      </c>
      <c r="C131" s="2" t="s">
        <v>297</v>
      </c>
      <c r="D131" s="2" t="s">
        <v>51</v>
      </c>
      <c r="E131" s="2" t="s">
        <v>14</v>
      </c>
      <c r="F131" s="6" t="s">
        <v>72</v>
      </c>
      <c r="G131" s="2" t="s">
        <v>102</v>
      </c>
      <c r="H131" s="2">
        <v>684.34</v>
      </c>
      <c r="I131" s="2">
        <v>3</v>
      </c>
      <c r="J131" s="2">
        <v>15</v>
      </c>
      <c r="K131" s="9">
        <f t="shared" si="6"/>
        <v>2053.02</v>
      </c>
      <c r="L131" s="9">
        <f t="shared" si="7"/>
        <v>307.95299999999997</v>
      </c>
      <c r="M131" s="10">
        <f t="shared" si="8"/>
        <v>1745.067</v>
      </c>
      <c r="N131" s="2" t="s">
        <v>68</v>
      </c>
      <c r="O131" s="2" t="s">
        <v>18</v>
      </c>
      <c r="P131" s="2" t="s">
        <v>60</v>
      </c>
    </row>
    <row r="132" spans="1:16" x14ac:dyDescent="0.25">
      <c r="A132" s="3" t="s">
        <v>298</v>
      </c>
      <c r="B132" s="4">
        <v>45166</v>
      </c>
      <c r="C132" s="3" t="s">
        <v>299</v>
      </c>
      <c r="D132" s="3" t="s">
        <v>100</v>
      </c>
      <c r="E132" s="3" t="s">
        <v>88</v>
      </c>
      <c r="F132" s="3" t="s">
        <v>43</v>
      </c>
      <c r="G132" s="3" t="s">
        <v>89</v>
      </c>
      <c r="H132" s="3">
        <v>4683.3</v>
      </c>
      <c r="I132" s="3">
        <v>5</v>
      </c>
      <c r="J132" s="3">
        <v>15</v>
      </c>
      <c r="K132" s="9">
        <f t="shared" si="6"/>
        <v>23416.5</v>
      </c>
      <c r="L132" s="9">
        <f t="shared" si="7"/>
        <v>3512.4749999999999</v>
      </c>
      <c r="M132" s="10">
        <f t="shared" si="8"/>
        <v>19904.025000000001</v>
      </c>
      <c r="N132" s="3" t="s">
        <v>38</v>
      </c>
      <c r="O132" s="3" t="s">
        <v>18</v>
      </c>
      <c r="P132" s="3" t="s">
        <v>60</v>
      </c>
    </row>
    <row r="133" spans="1:16" x14ac:dyDescent="0.25">
      <c r="A133" s="2" t="s">
        <v>300</v>
      </c>
      <c r="B133" s="4">
        <v>45167</v>
      </c>
      <c r="C133" s="2" t="s">
        <v>301</v>
      </c>
      <c r="D133" s="2" t="s">
        <v>13</v>
      </c>
      <c r="E133" s="2" t="s">
        <v>14</v>
      </c>
      <c r="F133" s="2" t="s">
        <v>43</v>
      </c>
      <c r="G133" s="2" t="s">
        <v>44</v>
      </c>
      <c r="H133" s="2">
        <v>3753.48</v>
      </c>
      <c r="I133" s="2">
        <v>5</v>
      </c>
      <c r="J133" s="2">
        <v>0</v>
      </c>
      <c r="K133" s="9">
        <f t="shared" si="6"/>
        <v>18767.400000000001</v>
      </c>
      <c r="L133" s="9">
        <f t="shared" si="7"/>
        <v>0</v>
      </c>
      <c r="M133" s="10">
        <f t="shared" si="8"/>
        <v>18767.400000000001</v>
      </c>
      <c r="N133" s="2" t="s">
        <v>17</v>
      </c>
      <c r="O133" s="2" t="s">
        <v>18</v>
      </c>
      <c r="P133" s="2" t="s">
        <v>60</v>
      </c>
    </row>
    <row r="134" spans="1:16" x14ac:dyDescent="0.25">
      <c r="A134" s="3" t="s">
        <v>302</v>
      </c>
      <c r="B134" s="4">
        <v>45168</v>
      </c>
      <c r="C134" s="3" t="s">
        <v>139</v>
      </c>
      <c r="D134" s="3" t="s">
        <v>13</v>
      </c>
      <c r="E134" s="3" t="s">
        <v>14</v>
      </c>
      <c r="F134" s="3" t="s">
        <v>31</v>
      </c>
      <c r="G134" s="3" t="s">
        <v>186</v>
      </c>
      <c r="H134" s="3">
        <v>848.21</v>
      </c>
      <c r="I134" s="3">
        <v>5</v>
      </c>
      <c r="J134" s="3">
        <v>0</v>
      </c>
      <c r="K134" s="9">
        <f t="shared" si="6"/>
        <v>4241.05</v>
      </c>
      <c r="L134" s="9">
        <f t="shared" si="7"/>
        <v>0</v>
      </c>
      <c r="M134" s="10">
        <f t="shared" si="8"/>
        <v>4241.05</v>
      </c>
      <c r="N134" s="3" t="s">
        <v>38</v>
      </c>
      <c r="O134" s="3" t="s">
        <v>18</v>
      </c>
      <c r="P134" s="3" t="s">
        <v>60</v>
      </c>
    </row>
    <row r="135" spans="1:16" x14ac:dyDescent="0.25">
      <c r="A135" s="2" t="s">
        <v>303</v>
      </c>
      <c r="B135" s="4">
        <v>45169</v>
      </c>
      <c r="C135" s="2" t="s">
        <v>241</v>
      </c>
      <c r="D135" s="2" t="s">
        <v>29</v>
      </c>
      <c r="E135" s="2" t="s">
        <v>30</v>
      </c>
      <c r="F135" s="2" t="s">
        <v>43</v>
      </c>
      <c r="G135" s="2" t="s">
        <v>89</v>
      </c>
      <c r="H135" s="2">
        <v>4120.78</v>
      </c>
      <c r="I135" s="2">
        <v>3</v>
      </c>
      <c r="J135" s="2">
        <v>0</v>
      </c>
      <c r="K135" s="9">
        <f t="shared" si="6"/>
        <v>12362.34</v>
      </c>
      <c r="L135" s="9">
        <f t="shared" si="7"/>
        <v>0</v>
      </c>
      <c r="M135" s="10">
        <f t="shared" si="8"/>
        <v>12362.34</v>
      </c>
      <c r="N135" s="2" t="s">
        <v>26</v>
      </c>
      <c r="O135" s="2" t="s">
        <v>18</v>
      </c>
      <c r="P135" s="2" t="s">
        <v>53</v>
      </c>
    </row>
    <row r="136" spans="1:16" x14ac:dyDescent="0.25">
      <c r="A136" s="3" t="s">
        <v>304</v>
      </c>
      <c r="B136" s="4">
        <v>45170</v>
      </c>
      <c r="C136" s="3" t="s">
        <v>305</v>
      </c>
      <c r="D136" s="3" t="s">
        <v>22</v>
      </c>
      <c r="E136" s="3" t="s">
        <v>23</v>
      </c>
      <c r="F136" s="3" t="s">
        <v>110</v>
      </c>
      <c r="G136" s="3" t="s">
        <v>111</v>
      </c>
      <c r="H136" s="3">
        <v>8918.42</v>
      </c>
      <c r="I136" s="3">
        <v>3</v>
      </c>
      <c r="J136" s="3">
        <v>0</v>
      </c>
      <c r="K136" s="9">
        <f t="shared" si="6"/>
        <v>26755.260000000002</v>
      </c>
      <c r="L136" s="9">
        <f t="shared" si="7"/>
        <v>0</v>
      </c>
      <c r="M136" s="10">
        <f t="shared" si="8"/>
        <v>26755.260000000002</v>
      </c>
      <c r="N136" s="3" t="s">
        <v>26</v>
      </c>
      <c r="O136" s="3" t="s">
        <v>18</v>
      </c>
      <c r="P136" s="3" t="s">
        <v>40</v>
      </c>
    </row>
    <row r="137" spans="1:16" x14ac:dyDescent="0.25">
      <c r="A137" s="2" t="s">
        <v>306</v>
      </c>
      <c r="B137" s="4">
        <v>45171</v>
      </c>
      <c r="C137" s="2" t="s">
        <v>307</v>
      </c>
      <c r="D137" s="2" t="s">
        <v>100</v>
      </c>
      <c r="E137" s="2" t="s">
        <v>88</v>
      </c>
      <c r="F137" s="2" t="s">
        <v>110</v>
      </c>
      <c r="G137" s="2" t="s">
        <v>153</v>
      </c>
      <c r="H137" s="2">
        <v>3682.15</v>
      </c>
      <c r="I137" s="2">
        <v>1</v>
      </c>
      <c r="J137" s="2">
        <v>10</v>
      </c>
      <c r="K137" s="9">
        <f t="shared" si="6"/>
        <v>3682.15</v>
      </c>
      <c r="L137" s="9">
        <f t="shared" si="7"/>
        <v>368.21499999999997</v>
      </c>
      <c r="M137" s="10">
        <f t="shared" si="8"/>
        <v>3313.9349999999999</v>
      </c>
      <c r="N137" s="2" t="s">
        <v>33</v>
      </c>
      <c r="O137" s="2" t="s">
        <v>18</v>
      </c>
      <c r="P137" s="2" t="s">
        <v>19</v>
      </c>
    </row>
    <row r="138" spans="1:16" x14ac:dyDescent="0.25">
      <c r="A138" s="3" t="s">
        <v>308</v>
      </c>
      <c r="B138" s="4">
        <v>45172</v>
      </c>
      <c r="C138" s="3" t="s">
        <v>272</v>
      </c>
      <c r="D138" s="3" t="s">
        <v>29</v>
      </c>
      <c r="E138" s="3" t="s">
        <v>30</v>
      </c>
      <c r="F138" s="3" t="s">
        <v>15</v>
      </c>
      <c r="G138" s="3" t="s">
        <v>56</v>
      </c>
      <c r="H138" s="3">
        <v>1736.35</v>
      </c>
      <c r="I138" s="3">
        <v>3</v>
      </c>
      <c r="J138" s="3">
        <v>5</v>
      </c>
      <c r="K138" s="9">
        <f t="shared" si="6"/>
        <v>5209.0499999999993</v>
      </c>
      <c r="L138" s="9">
        <f t="shared" si="7"/>
        <v>260.45249999999999</v>
      </c>
      <c r="M138" s="10">
        <f t="shared" si="8"/>
        <v>4948.5974999999989</v>
      </c>
      <c r="N138" s="3" t="s">
        <v>33</v>
      </c>
      <c r="O138" s="3" t="s">
        <v>18</v>
      </c>
      <c r="P138" s="3" t="s">
        <v>60</v>
      </c>
    </row>
    <row r="139" spans="1:16" x14ac:dyDescent="0.25">
      <c r="A139" s="2" t="s">
        <v>309</v>
      </c>
      <c r="B139" s="4">
        <v>45173</v>
      </c>
      <c r="C139" s="2" t="s">
        <v>118</v>
      </c>
      <c r="D139" s="2" t="s">
        <v>47</v>
      </c>
      <c r="E139" s="2" t="s">
        <v>48</v>
      </c>
      <c r="F139" s="2" t="s">
        <v>110</v>
      </c>
      <c r="G139" s="2" t="s">
        <v>207</v>
      </c>
      <c r="H139" s="2">
        <v>8248.2999999999993</v>
      </c>
      <c r="I139" s="2">
        <v>1</v>
      </c>
      <c r="J139" s="2">
        <v>0</v>
      </c>
      <c r="K139" s="9">
        <f t="shared" si="6"/>
        <v>8248.2999999999993</v>
      </c>
      <c r="L139" s="9">
        <f t="shared" si="7"/>
        <v>0</v>
      </c>
      <c r="M139" s="10">
        <f t="shared" si="8"/>
        <v>8248.2999999999993</v>
      </c>
      <c r="N139" s="2" t="s">
        <v>33</v>
      </c>
      <c r="O139" s="2" t="s">
        <v>18</v>
      </c>
      <c r="P139" s="2" t="s">
        <v>40</v>
      </c>
    </row>
    <row r="140" spans="1:16" x14ac:dyDescent="0.25">
      <c r="A140" s="3" t="s">
        <v>310</v>
      </c>
      <c r="B140" s="4">
        <v>45174</v>
      </c>
      <c r="C140" s="3" t="s">
        <v>311</v>
      </c>
      <c r="D140" s="3" t="s">
        <v>22</v>
      </c>
      <c r="E140" s="3" t="s">
        <v>23</v>
      </c>
      <c r="F140" s="3" t="s">
        <v>15</v>
      </c>
      <c r="G140" s="3" t="s">
        <v>198</v>
      </c>
      <c r="H140" s="3">
        <v>818.4</v>
      </c>
      <c r="I140" s="3">
        <v>5</v>
      </c>
      <c r="J140" s="3">
        <v>15</v>
      </c>
      <c r="K140" s="9">
        <f t="shared" si="6"/>
        <v>4092</v>
      </c>
      <c r="L140" s="9">
        <f t="shared" si="7"/>
        <v>613.79999999999995</v>
      </c>
      <c r="M140" s="10">
        <f t="shared" si="8"/>
        <v>3478.2</v>
      </c>
      <c r="N140" s="3" t="s">
        <v>33</v>
      </c>
      <c r="O140" s="3" t="s">
        <v>52</v>
      </c>
      <c r="P140" s="3" t="s">
        <v>19</v>
      </c>
    </row>
    <row r="141" spans="1:16" x14ac:dyDescent="0.25">
      <c r="A141" s="2" t="s">
        <v>312</v>
      </c>
      <c r="B141" s="4">
        <v>45175</v>
      </c>
      <c r="C141" s="2" t="s">
        <v>133</v>
      </c>
      <c r="D141" s="2" t="s">
        <v>29</v>
      </c>
      <c r="E141" s="2" t="s">
        <v>30</v>
      </c>
      <c r="F141" s="2" t="s">
        <v>15</v>
      </c>
      <c r="G141" s="2" t="s">
        <v>163</v>
      </c>
      <c r="H141" s="2">
        <v>2410.7600000000002</v>
      </c>
      <c r="I141" s="2">
        <v>4</v>
      </c>
      <c r="J141" s="2">
        <v>0</v>
      </c>
      <c r="K141" s="9">
        <f t="shared" si="6"/>
        <v>9643.0400000000009</v>
      </c>
      <c r="L141" s="9">
        <f t="shared" si="7"/>
        <v>0</v>
      </c>
      <c r="M141" s="10">
        <f t="shared" si="8"/>
        <v>9643.0400000000009</v>
      </c>
      <c r="N141" s="2" t="s">
        <v>26</v>
      </c>
      <c r="O141" s="2" t="s">
        <v>18</v>
      </c>
      <c r="P141" s="2" t="s">
        <v>60</v>
      </c>
    </row>
    <row r="142" spans="1:16" x14ac:dyDescent="0.25">
      <c r="A142" s="3" t="s">
        <v>313</v>
      </c>
      <c r="B142" s="4">
        <v>45176</v>
      </c>
      <c r="C142" s="3" t="s">
        <v>314</v>
      </c>
      <c r="D142" s="3" t="s">
        <v>22</v>
      </c>
      <c r="E142" s="3" t="s">
        <v>23</v>
      </c>
      <c r="F142" s="3" t="s">
        <v>110</v>
      </c>
      <c r="G142" s="3" t="s">
        <v>153</v>
      </c>
      <c r="H142" s="3">
        <v>3177.4</v>
      </c>
      <c r="I142" s="3">
        <v>4</v>
      </c>
      <c r="J142" s="3">
        <v>0</v>
      </c>
      <c r="K142" s="9">
        <f t="shared" si="6"/>
        <v>12709.6</v>
      </c>
      <c r="L142" s="9">
        <f t="shared" si="7"/>
        <v>0</v>
      </c>
      <c r="M142" s="10">
        <f t="shared" si="8"/>
        <v>12709.6</v>
      </c>
      <c r="N142" s="3" t="s">
        <v>17</v>
      </c>
      <c r="O142" s="3" t="s">
        <v>52</v>
      </c>
      <c r="P142" s="3" t="s">
        <v>19</v>
      </c>
    </row>
    <row r="143" spans="1:16" x14ac:dyDescent="0.25">
      <c r="A143" s="2" t="s">
        <v>315</v>
      </c>
      <c r="B143" s="4">
        <v>45177</v>
      </c>
      <c r="C143" s="2" t="s">
        <v>316</v>
      </c>
      <c r="D143" s="2" t="s">
        <v>47</v>
      </c>
      <c r="E143" s="2" t="s">
        <v>48</v>
      </c>
      <c r="F143" s="2" t="s">
        <v>43</v>
      </c>
      <c r="G143" s="2" t="s">
        <v>145</v>
      </c>
      <c r="H143" s="2">
        <v>12658.72</v>
      </c>
      <c r="I143" s="2">
        <v>5</v>
      </c>
      <c r="J143" s="2">
        <v>0</v>
      </c>
      <c r="K143" s="9">
        <f t="shared" si="6"/>
        <v>63293.599999999999</v>
      </c>
      <c r="L143" s="9">
        <f t="shared" si="7"/>
        <v>0</v>
      </c>
      <c r="M143" s="10">
        <f t="shared" si="8"/>
        <v>63293.599999999999</v>
      </c>
      <c r="N143" s="2" t="s">
        <v>38</v>
      </c>
      <c r="O143" s="2" t="s">
        <v>18</v>
      </c>
      <c r="P143" s="2" t="s">
        <v>34</v>
      </c>
    </row>
    <row r="144" spans="1:16" x14ac:dyDescent="0.25">
      <c r="A144" s="3" t="s">
        <v>317</v>
      </c>
      <c r="B144" s="4">
        <v>45178</v>
      </c>
      <c r="C144" s="3" t="s">
        <v>318</v>
      </c>
      <c r="D144" s="3" t="s">
        <v>65</v>
      </c>
      <c r="E144" s="3" t="s">
        <v>66</v>
      </c>
      <c r="F144" s="3" t="s">
        <v>31</v>
      </c>
      <c r="G144" s="3" t="s">
        <v>116</v>
      </c>
      <c r="H144" s="3">
        <v>1253.7</v>
      </c>
      <c r="I144" s="3">
        <v>5</v>
      </c>
      <c r="J144" s="3">
        <v>15</v>
      </c>
      <c r="K144" s="9">
        <f t="shared" si="6"/>
        <v>6268.5</v>
      </c>
      <c r="L144" s="9">
        <f t="shared" si="7"/>
        <v>940.27499999999998</v>
      </c>
      <c r="M144" s="10">
        <f t="shared" si="8"/>
        <v>5328.2250000000004</v>
      </c>
      <c r="N144" s="3" t="s">
        <v>38</v>
      </c>
      <c r="O144" s="3" t="s">
        <v>18</v>
      </c>
      <c r="P144" s="3" t="s">
        <v>19</v>
      </c>
    </row>
    <row r="145" spans="1:16" x14ac:dyDescent="0.25">
      <c r="A145" s="2" t="s">
        <v>319</v>
      </c>
      <c r="B145" s="4">
        <v>45179</v>
      </c>
      <c r="C145" s="2" t="s">
        <v>320</v>
      </c>
      <c r="D145" s="2" t="s">
        <v>47</v>
      </c>
      <c r="E145" s="2" t="s">
        <v>48</v>
      </c>
      <c r="F145" s="2" t="s">
        <v>15</v>
      </c>
      <c r="G145" s="2" t="s">
        <v>95</v>
      </c>
      <c r="H145" s="2">
        <v>1110.95</v>
      </c>
      <c r="I145" s="2">
        <v>1</v>
      </c>
      <c r="J145" s="2">
        <v>0</v>
      </c>
      <c r="K145" s="9">
        <f t="shared" si="6"/>
        <v>1110.95</v>
      </c>
      <c r="L145" s="9">
        <f t="shared" si="7"/>
        <v>0</v>
      </c>
      <c r="M145" s="10">
        <f t="shared" si="8"/>
        <v>1110.95</v>
      </c>
      <c r="N145" s="2" t="s">
        <v>17</v>
      </c>
      <c r="O145" s="2" t="s">
        <v>18</v>
      </c>
      <c r="P145" s="2" t="s">
        <v>34</v>
      </c>
    </row>
    <row r="146" spans="1:16" x14ac:dyDescent="0.25">
      <c r="A146" s="3" t="s">
        <v>321</v>
      </c>
      <c r="B146" s="4">
        <v>45180</v>
      </c>
      <c r="C146" s="3" t="s">
        <v>244</v>
      </c>
      <c r="D146" s="3" t="s">
        <v>83</v>
      </c>
      <c r="E146" s="3" t="s">
        <v>84</v>
      </c>
      <c r="F146" s="3" t="s">
        <v>36</v>
      </c>
      <c r="G146" s="3" t="s">
        <v>121</v>
      </c>
      <c r="H146" s="3">
        <v>98238.66</v>
      </c>
      <c r="I146" s="3">
        <v>5</v>
      </c>
      <c r="J146" s="3">
        <v>0</v>
      </c>
      <c r="K146" s="9">
        <f t="shared" si="6"/>
        <v>491193.30000000005</v>
      </c>
      <c r="L146" s="9">
        <f t="shared" si="7"/>
        <v>0</v>
      </c>
      <c r="M146" s="10">
        <f t="shared" si="8"/>
        <v>491193.30000000005</v>
      </c>
      <c r="N146" s="3" t="s">
        <v>68</v>
      </c>
      <c r="O146" s="3" t="s">
        <v>18</v>
      </c>
      <c r="P146" s="3" t="s">
        <v>34</v>
      </c>
    </row>
    <row r="147" spans="1:16" x14ac:dyDescent="0.25">
      <c r="A147" s="2" t="s">
        <v>322</v>
      </c>
      <c r="B147" s="4">
        <v>45181</v>
      </c>
      <c r="C147" s="2" t="s">
        <v>323</v>
      </c>
      <c r="D147" s="2" t="s">
        <v>76</v>
      </c>
      <c r="E147" s="2" t="s">
        <v>77</v>
      </c>
      <c r="F147" s="2" t="s">
        <v>24</v>
      </c>
      <c r="G147" s="2" t="s">
        <v>25</v>
      </c>
      <c r="H147" s="2">
        <v>4949.9799999999996</v>
      </c>
      <c r="I147" s="2">
        <v>2</v>
      </c>
      <c r="J147" s="2">
        <v>10</v>
      </c>
      <c r="K147" s="9">
        <f t="shared" si="6"/>
        <v>9899.9599999999991</v>
      </c>
      <c r="L147" s="9">
        <f t="shared" si="7"/>
        <v>989.99599999999987</v>
      </c>
      <c r="M147" s="10">
        <f t="shared" si="8"/>
        <v>8909.9639999999999</v>
      </c>
      <c r="N147" s="2" t="s">
        <v>38</v>
      </c>
      <c r="O147" s="2" t="s">
        <v>39</v>
      </c>
      <c r="P147" s="2" t="s">
        <v>40</v>
      </c>
    </row>
    <row r="148" spans="1:16" x14ac:dyDescent="0.25">
      <c r="A148" s="3" t="s">
        <v>324</v>
      </c>
      <c r="B148" s="4">
        <v>45182</v>
      </c>
      <c r="C148" s="3" t="s">
        <v>161</v>
      </c>
      <c r="D148" s="3" t="s">
        <v>83</v>
      </c>
      <c r="E148" s="3" t="s">
        <v>84</v>
      </c>
      <c r="F148" s="3" t="s">
        <v>36</v>
      </c>
      <c r="G148" s="3" t="s">
        <v>121</v>
      </c>
      <c r="H148" s="3">
        <v>91898.52</v>
      </c>
      <c r="I148" s="3">
        <v>5</v>
      </c>
      <c r="J148" s="3">
        <v>0</v>
      </c>
      <c r="K148" s="9">
        <f t="shared" si="6"/>
        <v>459492.60000000003</v>
      </c>
      <c r="L148" s="9">
        <f t="shared" si="7"/>
        <v>0</v>
      </c>
      <c r="M148" s="10">
        <f t="shared" si="8"/>
        <v>459492.60000000003</v>
      </c>
      <c r="N148" s="3" t="s">
        <v>17</v>
      </c>
      <c r="O148" s="3" t="s">
        <v>18</v>
      </c>
      <c r="P148" s="3" t="s">
        <v>53</v>
      </c>
    </row>
    <row r="149" spans="1:16" x14ac:dyDescent="0.25">
      <c r="A149" s="2" t="s">
        <v>325</v>
      </c>
      <c r="B149" s="4">
        <v>45183</v>
      </c>
      <c r="C149" s="2" t="s">
        <v>326</v>
      </c>
      <c r="D149" s="2" t="s">
        <v>29</v>
      </c>
      <c r="E149" s="2" t="s">
        <v>30</v>
      </c>
      <c r="F149" s="2" t="s">
        <v>72</v>
      </c>
      <c r="G149" s="2" t="s">
        <v>102</v>
      </c>
      <c r="H149" s="2">
        <v>678.75</v>
      </c>
      <c r="I149" s="2">
        <v>1</v>
      </c>
      <c r="J149" s="2">
        <v>5</v>
      </c>
      <c r="K149" s="9">
        <f t="shared" si="6"/>
        <v>678.75</v>
      </c>
      <c r="L149" s="9">
        <f t="shared" si="7"/>
        <v>33.9375</v>
      </c>
      <c r="M149" s="10">
        <f t="shared" si="8"/>
        <v>644.8125</v>
      </c>
      <c r="N149" s="2" t="s">
        <v>38</v>
      </c>
      <c r="O149" s="2" t="s">
        <v>27</v>
      </c>
      <c r="P149" s="2" t="s">
        <v>53</v>
      </c>
    </row>
    <row r="150" spans="1:16" x14ac:dyDescent="0.25">
      <c r="A150" s="3" t="s">
        <v>327</v>
      </c>
      <c r="B150" s="4">
        <v>45184</v>
      </c>
      <c r="C150" s="3" t="s">
        <v>328</v>
      </c>
      <c r="D150" s="3" t="s">
        <v>76</v>
      </c>
      <c r="E150" s="3" t="s">
        <v>77</v>
      </c>
      <c r="F150" s="3" t="s">
        <v>24</v>
      </c>
      <c r="G150" s="3" t="s">
        <v>59</v>
      </c>
      <c r="H150" s="3">
        <v>4739.17</v>
      </c>
      <c r="I150" s="3">
        <v>4</v>
      </c>
      <c r="J150" s="3">
        <v>5</v>
      </c>
      <c r="K150" s="9">
        <f t="shared" si="6"/>
        <v>18956.68</v>
      </c>
      <c r="L150" s="9">
        <f t="shared" si="7"/>
        <v>947.83399999999995</v>
      </c>
      <c r="M150" s="10">
        <f t="shared" si="8"/>
        <v>18008.846000000001</v>
      </c>
      <c r="N150" s="3" t="s">
        <v>38</v>
      </c>
      <c r="O150" s="3" t="s">
        <v>27</v>
      </c>
      <c r="P150" s="3" t="s">
        <v>19</v>
      </c>
    </row>
    <row r="151" spans="1:16" x14ac:dyDescent="0.25">
      <c r="A151" s="2" t="s">
        <v>329</v>
      </c>
      <c r="B151" s="4">
        <v>45185</v>
      </c>
      <c r="C151" s="2" t="s">
        <v>185</v>
      </c>
      <c r="D151" s="2" t="s">
        <v>65</v>
      </c>
      <c r="E151" s="2" t="s">
        <v>66</v>
      </c>
      <c r="F151" s="2" t="s">
        <v>110</v>
      </c>
      <c r="G151" s="2" t="s">
        <v>111</v>
      </c>
      <c r="H151" s="2">
        <v>9345.4599999999991</v>
      </c>
      <c r="I151" s="2">
        <v>2</v>
      </c>
      <c r="J151" s="2">
        <v>0</v>
      </c>
      <c r="K151" s="9">
        <f t="shared" si="6"/>
        <v>18690.919999999998</v>
      </c>
      <c r="L151" s="9">
        <f t="shared" si="7"/>
        <v>0</v>
      </c>
      <c r="M151" s="10">
        <f t="shared" si="8"/>
        <v>18690.919999999998</v>
      </c>
      <c r="N151" s="2" t="s">
        <v>17</v>
      </c>
      <c r="O151" s="2" t="s">
        <v>18</v>
      </c>
      <c r="P151" s="2" t="s">
        <v>34</v>
      </c>
    </row>
    <row r="152" spans="1:16" x14ac:dyDescent="0.25">
      <c r="A152" s="3" t="s">
        <v>330</v>
      </c>
      <c r="B152" s="4">
        <v>45186</v>
      </c>
      <c r="C152" s="3" t="s">
        <v>331</v>
      </c>
      <c r="D152" s="3" t="s">
        <v>87</v>
      </c>
      <c r="E152" s="3" t="s">
        <v>88</v>
      </c>
      <c r="F152" s="3" t="s">
        <v>110</v>
      </c>
      <c r="G152" s="3" t="s">
        <v>207</v>
      </c>
      <c r="H152" s="3">
        <v>8859.3799999999992</v>
      </c>
      <c r="I152" s="3">
        <v>5</v>
      </c>
      <c r="J152" s="3">
        <v>0</v>
      </c>
      <c r="K152" s="9">
        <f t="shared" si="6"/>
        <v>44296.899999999994</v>
      </c>
      <c r="L152" s="9">
        <f t="shared" si="7"/>
        <v>0</v>
      </c>
      <c r="M152" s="10">
        <f t="shared" si="8"/>
        <v>44296.899999999994</v>
      </c>
      <c r="N152" s="3" t="s">
        <v>38</v>
      </c>
      <c r="O152" s="3" t="s">
        <v>18</v>
      </c>
      <c r="P152" s="3" t="s">
        <v>53</v>
      </c>
    </row>
    <row r="153" spans="1:16" x14ac:dyDescent="0.25">
      <c r="A153" s="2" t="s">
        <v>332</v>
      </c>
      <c r="B153" s="4">
        <v>45187</v>
      </c>
      <c r="C153" s="2" t="s">
        <v>42</v>
      </c>
      <c r="D153" s="2" t="s">
        <v>100</v>
      </c>
      <c r="E153" s="2" t="s">
        <v>88</v>
      </c>
      <c r="F153" s="2" t="s">
        <v>72</v>
      </c>
      <c r="G153" s="2" t="s">
        <v>129</v>
      </c>
      <c r="H153" s="2">
        <v>1653.02</v>
      </c>
      <c r="I153" s="2">
        <v>2</v>
      </c>
      <c r="J153" s="2">
        <v>0</v>
      </c>
      <c r="K153" s="9">
        <f t="shared" si="6"/>
        <v>3306.04</v>
      </c>
      <c r="L153" s="9">
        <f t="shared" si="7"/>
        <v>0</v>
      </c>
      <c r="M153" s="10">
        <f t="shared" si="8"/>
        <v>3306.04</v>
      </c>
      <c r="N153" s="2" t="s">
        <v>38</v>
      </c>
      <c r="O153" s="2" t="s">
        <v>18</v>
      </c>
      <c r="P153" s="2" t="s">
        <v>60</v>
      </c>
    </row>
    <row r="154" spans="1:16" x14ac:dyDescent="0.25">
      <c r="A154" s="3" t="s">
        <v>333</v>
      </c>
      <c r="B154" s="4">
        <v>45188</v>
      </c>
      <c r="C154" s="3" t="s">
        <v>334</v>
      </c>
      <c r="D154" s="3" t="s">
        <v>87</v>
      </c>
      <c r="E154" s="3" t="s">
        <v>88</v>
      </c>
      <c r="F154" s="3" t="s">
        <v>24</v>
      </c>
      <c r="G154" s="3" t="s">
        <v>134</v>
      </c>
      <c r="H154" s="3">
        <v>2747.26</v>
      </c>
      <c r="I154" s="3">
        <v>3</v>
      </c>
      <c r="J154" s="3">
        <v>15</v>
      </c>
      <c r="K154" s="9">
        <f t="shared" si="6"/>
        <v>8241.7800000000007</v>
      </c>
      <c r="L154" s="9">
        <f t="shared" si="7"/>
        <v>1236.2670000000001</v>
      </c>
      <c r="M154" s="10">
        <f t="shared" si="8"/>
        <v>7005.5130000000008</v>
      </c>
      <c r="N154" s="3" t="s">
        <v>68</v>
      </c>
      <c r="O154" s="3" t="s">
        <v>18</v>
      </c>
      <c r="P154" s="3" t="s">
        <v>40</v>
      </c>
    </row>
    <row r="155" spans="1:16" x14ac:dyDescent="0.25">
      <c r="A155" s="2" t="s">
        <v>335</v>
      </c>
      <c r="B155" s="4">
        <v>45189</v>
      </c>
      <c r="C155" s="2" t="s">
        <v>336</v>
      </c>
      <c r="D155" s="2" t="s">
        <v>100</v>
      </c>
      <c r="E155" s="2" t="s">
        <v>88</v>
      </c>
      <c r="F155" s="2" t="s">
        <v>24</v>
      </c>
      <c r="G155" s="2" t="s">
        <v>92</v>
      </c>
      <c r="H155" s="2">
        <v>1436.06</v>
      </c>
      <c r="I155" s="2">
        <v>4</v>
      </c>
      <c r="J155" s="2">
        <v>5</v>
      </c>
      <c r="K155" s="9">
        <f t="shared" si="6"/>
        <v>5744.24</v>
      </c>
      <c r="L155" s="9">
        <f t="shared" si="7"/>
        <v>287.21199999999999</v>
      </c>
      <c r="M155" s="10">
        <f t="shared" si="8"/>
        <v>5457.0280000000002</v>
      </c>
      <c r="N155" s="2" t="s">
        <v>26</v>
      </c>
      <c r="O155" s="2" t="s">
        <v>39</v>
      </c>
      <c r="P155" s="2" t="s">
        <v>60</v>
      </c>
    </row>
    <row r="156" spans="1:16" x14ac:dyDescent="0.25">
      <c r="A156" s="3" t="s">
        <v>337</v>
      </c>
      <c r="B156" s="4">
        <v>45190</v>
      </c>
      <c r="C156" s="3" t="s">
        <v>197</v>
      </c>
      <c r="D156" s="3" t="s">
        <v>22</v>
      </c>
      <c r="E156" s="3" t="s">
        <v>23</v>
      </c>
      <c r="F156" s="3" t="s">
        <v>36</v>
      </c>
      <c r="G156" s="3" t="s">
        <v>338</v>
      </c>
      <c r="H156" s="3">
        <v>61303.51</v>
      </c>
      <c r="I156" s="3">
        <v>2</v>
      </c>
      <c r="J156" s="3">
        <v>0</v>
      </c>
      <c r="K156" s="9">
        <f t="shared" si="6"/>
        <v>122607.02</v>
      </c>
      <c r="L156" s="9">
        <f t="shared" si="7"/>
        <v>0</v>
      </c>
      <c r="M156" s="10">
        <f t="shared" si="8"/>
        <v>122607.02</v>
      </c>
      <c r="N156" s="3" t="s">
        <v>17</v>
      </c>
      <c r="O156" s="3" t="s">
        <v>52</v>
      </c>
      <c r="P156" s="3" t="s">
        <v>60</v>
      </c>
    </row>
    <row r="157" spans="1:16" x14ac:dyDescent="0.25">
      <c r="A157" s="2" t="s">
        <v>339</v>
      </c>
      <c r="B157" s="4">
        <v>45191</v>
      </c>
      <c r="C157" s="2" t="s">
        <v>340</v>
      </c>
      <c r="D157" s="2" t="s">
        <v>47</v>
      </c>
      <c r="E157" s="2" t="s">
        <v>48</v>
      </c>
      <c r="F157" s="2" t="s">
        <v>36</v>
      </c>
      <c r="G157" s="2" t="s">
        <v>78</v>
      </c>
      <c r="H157" s="2">
        <v>80553.47</v>
      </c>
      <c r="I157" s="2">
        <v>5</v>
      </c>
      <c r="J157" s="2">
        <v>10</v>
      </c>
      <c r="K157" s="9">
        <f t="shared" si="6"/>
        <v>402767.35</v>
      </c>
      <c r="L157" s="9">
        <f t="shared" si="7"/>
        <v>40276.735000000001</v>
      </c>
      <c r="M157" s="10">
        <f t="shared" si="8"/>
        <v>362490.61499999999</v>
      </c>
      <c r="N157" s="6" t="s">
        <v>38</v>
      </c>
      <c r="O157" s="2" t="s">
        <v>18</v>
      </c>
      <c r="P157" s="2" t="s">
        <v>60</v>
      </c>
    </row>
    <row r="158" spans="1:16" x14ac:dyDescent="0.25">
      <c r="A158" s="3" t="s">
        <v>341</v>
      </c>
      <c r="B158" s="4">
        <v>45192</v>
      </c>
      <c r="C158" s="3" t="s">
        <v>169</v>
      </c>
      <c r="D158" s="3" t="s">
        <v>83</v>
      </c>
      <c r="E158" s="3" t="s">
        <v>84</v>
      </c>
      <c r="F158" s="3" t="s">
        <v>110</v>
      </c>
      <c r="G158" s="3" t="s">
        <v>153</v>
      </c>
      <c r="H158" s="3">
        <v>3652.98</v>
      </c>
      <c r="I158" s="3">
        <v>3</v>
      </c>
      <c r="J158" s="3">
        <v>0</v>
      </c>
      <c r="K158" s="9">
        <f t="shared" si="6"/>
        <v>10958.94</v>
      </c>
      <c r="L158" s="9">
        <f t="shared" si="7"/>
        <v>0</v>
      </c>
      <c r="M158" s="10">
        <f t="shared" si="8"/>
        <v>10958.94</v>
      </c>
      <c r="N158" s="3" t="s">
        <v>68</v>
      </c>
      <c r="O158" s="3" t="s">
        <v>52</v>
      </c>
      <c r="P158" s="3" t="s">
        <v>34</v>
      </c>
    </row>
    <row r="159" spans="1:16" x14ac:dyDescent="0.25">
      <c r="A159" s="2" t="s">
        <v>342</v>
      </c>
      <c r="B159" s="4">
        <v>45193</v>
      </c>
      <c r="C159" s="2" t="s">
        <v>343</v>
      </c>
      <c r="D159" s="2" t="s">
        <v>100</v>
      </c>
      <c r="E159" s="2" t="s">
        <v>88</v>
      </c>
      <c r="F159" s="2" t="s">
        <v>15</v>
      </c>
      <c r="G159" s="2" t="s">
        <v>198</v>
      </c>
      <c r="H159" s="2">
        <v>803.76</v>
      </c>
      <c r="I159" s="2">
        <v>3</v>
      </c>
      <c r="J159" s="2">
        <v>10</v>
      </c>
      <c r="K159" s="9">
        <f t="shared" si="6"/>
        <v>2411.2799999999997</v>
      </c>
      <c r="L159" s="9">
        <f t="shared" si="7"/>
        <v>241.12799999999996</v>
      </c>
      <c r="M159" s="10">
        <f t="shared" si="8"/>
        <v>2170.1519999999996</v>
      </c>
      <c r="N159" s="2" t="s">
        <v>17</v>
      </c>
      <c r="O159" s="2" t="s">
        <v>52</v>
      </c>
      <c r="P159" s="2" t="s">
        <v>19</v>
      </c>
    </row>
    <row r="160" spans="1:16" x14ac:dyDescent="0.25">
      <c r="A160" s="3" t="s">
        <v>344</v>
      </c>
      <c r="B160" s="4">
        <v>45194</v>
      </c>
      <c r="C160" s="3" t="s">
        <v>169</v>
      </c>
      <c r="D160" s="3" t="s">
        <v>65</v>
      </c>
      <c r="E160" s="3" t="s">
        <v>66</v>
      </c>
      <c r="F160" s="3" t="s">
        <v>72</v>
      </c>
      <c r="G160" s="3" t="s">
        <v>129</v>
      </c>
      <c r="H160" s="3">
        <v>1635.67</v>
      </c>
      <c r="I160" s="3">
        <v>4</v>
      </c>
      <c r="J160" s="3">
        <v>0</v>
      </c>
      <c r="K160" s="9">
        <f t="shared" si="6"/>
        <v>6542.68</v>
      </c>
      <c r="L160" s="9">
        <f t="shared" si="7"/>
        <v>0</v>
      </c>
      <c r="M160" s="10">
        <f t="shared" si="8"/>
        <v>6542.68</v>
      </c>
      <c r="N160" s="3" t="s">
        <v>38</v>
      </c>
      <c r="O160" s="3" t="s">
        <v>27</v>
      </c>
      <c r="P160" s="3" t="s">
        <v>40</v>
      </c>
    </row>
    <row r="161" spans="1:16" x14ac:dyDescent="0.25">
      <c r="A161" s="2" t="s">
        <v>345</v>
      </c>
      <c r="B161" s="4">
        <v>45195</v>
      </c>
      <c r="C161" s="2" t="s">
        <v>231</v>
      </c>
      <c r="D161" s="2" t="s">
        <v>51</v>
      </c>
      <c r="E161" s="2" t="s">
        <v>14</v>
      </c>
      <c r="F161" s="2" t="s">
        <v>15</v>
      </c>
      <c r="G161" s="2" t="s">
        <v>198</v>
      </c>
      <c r="H161" s="2">
        <v>843.44</v>
      </c>
      <c r="I161" s="2">
        <v>3</v>
      </c>
      <c r="J161" s="2">
        <v>0</v>
      </c>
      <c r="K161" s="9">
        <f t="shared" si="6"/>
        <v>2530.3200000000002</v>
      </c>
      <c r="L161" s="9">
        <f t="shared" si="7"/>
        <v>0</v>
      </c>
      <c r="M161" s="10">
        <f t="shared" si="8"/>
        <v>2530.3200000000002</v>
      </c>
      <c r="N161" s="2" t="s">
        <v>68</v>
      </c>
      <c r="O161" s="2" t="s">
        <v>18</v>
      </c>
      <c r="P161" s="2" t="s">
        <v>19</v>
      </c>
    </row>
    <row r="162" spans="1:16" x14ac:dyDescent="0.25">
      <c r="A162" s="3" t="s">
        <v>346</v>
      </c>
      <c r="B162" s="4">
        <v>45196</v>
      </c>
      <c r="C162" s="3" t="s">
        <v>347</v>
      </c>
      <c r="D162" s="3" t="s">
        <v>76</v>
      </c>
      <c r="E162" s="3" t="s">
        <v>77</v>
      </c>
      <c r="F162" s="3" t="s">
        <v>15</v>
      </c>
      <c r="G162" s="3" t="s">
        <v>95</v>
      </c>
      <c r="H162" s="3">
        <v>1231.6199999999999</v>
      </c>
      <c r="I162" s="3">
        <v>2</v>
      </c>
      <c r="J162" s="3">
        <v>0</v>
      </c>
      <c r="K162" s="9">
        <f t="shared" si="6"/>
        <v>2463.2399999999998</v>
      </c>
      <c r="L162" s="9">
        <f t="shared" si="7"/>
        <v>0</v>
      </c>
      <c r="M162" s="10">
        <f t="shared" si="8"/>
        <v>2463.2399999999998</v>
      </c>
      <c r="N162" s="3" t="s">
        <v>33</v>
      </c>
      <c r="O162" s="3" t="s">
        <v>18</v>
      </c>
      <c r="P162" s="3" t="s">
        <v>34</v>
      </c>
    </row>
    <row r="163" spans="1:16" x14ac:dyDescent="0.25">
      <c r="A163" s="2" t="s">
        <v>348</v>
      </c>
      <c r="B163" s="4">
        <v>45197</v>
      </c>
      <c r="C163" s="2" t="s">
        <v>349</v>
      </c>
      <c r="D163" s="2" t="s">
        <v>13</v>
      </c>
      <c r="E163" s="2" t="s">
        <v>14</v>
      </c>
      <c r="F163" s="2" t="s">
        <v>31</v>
      </c>
      <c r="G163" s="2" t="s">
        <v>116</v>
      </c>
      <c r="H163" s="2">
        <v>1203.69</v>
      </c>
      <c r="I163" s="2">
        <v>5</v>
      </c>
      <c r="J163" s="2">
        <v>0</v>
      </c>
      <c r="K163" s="9">
        <f t="shared" si="6"/>
        <v>6018.4500000000007</v>
      </c>
      <c r="L163" s="9">
        <f t="shared" si="7"/>
        <v>0</v>
      </c>
      <c r="M163" s="10">
        <f t="shared" si="8"/>
        <v>6018.4500000000007</v>
      </c>
      <c r="N163" s="2" t="s">
        <v>38</v>
      </c>
      <c r="O163" s="2" t="s">
        <v>18</v>
      </c>
      <c r="P163" s="2" t="s">
        <v>53</v>
      </c>
    </row>
    <row r="164" spans="1:16" x14ac:dyDescent="0.25">
      <c r="A164" s="3" t="s">
        <v>350</v>
      </c>
      <c r="B164" s="4">
        <v>45198</v>
      </c>
      <c r="C164" s="3" t="s">
        <v>351</v>
      </c>
      <c r="D164" s="3" t="s">
        <v>87</v>
      </c>
      <c r="E164" s="3" t="s">
        <v>88</v>
      </c>
      <c r="F164" s="3" t="s">
        <v>31</v>
      </c>
      <c r="G164" s="3" t="s">
        <v>32</v>
      </c>
      <c r="H164" s="3">
        <v>2649.67</v>
      </c>
      <c r="I164" s="3">
        <v>4</v>
      </c>
      <c r="J164" s="3">
        <v>0</v>
      </c>
      <c r="K164" s="9">
        <f t="shared" si="6"/>
        <v>10598.68</v>
      </c>
      <c r="L164" s="9">
        <f t="shared" si="7"/>
        <v>0</v>
      </c>
      <c r="M164" s="10">
        <f t="shared" si="8"/>
        <v>10598.68</v>
      </c>
      <c r="N164" s="3" t="s">
        <v>33</v>
      </c>
      <c r="O164" s="3" t="s">
        <v>18</v>
      </c>
      <c r="P164" s="3" t="s">
        <v>34</v>
      </c>
    </row>
    <row r="165" spans="1:16" x14ac:dyDescent="0.25">
      <c r="A165" s="2" t="s">
        <v>352</v>
      </c>
      <c r="B165" s="4">
        <v>45199</v>
      </c>
      <c r="C165" s="2" t="s">
        <v>353</v>
      </c>
      <c r="D165" s="2" t="s">
        <v>76</v>
      </c>
      <c r="E165" s="2" t="s">
        <v>77</v>
      </c>
      <c r="F165" s="2" t="s">
        <v>31</v>
      </c>
      <c r="G165" s="2" t="s">
        <v>242</v>
      </c>
      <c r="H165" s="2">
        <v>858.01</v>
      </c>
      <c r="I165" s="2">
        <v>1</v>
      </c>
      <c r="J165" s="2">
        <v>0</v>
      </c>
      <c r="K165" s="9">
        <f t="shared" si="6"/>
        <v>858.01</v>
      </c>
      <c r="L165" s="9">
        <f t="shared" si="7"/>
        <v>0</v>
      </c>
      <c r="M165" s="10">
        <f t="shared" si="8"/>
        <v>858.01</v>
      </c>
      <c r="N165" s="2" t="s">
        <v>68</v>
      </c>
      <c r="O165" s="2" t="s">
        <v>18</v>
      </c>
      <c r="P165" s="2" t="s">
        <v>19</v>
      </c>
    </row>
    <row r="166" spans="1:16" x14ac:dyDescent="0.25">
      <c r="A166" s="3" t="s">
        <v>354</v>
      </c>
      <c r="B166" s="4">
        <v>45200</v>
      </c>
      <c r="C166" s="3" t="s">
        <v>355</v>
      </c>
      <c r="D166" s="3" t="s">
        <v>87</v>
      </c>
      <c r="E166" s="3" t="s">
        <v>88</v>
      </c>
      <c r="F166" s="3" t="s">
        <v>36</v>
      </c>
      <c r="G166" s="3" t="s">
        <v>78</v>
      </c>
      <c r="H166" s="3">
        <v>82074.64</v>
      </c>
      <c r="I166" s="3">
        <v>3</v>
      </c>
      <c r="J166" s="3">
        <v>0</v>
      </c>
      <c r="K166" s="9">
        <f t="shared" si="6"/>
        <v>246223.91999999998</v>
      </c>
      <c r="L166" s="9">
        <f t="shared" si="7"/>
        <v>0</v>
      </c>
      <c r="M166" s="10">
        <f t="shared" si="8"/>
        <v>246223.91999999998</v>
      </c>
      <c r="N166" s="3" t="s">
        <v>33</v>
      </c>
      <c r="O166" s="3" t="s">
        <v>52</v>
      </c>
      <c r="P166" s="3" t="s">
        <v>60</v>
      </c>
    </row>
    <row r="167" spans="1:16" x14ac:dyDescent="0.25">
      <c r="A167" s="2" t="s">
        <v>356</v>
      </c>
      <c r="B167" s="4">
        <v>45201</v>
      </c>
      <c r="C167" s="2" t="s">
        <v>107</v>
      </c>
      <c r="D167" s="2" t="s">
        <v>87</v>
      </c>
      <c r="E167" s="2" t="s">
        <v>88</v>
      </c>
      <c r="F167" s="2" t="s">
        <v>43</v>
      </c>
      <c r="G167" s="2" t="s">
        <v>44</v>
      </c>
      <c r="H167" s="2">
        <v>3658.77</v>
      </c>
      <c r="I167" s="2">
        <v>3</v>
      </c>
      <c r="J167" s="2">
        <v>0</v>
      </c>
      <c r="K167" s="9">
        <f t="shared" si="6"/>
        <v>10976.31</v>
      </c>
      <c r="L167" s="9">
        <f t="shared" si="7"/>
        <v>0</v>
      </c>
      <c r="M167" s="10">
        <f t="shared" si="8"/>
        <v>10976.31</v>
      </c>
      <c r="N167" s="2" t="s">
        <v>26</v>
      </c>
      <c r="O167" s="2" t="s">
        <v>18</v>
      </c>
      <c r="P167" s="2" t="s">
        <v>40</v>
      </c>
    </row>
    <row r="168" spans="1:16" x14ac:dyDescent="0.25">
      <c r="A168" s="3" t="s">
        <v>357</v>
      </c>
      <c r="B168" s="4">
        <v>45202</v>
      </c>
      <c r="C168" s="3" t="s">
        <v>86</v>
      </c>
      <c r="D168" s="3" t="s">
        <v>65</v>
      </c>
      <c r="E168" s="3" t="s">
        <v>66</v>
      </c>
      <c r="F168" s="3" t="s">
        <v>31</v>
      </c>
      <c r="G168" s="3" t="s">
        <v>242</v>
      </c>
      <c r="H168" s="3">
        <v>954.2</v>
      </c>
      <c r="I168" s="3">
        <v>2</v>
      </c>
      <c r="J168" s="3">
        <v>15</v>
      </c>
      <c r="K168" s="9">
        <f t="shared" si="6"/>
        <v>1908.4</v>
      </c>
      <c r="L168" s="9">
        <f t="shared" si="7"/>
        <v>286.26</v>
      </c>
      <c r="M168" s="10">
        <f t="shared" si="8"/>
        <v>1622.14</v>
      </c>
      <c r="N168" s="3" t="s">
        <v>26</v>
      </c>
      <c r="O168" s="3" t="s">
        <v>39</v>
      </c>
      <c r="P168" s="3" t="s">
        <v>19</v>
      </c>
    </row>
    <row r="169" spans="1:16" x14ac:dyDescent="0.25">
      <c r="A169" s="2" t="s">
        <v>358</v>
      </c>
      <c r="B169" s="4">
        <v>45203</v>
      </c>
      <c r="C169" s="2" t="s">
        <v>359</v>
      </c>
      <c r="D169" s="2" t="s">
        <v>100</v>
      </c>
      <c r="E169" s="2" t="s">
        <v>88</v>
      </c>
      <c r="F169" s="2" t="s">
        <v>36</v>
      </c>
      <c r="G169" s="2" t="s">
        <v>49</v>
      </c>
      <c r="H169" s="2">
        <v>158355.46</v>
      </c>
      <c r="I169" s="2">
        <v>3</v>
      </c>
      <c r="J169" s="2">
        <v>10</v>
      </c>
      <c r="K169" s="9">
        <f t="shared" si="6"/>
        <v>475066.38</v>
      </c>
      <c r="L169" s="9">
        <f t="shared" si="7"/>
        <v>47506.637999999999</v>
      </c>
      <c r="M169" s="10">
        <f t="shared" si="8"/>
        <v>427559.74200000003</v>
      </c>
      <c r="N169" s="2" t="s">
        <v>33</v>
      </c>
      <c r="O169" s="2" t="s">
        <v>52</v>
      </c>
      <c r="P169" s="2" t="s">
        <v>40</v>
      </c>
    </row>
    <row r="170" spans="1:16" x14ac:dyDescent="0.25">
      <c r="A170" s="3" t="s">
        <v>360</v>
      </c>
      <c r="B170" s="4">
        <v>45204</v>
      </c>
      <c r="C170" s="3" t="s">
        <v>361</v>
      </c>
      <c r="D170" s="3" t="s">
        <v>76</v>
      </c>
      <c r="E170" s="3" t="s">
        <v>77</v>
      </c>
      <c r="F170" s="3" t="s">
        <v>31</v>
      </c>
      <c r="G170" s="3" t="s">
        <v>116</v>
      </c>
      <c r="H170" s="3">
        <v>1186.55</v>
      </c>
      <c r="I170" s="3">
        <v>1</v>
      </c>
      <c r="J170" s="3">
        <v>5</v>
      </c>
      <c r="K170" s="9">
        <f t="shared" si="6"/>
        <v>1186.55</v>
      </c>
      <c r="L170" s="9">
        <f t="shared" si="7"/>
        <v>59.327500000000001</v>
      </c>
      <c r="M170" s="10">
        <f t="shared" si="8"/>
        <v>1127.2224999999999</v>
      </c>
      <c r="N170" s="3" t="s">
        <v>26</v>
      </c>
      <c r="O170" s="3" t="s">
        <v>52</v>
      </c>
      <c r="P170" s="3" t="s">
        <v>34</v>
      </c>
    </row>
    <row r="171" spans="1:16" x14ac:dyDescent="0.25">
      <c r="A171" s="2" t="s">
        <v>362</v>
      </c>
      <c r="B171" s="4">
        <v>45205</v>
      </c>
      <c r="C171" s="2" t="s">
        <v>211</v>
      </c>
      <c r="D171" s="2" t="s">
        <v>47</v>
      </c>
      <c r="E171" s="2" t="s">
        <v>48</v>
      </c>
      <c r="F171" s="2" t="s">
        <v>24</v>
      </c>
      <c r="G171" s="2" t="s">
        <v>92</v>
      </c>
      <c r="H171" s="2">
        <v>1357.77</v>
      </c>
      <c r="I171" s="2">
        <v>2</v>
      </c>
      <c r="J171" s="2">
        <v>0</v>
      </c>
      <c r="K171" s="9">
        <f t="shared" si="6"/>
        <v>2715.54</v>
      </c>
      <c r="L171" s="9">
        <f t="shared" si="7"/>
        <v>0</v>
      </c>
      <c r="M171" s="10">
        <f t="shared" si="8"/>
        <v>2715.54</v>
      </c>
      <c r="N171" s="2" t="s">
        <v>17</v>
      </c>
      <c r="O171" s="2" t="s">
        <v>18</v>
      </c>
      <c r="P171" s="2" t="s">
        <v>19</v>
      </c>
    </row>
    <row r="172" spans="1:16" x14ac:dyDescent="0.25">
      <c r="A172" s="3" t="s">
        <v>363</v>
      </c>
      <c r="B172" s="4">
        <v>45206</v>
      </c>
      <c r="C172" s="3" t="s">
        <v>364</v>
      </c>
      <c r="D172" s="3" t="s">
        <v>76</v>
      </c>
      <c r="E172" s="3" t="s">
        <v>77</v>
      </c>
      <c r="F172" s="3" t="s">
        <v>24</v>
      </c>
      <c r="G172" s="3" t="s">
        <v>59</v>
      </c>
      <c r="H172" s="3">
        <v>4785.58</v>
      </c>
      <c r="I172" s="3">
        <v>4</v>
      </c>
      <c r="J172" s="3">
        <v>5</v>
      </c>
      <c r="K172" s="9">
        <f t="shared" si="6"/>
        <v>19142.32</v>
      </c>
      <c r="L172" s="9">
        <f t="shared" si="7"/>
        <v>957.1160000000001</v>
      </c>
      <c r="M172" s="10">
        <f t="shared" si="8"/>
        <v>18185.203999999998</v>
      </c>
      <c r="N172" s="3" t="s">
        <v>68</v>
      </c>
      <c r="O172" s="3" t="s">
        <v>18</v>
      </c>
      <c r="P172" s="3" t="s">
        <v>40</v>
      </c>
    </row>
    <row r="173" spans="1:16" x14ac:dyDescent="0.25">
      <c r="A173" s="2" t="s">
        <v>365</v>
      </c>
      <c r="B173" s="4">
        <v>45207</v>
      </c>
      <c r="C173" s="2" t="s">
        <v>326</v>
      </c>
      <c r="D173" s="2" t="s">
        <v>76</v>
      </c>
      <c r="E173" s="2" t="s">
        <v>77</v>
      </c>
      <c r="F173" s="2" t="s">
        <v>36</v>
      </c>
      <c r="G173" s="2" t="s">
        <v>121</v>
      </c>
      <c r="H173" s="2">
        <v>103883.66</v>
      </c>
      <c r="I173" s="2">
        <v>3</v>
      </c>
      <c r="J173" s="2">
        <v>10</v>
      </c>
      <c r="K173" s="9">
        <f t="shared" si="6"/>
        <v>311650.98</v>
      </c>
      <c r="L173" s="9">
        <f t="shared" si="7"/>
        <v>31165.097999999998</v>
      </c>
      <c r="M173" s="10">
        <f t="shared" si="8"/>
        <v>280485.88199999998</v>
      </c>
      <c r="N173" s="2" t="s">
        <v>38</v>
      </c>
      <c r="O173" s="2" t="s">
        <v>27</v>
      </c>
      <c r="P173" s="2" t="s">
        <v>40</v>
      </c>
    </row>
    <row r="174" spans="1:16" x14ac:dyDescent="0.25">
      <c r="A174" s="3" t="s">
        <v>366</v>
      </c>
      <c r="B174" s="4">
        <v>45208</v>
      </c>
      <c r="C174" s="3" t="s">
        <v>355</v>
      </c>
      <c r="D174" s="3" t="s">
        <v>47</v>
      </c>
      <c r="E174" s="3" t="s">
        <v>48</v>
      </c>
      <c r="F174" s="3" t="s">
        <v>72</v>
      </c>
      <c r="G174" s="3" t="s">
        <v>102</v>
      </c>
      <c r="H174" s="3">
        <v>677.54</v>
      </c>
      <c r="I174" s="3">
        <v>2</v>
      </c>
      <c r="J174" s="3">
        <v>0</v>
      </c>
      <c r="K174" s="9">
        <f t="shared" si="6"/>
        <v>1355.08</v>
      </c>
      <c r="L174" s="9">
        <f t="shared" si="7"/>
        <v>0</v>
      </c>
      <c r="M174" s="10">
        <f t="shared" si="8"/>
        <v>1355.08</v>
      </c>
      <c r="N174" s="3" t="s">
        <v>17</v>
      </c>
      <c r="O174" s="3" t="s">
        <v>18</v>
      </c>
      <c r="P174" s="3" t="s">
        <v>40</v>
      </c>
    </row>
    <row r="175" spans="1:16" x14ac:dyDescent="0.25">
      <c r="A175" s="2" t="s">
        <v>367</v>
      </c>
      <c r="B175" s="4">
        <v>45209</v>
      </c>
      <c r="C175" s="2" t="s">
        <v>60</v>
      </c>
      <c r="D175" s="2" t="s">
        <v>76</v>
      </c>
      <c r="E175" s="2" t="s">
        <v>77</v>
      </c>
      <c r="F175" s="2" t="s">
        <v>36</v>
      </c>
      <c r="G175" s="2" t="s">
        <v>338</v>
      </c>
      <c r="H175" s="2">
        <v>65702.28</v>
      </c>
      <c r="I175" s="2">
        <v>3</v>
      </c>
      <c r="J175" s="2">
        <v>0</v>
      </c>
      <c r="K175" s="9">
        <f t="shared" si="6"/>
        <v>197106.84</v>
      </c>
      <c r="L175" s="9">
        <f t="shared" si="7"/>
        <v>0</v>
      </c>
      <c r="M175" s="10">
        <f t="shared" si="8"/>
        <v>197106.84</v>
      </c>
      <c r="N175" s="2" t="s">
        <v>17</v>
      </c>
      <c r="O175" s="2" t="s">
        <v>18</v>
      </c>
      <c r="P175" s="2" t="s">
        <v>19</v>
      </c>
    </row>
    <row r="176" spans="1:16" x14ac:dyDescent="0.25">
      <c r="A176" s="3" t="s">
        <v>368</v>
      </c>
      <c r="B176" s="4">
        <v>45210</v>
      </c>
      <c r="C176" s="3" t="s">
        <v>369</v>
      </c>
      <c r="D176" s="3" t="s">
        <v>65</v>
      </c>
      <c r="E176" s="3" t="s">
        <v>66</v>
      </c>
      <c r="F176" s="3" t="s">
        <v>15</v>
      </c>
      <c r="G176" s="3" t="s">
        <v>95</v>
      </c>
      <c r="H176" s="3">
        <v>1206.17</v>
      </c>
      <c r="I176" s="3">
        <v>4</v>
      </c>
      <c r="J176" s="3">
        <v>15</v>
      </c>
      <c r="K176" s="9">
        <f t="shared" si="6"/>
        <v>4824.68</v>
      </c>
      <c r="L176" s="9">
        <f t="shared" si="7"/>
        <v>723.70200000000011</v>
      </c>
      <c r="M176" s="10">
        <f t="shared" si="8"/>
        <v>4100.9780000000001</v>
      </c>
      <c r="N176" s="3" t="s">
        <v>68</v>
      </c>
      <c r="O176" s="3" t="s">
        <v>18</v>
      </c>
      <c r="P176" s="3" t="s">
        <v>34</v>
      </c>
    </row>
    <row r="177" spans="1:16" x14ac:dyDescent="0.25">
      <c r="A177" s="2" t="s">
        <v>370</v>
      </c>
      <c r="B177" s="4">
        <v>45211</v>
      </c>
      <c r="C177" s="2" t="s">
        <v>371</v>
      </c>
      <c r="D177" s="2" t="s">
        <v>76</v>
      </c>
      <c r="E177" s="2" t="s">
        <v>77</v>
      </c>
      <c r="F177" s="2" t="s">
        <v>15</v>
      </c>
      <c r="G177" s="2" t="s">
        <v>56</v>
      </c>
      <c r="H177" s="2">
        <v>1744.03</v>
      </c>
      <c r="I177" s="2">
        <v>5</v>
      </c>
      <c r="J177" s="2">
        <v>5</v>
      </c>
      <c r="K177" s="9">
        <f t="shared" si="6"/>
        <v>8720.15</v>
      </c>
      <c r="L177" s="9">
        <f t="shared" si="7"/>
        <v>436.00749999999999</v>
      </c>
      <c r="M177" s="10">
        <f t="shared" si="8"/>
        <v>8284.1424999999999</v>
      </c>
      <c r="N177" s="6" t="s">
        <v>33</v>
      </c>
      <c r="O177" s="2" t="s">
        <v>18</v>
      </c>
      <c r="P177" s="2" t="s">
        <v>53</v>
      </c>
    </row>
    <row r="178" spans="1:16" x14ac:dyDescent="0.25">
      <c r="A178" s="3" t="s">
        <v>372</v>
      </c>
      <c r="B178" s="4">
        <v>45212</v>
      </c>
      <c r="C178" s="3" t="s">
        <v>373</v>
      </c>
      <c r="D178" s="3" t="s">
        <v>22</v>
      </c>
      <c r="E178" s="3" t="s">
        <v>23</v>
      </c>
      <c r="F178" s="3" t="s">
        <v>110</v>
      </c>
      <c r="G178" s="3" t="s">
        <v>153</v>
      </c>
      <c r="H178" s="3">
        <v>3362.89</v>
      </c>
      <c r="I178" s="3">
        <v>2</v>
      </c>
      <c r="J178" s="3">
        <v>0</v>
      </c>
      <c r="K178" s="9">
        <f t="shared" si="6"/>
        <v>6725.78</v>
      </c>
      <c r="L178" s="9">
        <f t="shared" si="7"/>
        <v>0</v>
      </c>
      <c r="M178" s="10">
        <f t="shared" si="8"/>
        <v>6725.78</v>
      </c>
      <c r="N178" s="3" t="s">
        <v>26</v>
      </c>
      <c r="O178" s="3" t="s">
        <v>18</v>
      </c>
      <c r="P178" s="3" t="s">
        <v>19</v>
      </c>
    </row>
    <row r="179" spans="1:16" x14ac:dyDescent="0.25">
      <c r="A179" s="2" t="s">
        <v>374</v>
      </c>
      <c r="B179" s="4">
        <v>45213</v>
      </c>
      <c r="C179" s="2" t="s">
        <v>369</v>
      </c>
      <c r="D179" s="2" t="s">
        <v>51</v>
      </c>
      <c r="E179" s="2" t="s">
        <v>14</v>
      </c>
      <c r="F179" s="2" t="s">
        <v>15</v>
      </c>
      <c r="G179" s="2" t="s">
        <v>56</v>
      </c>
      <c r="H179" s="2">
        <v>1718.8</v>
      </c>
      <c r="I179" s="2">
        <v>3</v>
      </c>
      <c r="J179" s="2">
        <v>15</v>
      </c>
      <c r="K179" s="9">
        <f t="shared" si="6"/>
        <v>5156.3999999999996</v>
      </c>
      <c r="L179" s="9">
        <f t="shared" si="7"/>
        <v>773.46</v>
      </c>
      <c r="M179" s="10">
        <f t="shared" si="8"/>
        <v>4382.9399999999996</v>
      </c>
      <c r="N179" s="2" t="s">
        <v>17</v>
      </c>
      <c r="O179" s="2" t="s">
        <v>18</v>
      </c>
      <c r="P179" s="2" t="s">
        <v>19</v>
      </c>
    </row>
    <row r="180" spans="1:16" x14ac:dyDescent="0.25">
      <c r="A180" s="3" t="s">
        <v>375</v>
      </c>
      <c r="B180" s="4">
        <v>45214</v>
      </c>
      <c r="C180" s="3" t="s">
        <v>376</v>
      </c>
      <c r="D180" s="3" t="s">
        <v>29</v>
      </c>
      <c r="E180" s="3" t="s">
        <v>30</v>
      </c>
      <c r="F180" s="3" t="s">
        <v>24</v>
      </c>
      <c r="G180" s="3" t="s">
        <v>25</v>
      </c>
      <c r="H180" s="3">
        <v>4642.8599999999997</v>
      </c>
      <c r="I180" s="3">
        <v>5</v>
      </c>
      <c r="J180" s="3">
        <v>0</v>
      </c>
      <c r="K180" s="9">
        <f t="shared" si="6"/>
        <v>23214.3</v>
      </c>
      <c r="L180" s="9">
        <f t="shared" si="7"/>
        <v>0</v>
      </c>
      <c r="M180" s="10">
        <f t="shared" si="8"/>
        <v>23214.3</v>
      </c>
      <c r="N180" s="3" t="s">
        <v>17</v>
      </c>
      <c r="O180" s="3" t="s">
        <v>18</v>
      </c>
      <c r="P180" s="3" t="s">
        <v>40</v>
      </c>
    </row>
    <row r="181" spans="1:16" x14ac:dyDescent="0.25">
      <c r="A181" s="2" t="s">
        <v>377</v>
      </c>
      <c r="B181" s="4">
        <v>45215</v>
      </c>
      <c r="C181" s="2" t="s">
        <v>378</v>
      </c>
      <c r="D181" s="2" t="s">
        <v>29</v>
      </c>
      <c r="E181" s="2" t="s">
        <v>30</v>
      </c>
      <c r="F181" s="2" t="s">
        <v>31</v>
      </c>
      <c r="G181" s="2" t="s">
        <v>186</v>
      </c>
      <c r="H181" s="2">
        <v>842.71</v>
      </c>
      <c r="I181" s="2">
        <v>4</v>
      </c>
      <c r="J181" s="2">
        <v>0</v>
      </c>
      <c r="K181" s="9">
        <f t="shared" si="6"/>
        <v>3370.84</v>
      </c>
      <c r="L181" s="9">
        <f t="shared" si="7"/>
        <v>0</v>
      </c>
      <c r="M181" s="10">
        <f t="shared" si="8"/>
        <v>3370.84</v>
      </c>
      <c r="N181" s="2" t="s">
        <v>68</v>
      </c>
      <c r="O181" s="2" t="s">
        <v>18</v>
      </c>
      <c r="P181" s="2" t="s">
        <v>19</v>
      </c>
    </row>
    <row r="182" spans="1:16" x14ac:dyDescent="0.25">
      <c r="A182" s="3" t="s">
        <v>379</v>
      </c>
      <c r="B182" s="4">
        <v>45216</v>
      </c>
      <c r="C182" s="3" t="s">
        <v>118</v>
      </c>
      <c r="D182" s="3" t="s">
        <v>76</v>
      </c>
      <c r="E182" s="3" t="s">
        <v>77</v>
      </c>
      <c r="F182" s="3" t="s">
        <v>24</v>
      </c>
      <c r="G182" s="3" t="s">
        <v>170</v>
      </c>
      <c r="H182" s="3">
        <v>1177.46</v>
      </c>
      <c r="I182" s="3">
        <v>4</v>
      </c>
      <c r="J182" s="3">
        <v>5</v>
      </c>
      <c r="K182" s="9">
        <f t="shared" si="6"/>
        <v>4709.84</v>
      </c>
      <c r="L182" s="9">
        <f t="shared" si="7"/>
        <v>235.49200000000002</v>
      </c>
      <c r="M182" s="10">
        <f t="shared" si="8"/>
        <v>4474.348</v>
      </c>
      <c r="N182" s="3" t="s">
        <v>68</v>
      </c>
      <c r="O182" s="3" t="s">
        <v>18</v>
      </c>
      <c r="P182" s="3" t="s">
        <v>60</v>
      </c>
    </row>
    <row r="183" spans="1:16" x14ac:dyDescent="0.25">
      <c r="A183" s="2" t="s">
        <v>380</v>
      </c>
      <c r="B183" s="4">
        <v>45217</v>
      </c>
      <c r="C183" s="2" t="s">
        <v>155</v>
      </c>
      <c r="D183" s="2" t="s">
        <v>51</v>
      </c>
      <c r="E183" s="2" t="s">
        <v>14</v>
      </c>
      <c r="F183" s="2" t="s">
        <v>31</v>
      </c>
      <c r="G183" s="2" t="s">
        <v>242</v>
      </c>
      <c r="H183" s="2">
        <v>835.86</v>
      </c>
      <c r="I183" s="2">
        <v>3</v>
      </c>
      <c r="J183" s="2">
        <v>10</v>
      </c>
      <c r="K183" s="9">
        <f t="shared" si="6"/>
        <v>2507.58</v>
      </c>
      <c r="L183" s="9">
        <f t="shared" si="7"/>
        <v>250.75799999999998</v>
      </c>
      <c r="M183" s="10">
        <f t="shared" si="8"/>
        <v>2256.8220000000001</v>
      </c>
      <c r="N183" s="2" t="s">
        <v>33</v>
      </c>
      <c r="O183" s="2" t="s">
        <v>18</v>
      </c>
      <c r="P183" s="2" t="s">
        <v>34</v>
      </c>
    </row>
    <row r="184" spans="1:16" x14ac:dyDescent="0.25">
      <c r="A184" s="3" t="s">
        <v>381</v>
      </c>
      <c r="B184" s="4">
        <v>45218</v>
      </c>
      <c r="C184" s="3" t="s">
        <v>382</v>
      </c>
      <c r="D184" s="3" t="s">
        <v>87</v>
      </c>
      <c r="E184" s="3" t="s">
        <v>88</v>
      </c>
      <c r="F184" s="3" t="s">
        <v>24</v>
      </c>
      <c r="G184" s="3" t="s">
        <v>134</v>
      </c>
      <c r="H184" s="3">
        <v>2311.2600000000002</v>
      </c>
      <c r="I184" s="3">
        <v>4</v>
      </c>
      <c r="J184" s="3">
        <v>0</v>
      </c>
      <c r="K184" s="9">
        <f t="shared" si="6"/>
        <v>9245.0400000000009</v>
      </c>
      <c r="L184" s="9">
        <f t="shared" si="7"/>
        <v>0</v>
      </c>
      <c r="M184" s="10">
        <f t="shared" si="8"/>
        <v>9245.0400000000009</v>
      </c>
      <c r="N184" s="3" t="s">
        <v>26</v>
      </c>
      <c r="O184" s="3" t="s">
        <v>18</v>
      </c>
      <c r="P184" s="3" t="s">
        <v>40</v>
      </c>
    </row>
    <row r="185" spans="1:16" x14ac:dyDescent="0.25">
      <c r="A185" s="2" t="s">
        <v>383</v>
      </c>
      <c r="B185" s="4">
        <v>45219</v>
      </c>
      <c r="C185" s="2" t="s">
        <v>159</v>
      </c>
      <c r="D185" s="2" t="s">
        <v>65</v>
      </c>
      <c r="E185" s="2" t="s">
        <v>66</v>
      </c>
      <c r="F185" s="2" t="s">
        <v>24</v>
      </c>
      <c r="G185" s="2" t="s">
        <v>25</v>
      </c>
      <c r="H185" s="2">
        <v>4782.13</v>
      </c>
      <c r="I185" s="2">
        <v>5</v>
      </c>
      <c r="J185" s="2">
        <v>5</v>
      </c>
      <c r="K185" s="9">
        <f t="shared" si="6"/>
        <v>23910.65</v>
      </c>
      <c r="L185" s="9">
        <f t="shared" si="7"/>
        <v>1195.5325</v>
      </c>
      <c r="M185" s="10">
        <f t="shared" si="8"/>
        <v>22715.1175</v>
      </c>
      <c r="N185" s="2" t="s">
        <v>26</v>
      </c>
      <c r="O185" s="2" t="s">
        <v>39</v>
      </c>
      <c r="P185" s="2" t="s">
        <v>53</v>
      </c>
    </row>
    <row r="186" spans="1:16" x14ac:dyDescent="0.25">
      <c r="A186" s="3" t="s">
        <v>384</v>
      </c>
      <c r="B186" s="4">
        <v>45220</v>
      </c>
      <c r="C186" s="3" t="s">
        <v>152</v>
      </c>
      <c r="D186" s="3" t="s">
        <v>76</v>
      </c>
      <c r="E186" s="3" t="s">
        <v>77</v>
      </c>
      <c r="F186" s="3" t="s">
        <v>31</v>
      </c>
      <c r="G186" s="3" t="s">
        <v>70</v>
      </c>
      <c r="H186" s="3">
        <v>542.78</v>
      </c>
      <c r="I186" s="3">
        <v>4</v>
      </c>
      <c r="J186" s="3">
        <v>10</v>
      </c>
      <c r="K186" s="9">
        <f t="shared" si="6"/>
        <v>2171.12</v>
      </c>
      <c r="L186" s="9">
        <f t="shared" si="7"/>
        <v>217.11199999999997</v>
      </c>
      <c r="M186" s="10">
        <f t="shared" si="8"/>
        <v>1954.0079999999998</v>
      </c>
      <c r="N186" s="3" t="s">
        <v>33</v>
      </c>
      <c r="O186" s="3" t="s">
        <v>18</v>
      </c>
      <c r="P186" s="3" t="s">
        <v>53</v>
      </c>
    </row>
    <row r="187" spans="1:16" x14ac:dyDescent="0.25">
      <c r="A187" s="2" t="s">
        <v>385</v>
      </c>
      <c r="B187" s="4">
        <v>45221</v>
      </c>
      <c r="C187" s="2" t="s">
        <v>351</v>
      </c>
      <c r="D187" s="2" t="s">
        <v>13</v>
      </c>
      <c r="E187" s="2" t="s">
        <v>14</v>
      </c>
      <c r="F187" s="2" t="s">
        <v>31</v>
      </c>
      <c r="G187" s="2" t="s">
        <v>70</v>
      </c>
      <c r="H187" s="2">
        <v>611.70000000000005</v>
      </c>
      <c r="I187" s="2">
        <v>4</v>
      </c>
      <c r="J187" s="2">
        <v>5</v>
      </c>
      <c r="K187" s="9">
        <f t="shared" si="6"/>
        <v>2446.8000000000002</v>
      </c>
      <c r="L187" s="9">
        <f t="shared" si="7"/>
        <v>122.34</v>
      </c>
      <c r="M187" s="10">
        <f t="shared" si="8"/>
        <v>2324.46</v>
      </c>
      <c r="N187" s="2" t="s">
        <v>26</v>
      </c>
      <c r="O187" s="2" t="s">
        <v>18</v>
      </c>
      <c r="P187" s="2" t="s">
        <v>40</v>
      </c>
    </row>
    <row r="188" spans="1:16" x14ac:dyDescent="0.25">
      <c r="A188" s="3" t="s">
        <v>386</v>
      </c>
      <c r="B188" s="4">
        <v>45222</v>
      </c>
      <c r="C188" s="3" t="s">
        <v>387</v>
      </c>
      <c r="D188" s="3" t="s">
        <v>87</v>
      </c>
      <c r="E188" s="3" t="s">
        <v>88</v>
      </c>
      <c r="F188" s="3" t="s">
        <v>72</v>
      </c>
      <c r="G188" s="3" t="s">
        <v>129</v>
      </c>
      <c r="H188" s="3">
        <v>1751.74</v>
      </c>
      <c r="I188" s="3">
        <v>4</v>
      </c>
      <c r="J188" s="3">
        <v>0</v>
      </c>
      <c r="K188" s="9">
        <f t="shared" si="6"/>
        <v>7006.96</v>
      </c>
      <c r="L188" s="9">
        <f t="shared" si="7"/>
        <v>0</v>
      </c>
      <c r="M188" s="10">
        <f t="shared" si="8"/>
        <v>7006.96</v>
      </c>
      <c r="N188" s="3" t="s">
        <v>17</v>
      </c>
      <c r="O188" s="3" t="s">
        <v>52</v>
      </c>
      <c r="P188" s="3" t="s">
        <v>53</v>
      </c>
    </row>
    <row r="189" spans="1:16" x14ac:dyDescent="0.25">
      <c r="A189" s="2" t="s">
        <v>388</v>
      </c>
      <c r="B189" s="4">
        <v>45223</v>
      </c>
      <c r="C189" s="2" t="s">
        <v>355</v>
      </c>
      <c r="D189" s="2" t="s">
        <v>22</v>
      </c>
      <c r="E189" s="2" t="s">
        <v>23</v>
      </c>
      <c r="F189" s="2" t="s">
        <v>43</v>
      </c>
      <c r="G189" s="2" t="s">
        <v>89</v>
      </c>
      <c r="H189" s="2">
        <v>4455.32</v>
      </c>
      <c r="I189" s="2">
        <v>5</v>
      </c>
      <c r="J189" s="2">
        <v>0</v>
      </c>
      <c r="K189" s="9">
        <f t="shared" si="6"/>
        <v>22276.6</v>
      </c>
      <c r="L189" s="9">
        <f t="shared" si="7"/>
        <v>0</v>
      </c>
      <c r="M189" s="10">
        <f t="shared" si="8"/>
        <v>22276.6</v>
      </c>
      <c r="N189" s="2" t="s">
        <v>17</v>
      </c>
      <c r="O189" s="2" t="s">
        <v>27</v>
      </c>
      <c r="P189" s="2" t="s">
        <v>19</v>
      </c>
    </row>
    <row r="190" spans="1:16" x14ac:dyDescent="0.25">
      <c r="A190" s="3" t="s">
        <v>389</v>
      </c>
      <c r="B190" s="4">
        <v>45224</v>
      </c>
      <c r="C190" s="3" t="s">
        <v>390</v>
      </c>
      <c r="D190" s="3" t="s">
        <v>65</v>
      </c>
      <c r="E190" s="3" t="s">
        <v>66</v>
      </c>
      <c r="F190" s="3" t="s">
        <v>31</v>
      </c>
      <c r="G190" s="3" t="s">
        <v>116</v>
      </c>
      <c r="H190" s="3">
        <v>1213.8800000000001</v>
      </c>
      <c r="I190" s="3">
        <v>3</v>
      </c>
      <c r="J190" s="3">
        <v>5</v>
      </c>
      <c r="K190" s="9">
        <f t="shared" si="6"/>
        <v>3641.6400000000003</v>
      </c>
      <c r="L190" s="9">
        <f t="shared" si="7"/>
        <v>182.08199999999999</v>
      </c>
      <c r="M190" s="10">
        <f t="shared" si="8"/>
        <v>3459.5580000000004</v>
      </c>
      <c r="N190" s="3" t="s">
        <v>26</v>
      </c>
      <c r="O190" s="3" t="s">
        <v>52</v>
      </c>
      <c r="P190" s="3" t="s">
        <v>19</v>
      </c>
    </row>
    <row r="191" spans="1:16" x14ac:dyDescent="0.25">
      <c r="A191" s="2" t="s">
        <v>391</v>
      </c>
      <c r="B191" s="4">
        <v>45225</v>
      </c>
      <c r="C191" s="2" t="s">
        <v>373</v>
      </c>
      <c r="D191" s="2" t="s">
        <v>13</v>
      </c>
      <c r="E191" s="2" t="s">
        <v>14</v>
      </c>
      <c r="F191" s="2" t="s">
        <v>36</v>
      </c>
      <c r="G191" s="2" t="s">
        <v>49</v>
      </c>
      <c r="H191" s="2">
        <v>156407.76</v>
      </c>
      <c r="I191" s="2">
        <v>4</v>
      </c>
      <c r="J191" s="2">
        <v>10</v>
      </c>
      <c r="K191" s="9">
        <f t="shared" si="6"/>
        <v>625631.04</v>
      </c>
      <c r="L191" s="9">
        <f t="shared" si="7"/>
        <v>62563.104000000007</v>
      </c>
      <c r="M191" s="10">
        <f t="shared" si="8"/>
        <v>563067.93599999999</v>
      </c>
      <c r="N191" s="2" t="s">
        <v>33</v>
      </c>
      <c r="O191" s="2" t="s">
        <v>18</v>
      </c>
      <c r="P191" s="2" t="s">
        <v>19</v>
      </c>
    </row>
    <row r="192" spans="1:16" x14ac:dyDescent="0.25">
      <c r="A192" s="3" t="s">
        <v>392</v>
      </c>
      <c r="B192" s="4">
        <v>45226</v>
      </c>
      <c r="C192" s="3" t="s">
        <v>320</v>
      </c>
      <c r="D192" s="3" t="s">
        <v>29</v>
      </c>
      <c r="E192" s="3" t="s">
        <v>30</v>
      </c>
      <c r="F192" s="3" t="s">
        <v>31</v>
      </c>
      <c r="G192" s="3" t="s">
        <v>186</v>
      </c>
      <c r="H192" s="3">
        <v>782.87</v>
      </c>
      <c r="I192" s="3">
        <v>5</v>
      </c>
      <c r="J192" s="3">
        <v>10</v>
      </c>
      <c r="K192" s="9">
        <f t="shared" si="6"/>
        <v>3914.35</v>
      </c>
      <c r="L192" s="9">
        <f t="shared" si="7"/>
        <v>391.435</v>
      </c>
      <c r="M192" s="10">
        <f t="shared" si="8"/>
        <v>3522.915</v>
      </c>
      <c r="N192" s="3" t="s">
        <v>17</v>
      </c>
      <c r="O192" s="3" t="s">
        <v>18</v>
      </c>
      <c r="P192" s="3" t="s">
        <v>19</v>
      </c>
    </row>
    <row r="193" spans="1:16" x14ac:dyDescent="0.25">
      <c r="A193" s="2" t="s">
        <v>393</v>
      </c>
      <c r="B193" s="4">
        <v>45227</v>
      </c>
      <c r="C193" s="2" t="s">
        <v>178</v>
      </c>
      <c r="D193" s="2" t="s">
        <v>29</v>
      </c>
      <c r="E193" s="2" t="s">
        <v>30</v>
      </c>
      <c r="F193" s="2" t="s">
        <v>31</v>
      </c>
      <c r="G193" s="2" t="s">
        <v>70</v>
      </c>
      <c r="H193" s="2">
        <v>637.89</v>
      </c>
      <c r="I193" s="2">
        <v>3</v>
      </c>
      <c r="J193" s="2">
        <v>0</v>
      </c>
      <c r="K193" s="9">
        <f t="shared" si="6"/>
        <v>1913.67</v>
      </c>
      <c r="L193" s="9">
        <f t="shared" si="7"/>
        <v>0</v>
      </c>
      <c r="M193" s="10">
        <f t="shared" si="8"/>
        <v>1913.67</v>
      </c>
      <c r="N193" s="2" t="s">
        <v>68</v>
      </c>
      <c r="O193" s="2" t="s">
        <v>18</v>
      </c>
      <c r="P193" s="2" t="s">
        <v>19</v>
      </c>
    </row>
    <row r="194" spans="1:16" x14ac:dyDescent="0.25">
      <c r="A194" s="3" t="s">
        <v>394</v>
      </c>
      <c r="B194" s="4">
        <v>45228</v>
      </c>
      <c r="C194" s="3" t="s">
        <v>395</v>
      </c>
      <c r="D194" s="3" t="s">
        <v>13</v>
      </c>
      <c r="E194" s="3" t="s">
        <v>14</v>
      </c>
      <c r="F194" s="3" t="s">
        <v>110</v>
      </c>
      <c r="G194" s="3" t="s">
        <v>67</v>
      </c>
      <c r="H194" s="3">
        <v>4288.9799999999996</v>
      </c>
      <c r="I194" s="3">
        <v>5</v>
      </c>
      <c r="J194" s="3">
        <v>10</v>
      </c>
      <c r="K194" s="9">
        <f t="shared" ref="K194:K257" si="9">I194*H194</f>
        <v>21444.899999999998</v>
      </c>
      <c r="L194" s="9">
        <f t="shared" ref="L194:L257" si="10">K194*J194/100</f>
        <v>2144.4899999999998</v>
      </c>
      <c r="M194" s="10">
        <f t="shared" ref="M194:M257" si="11">K194-L194</f>
        <v>19300.409999999996</v>
      </c>
      <c r="N194" s="3" t="s">
        <v>26</v>
      </c>
      <c r="O194" s="3" t="s">
        <v>27</v>
      </c>
      <c r="P194" s="3" t="s">
        <v>40</v>
      </c>
    </row>
    <row r="195" spans="1:16" x14ac:dyDescent="0.25">
      <c r="A195" s="2" t="s">
        <v>396</v>
      </c>
      <c r="B195" s="4">
        <v>45229</v>
      </c>
      <c r="C195" s="2" t="s">
        <v>397</v>
      </c>
      <c r="D195" s="2" t="s">
        <v>83</v>
      </c>
      <c r="E195" s="2" t="s">
        <v>84</v>
      </c>
      <c r="F195" s="2" t="s">
        <v>15</v>
      </c>
      <c r="G195" s="2" t="s">
        <v>56</v>
      </c>
      <c r="H195" s="2">
        <v>1898.86</v>
      </c>
      <c r="I195" s="2">
        <v>4</v>
      </c>
      <c r="J195" s="2">
        <v>15</v>
      </c>
      <c r="K195" s="9">
        <f t="shared" si="9"/>
        <v>7595.44</v>
      </c>
      <c r="L195" s="9">
        <f t="shared" si="10"/>
        <v>1139.3159999999998</v>
      </c>
      <c r="M195" s="10">
        <f t="shared" si="11"/>
        <v>6456.1239999999998</v>
      </c>
      <c r="N195" s="2" t="s">
        <v>26</v>
      </c>
      <c r="O195" s="2" t="s">
        <v>18</v>
      </c>
      <c r="P195" s="2" t="s">
        <v>19</v>
      </c>
    </row>
    <row r="196" spans="1:16" x14ac:dyDescent="0.25">
      <c r="A196" s="3" t="s">
        <v>398</v>
      </c>
      <c r="B196" s="4">
        <v>45230</v>
      </c>
      <c r="C196" s="3" t="s">
        <v>399</v>
      </c>
      <c r="D196" s="3" t="s">
        <v>13</v>
      </c>
      <c r="E196" s="3" t="s">
        <v>14</v>
      </c>
      <c r="F196" s="3" t="s">
        <v>43</v>
      </c>
      <c r="G196" s="3" t="s">
        <v>105</v>
      </c>
      <c r="H196" s="3">
        <v>2754.52</v>
      </c>
      <c r="I196" s="3">
        <v>4</v>
      </c>
      <c r="J196" s="3">
        <v>10</v>
      </c>
      <c r="K196" s="9">
        <f t="shared" si="9"/>
        <v>11018.08</v>
      </c>
      <c r="L196" s="9">
        <f t="shared" si="10"/>
        <v>1101.808</v>
      </c>
      <c r="M196" s="10">
        <f t="shared" si="11"/>
        <v>9916.2720000000008</v>
      </c>
      <c r="N196" s="3" t="s">
        <v>26</v>
      </c>
      <c r="O196" s="3" t="s">
        <v>18</v>
      </c>
      <c r="P196" s="3" t="s">
        <v>19</v>
      </c>
    </row>
    <row r="197" spans="1:16" x14ac:dyDescent="0.25">
      <c r="A197" s="2" t="s">
        <v>400</v>
      </c>
      <c r="B197" s="4">
        <v>45231</v>
      </c>
      <c r="C197" s="2" t="s">
        <v>353</v>
      </c>
      <c r="D197" s="2" t="s">
        <v>13</v>
      </c>
      <c r="E197" s="2" t="s">
        <v>14</v>
      </c>
      <c r="F197" s="2" t="s">
        <v>15</v>
      </c>
      <c r="G197" s="2" t="s">
        <v>163</v>
      </c>
      <c r="H197" s="2">
        <v>2509.34</v>
      </c>
      <c r="I197" s="2">
        <v>5</v>
      </c>
      <c r="J197" s="2">
        <v>0</v>
      </c>
      <c r="K197" s="9">
        <f t="shared" si="9"/>
        <v>12546.7</v>
      </c>
      <c r="L197" s="9">
        <f t="shared" si="10"/>
        <v>0</v>
      </c>
      <c r="M197" s="10">
        <f t="shared" si="11"/>
        <v>12546.7</v>
      </c>
      <c r="N197" s="2" t="s">
        <v>68</v>
      </c>
      <c r="O197" s="2" t="s">
        <v>52</v>
      </c>
      <c r="P197" s="2" t="s">
        <v>60</v>
      </c>
    </row>
    <row r="198" spans="1:16" x14ac:dyDescent="0.25">
      <c r="A198" s="3" t="s">
        <v>401</v>
      </c>
      <c r="B198" s="4">
        <v>45232</v>
      </c>
      <c r="C198" s="3" t="s">
        <v>402</v>
      </c>
      <c r="D198" s="3" t="s">
        <v>83</v>
      </c>
      <c r="E198" s="3" t="s">
        <v>84</v>
      </c>
      <c r="F198" s="3" t="s">
        <v>31</v>
      </c>
      <c r="G198" s="3" t="s">
        <v>242</v>
      </c>
      <c r="H198" s="3">
        <v>873.77</v>
      </c>
      <c r="I198" s="3">
        <v>3</v>
      </c>
      <c r="J198" s="3">
        <v>0</v>
      </c>
      <c r="K198" s="9">
        <f t="shared" si="9"/>
        <v>2621.31</v>
      </c>
      <c r="L198" s="9">
        <f t="shared" si="10"/>
        <v>0</v>
      </c>
      <c r="M198" s="10">
        <f t="shared" si="11"/>
        <v>2621.31</v>
      </c>
      <c r="N198" s="3" t="s">
        <v>33</v>
      </c>
      <c r="O198" s="3" t="s">
        <v>18</v>
      </c>
      <c r="P198" s="3" t="s">
        <v>53</v>
      </c>
    </row>
    <row r="199" spans="1:16" x14ac:dyDescent="0.25">
      <c r="A199" s="2" t="s">
        <v>403</v>
      </c>
      <c r="B199" s="4">
        <v>45233</v>
      </c>
      <c r="C199" s="2" t="s">
        <v>355</v>
      </c>
      <c r="D199" s="2" t="s">
        <v>51</v>
      </c>
      <c r="E199" s="2" t="s">
        <v>14</v>
      </c>
      <c r="F199" s="2" t="s">
        <v>31</v>
      </c>
      <c r="G199" s="2" t="s">
        <v>116</v>
      </c>
      <c r="H199" s="2">
        <v>1249.18</v>
      </c>
      <c r="I199" s="2">
        <v>4</v>
      </c>
      <c r="J199" s="2">
        <v>15</v>
      </c>
      <c r="K199" s="9">
        <f t="shared" si="9"/>
        <v>4996.72</v>
      </c>
      <c r="L199" s="9">
        <f t="shared" si="10"/>
        <v>749.50800000000004</v>
      </c>
      <c r="M199" s="10">
        <f t="shared" si="11"/>
        <v>4247.2120000000004</v>
      </c>
      <c r="N199" s="2" t="s">
        <v>33</v>
      </c>
      <c r="O199" s="2" t="s">
        <v>18</v>
      </c>
      <c r="P199" s="2" t="s">
        <v>19</v>
      </c>
    </row>
    <row r="200" spans="1:16" x14ac:dyDescent="0.25">
      <c r="A200" s="3" t="s">
        <v>404</v>
      </c>
      <c r="B200" s="4">
        <v>45234</v>
      </c>
      <c r="C200" s="3" t="s">
        <v>364</v>
      </c>
      <c r="D200" s="3" t="s">
        <v>22</v>
      </c>
      <c r="E200" s="3" t="s">
        <v>23</v>
      </c>
      <c r="F200" s="3" t="s">
        <v>110</v>
      </c>
      <c r="G200" s="3" t="s">
        <v>111</v>
      </c>
      <c r="H200" s="3">
        <v>9271.42</v>
      </c>
      <c r="I200" s="3">
        <v>4</v>
      </c>
      <c r="J200" s="3">
        <v>0</v>
      </c>
      <c r="K200" s="9">
        <f t="shared" si="9"/>
        <v>37085.68</v>
      </c>
      <c r="L200" s="9">
        <f t="shared" si="10"/>
        <v>0</v>
      </c>
      <c r="M200" s="10">
        <f t="shared" si="11"/>
        <v>37085.68</v>
      </c>
      <c r="N200" s="3" t="s">
        <v>26</v>
      </c>
      <c r="O200" s="3" t="s">
        <v>18</v>
      </c>
      <c r="P200" s="3" t="s">
        <v>40</v>
      </c>
    </row>
    <row r="201" spans="1:16" x14ac:dyDescent="0.25">
      <c r="A201" s="2" t="s">
        <v>405</v>
      </c>
      <c r="B201" s="4">
        <v>45235</v>
      </c>
      <c r="C201" s="2" t="s">
        <v>406</v>
      </c>
      <c r="D201" s="2" t="s">
        <v>87</v>
      </c>
      <c r="E201" s="2" t="s">
        <v>88</v>
      </c>
      <c r="F201" s="2" t="s">
        <v>43</v>
      </c>
      <c r="G201" s="2" t="s">
        <v>105</v>
      </c>
      <c r="H201" s="2">
        <v>2938.51</v>
      </c>
      <c r="I201" s="2">
        <v>2</v>
      </c>
      <c r="J201" s="2">
        <v>15</v>
      </c>
      <c r="K201" s="9">
        <f t="shared" si="9"/>
        <v>5877.02</v>
      </c>
      <c r="L201" s="9">
        <f t="shared" si="10"/>
        <v>881.553</v>
      </c>
      <c r="M201" s="10">
        <f t="shared" si="11"/>
        <v>4995.4670000000006</v>
      </c>
      <c r="N201" s="2" t="s">
        <v>17</v>
      </c>
      <c r="O201" s="2" t="s">
        <v>18</v>
      </c>
      <c r="P201" s="2" t="s">
        <v>19</v>
      </c>
    </row>
    <row r="202" spans="1:16" x14ac:dyDescent="0.25">
      <c r="A202" s="3" t="s">
        <v>407</v>
      </c>
      <c r="B202" s="4">
        <v>45236</v>
      </c>
      <c r="C202" s="3" t="s">
        <v>62</v>
      </c>
      <c r="D202" s="3" t="s">
        <v>22</v>
      </c>
      <c r="E202" s="3" t="s">
        <v>23</v>
      </c>
      <c r="F202" s="3" t="s">
        <v>110</v>
      </c>
      <c r="G202" s="3" t="s">
        <v>111</v>
      </c>
      <c r="H202" s="3">
        <v>9004.64</v>
      </c>
      <c r="I202" s="3">
        <v>1</v>
      </c>
      <c r="J202" s="3">
        <v>0</v>
      </c>
      <c r="K202" s="9">
        <f t="shared" si="9"/>
        <v>9004.64</v>
      </c>
      <c r="L202" s="9">
        <f t="shared" si="10"/>
        <v>0</v>
      </c>
      <c r="M202" s="10">
        <f t="shared" si="11"/>
        <v>9004.64</v>
      </c>
      <c r="N202" s="3" t="s">
        <v>17</v>
      </c>
      <c r="O202" s="3" t="s">
        <v>18</v>
      </c>
      <c r="P202" s="3" t="s">
        <v>53</v>
      </c>
    </row>
    <row r="203" spans="1:16" x14ac:dyDescent="0.25">
      <c r="A203" s="2" t="s">
        <v>408</v>
      </c>
      <c r="B203" s="4">
        <v>45237</v>
      </c>
      <c r="C203" s="2" t="s">
        <v>139</v>
      </c>
      <c r="D203" s="2" t="s">
        <v>87</v>
      </c>
      <c r="E203" s="2" t="s">
        <v>88</v>
      </c>
      <c r="F203" s="2" t="s">
        <v>15</v>
      </c>
      <c r="G203" s="2" t="s">
        <v>95</v>
      </c>
      <c r="H203" s="2">
        <v>1104.1300000000001</v>
      </c>
      <c r="I203" s="2">
        <v>2</v>
      </c>
      <c r="J203" s="2">
        <v>15</v>
      </c>
      <c r="K203" s="9">
        <f t="shared" si="9"/>
        <v>2208.2600000000002</v>
      </c>
      <c r="L203" s="9">
        <f t="shared" si="10"/>
        <v>331.23900000000003</v>
      </c>
      <c r="M203" s="10">
        <f t="shared" si="11"/>
        <v>1877.0210000000002</v>
      </c>
      <c r="N203" s="2" t="s">
        <v>17</v>
      </c>
      <c r="O203" s="2" t="s">
        <v>18</v>
      </c>
      <c r="P203" s="2" t="s">
        <v>60</v>
      </c>
    </row>
    <row r="204" spans="1:16" x14ac:dyDescent="0.25">
      <c r="A204" s="3" t="s">
        <v>409</v>
      </c>
      <c r="B204" s="4">
        <v>45238</v>
      </c>
      <c r="C204" s="3" t="s">
        <v>155</v>
      </c>
      <c r="D204" s="3" t="s">
        <v>51</v>
      </c>
      <c r="E204" s="3" t="s">
        <v>14</v>
      </c>
      <c r="F204" s="3" t="s">
        <v>72</v>
      </c>
      <c r="G204" s="3" t="s">
        <v>137</v>
      </c>
      <c r="H204" s="3">
        <v>2121.31</v>
      </c>
      <c r="I204" s="3">
        <v>1</v>
      </c>
      <c r="J204" s="3">
        <v>15</v>
      </c>
      <c r="K204" s="9">
        <f t="shared" si="9"/>
        <v>2121.31</v>
      </c>
      <c r="L204" s="9">
        <f t="shared" si="10"/>
        <v>318.19649999999996</v>
      </c>
      <c r="M204" s="10">
        <f t="shared" si="11"/>
        <v>1803.1134999999999</v>
      </c>
      <c r="N204" s="3" t="s">
        <v>17</v>
      </c>
      <c r="O204" s="3" t="s">
        <v>18</v>
      </c>
      <c r="P204" s="3" t="s">
        <v>19</v>
      </c>
    </row>
    <row r="205" spans="1:16" x14ac:dyDescent="0.25">
      <c r="A205" s="2" t="s">
        <v>410</v>
      </c>
      <c r="B205" s="4">
        <v>45239</v>
      </c>
      <c r="C205" s="2" t="s">
        <v>411</v>
      </c>
      <c r="D205" s="2" t="s">
        <v>100</v>
      </c>
      <c r="E205" s="2" t="s">
        <v>88</v>
      </c>
      <c r="F205" s="2" t="s">
        <v>43</v>
      </c>
      <c r="G205" s="2" t="s">
        <v>127</v>
      </c>
      <c r="H205" s="2">
        <v>5977.31</v>
      </c>
      <c r="I205" s="2">
        <v>1</v>
      </c>
      <c r="J205" s="2">
        <v>0</v>
      </c>
      <c r="K205" s="9">
        <f t="shared" si="9"/>
        <v>5977.31</v>
      </c>
      <c r="L205" s="9">
        <f t="shared" si="10"/>
        <v>0</v>
      </c>
      <c r="M205" s="10">
        <f t="shared" si="11"/>
        <v>5977.31</v>
      </c>
      <c r="N205" s="2" t="s">
        <v>33</v>
      </c>
      <c r="O205" s="2" t="s">
        <v>18</v>
      </c>
      <c r="P205" s="2" t="s">
        <v>34</v>
      </c>
    </row>
    <row r="206" spans="1:16" x14ac:dyDescent="0.25">
      <c r="A206" s="3" t="s">
        <v>412</v>
      </c>
      <c r="B206" s="4">
        <v>45240</v>
      </c>
      <c r="C206" s="3" t="s">
        <v>413</v>
      </c>
      <c r="D206" s="3" t="s">
        <v>29</v>
      </c>
      <c r="E206" s="3" t="s">
        <v>30</v>
      </c>
      <c r="F206" s="3" t="s">
        <v>110</v>
      </c>
      <c r="G206" s="3" t="s">
        <v>207</v>
      </c>
      <c r="H206" s="3">
        <v>9228.3700000000008</v>
      </c>
      <c r="I206" s="3">
        <v>3</v>
      </c>
      <c r="J206" s="3">
        <v>10</v>
      </c>
      <c r="K206" s="9">
        <f t="shared" si="9"/>
        <v>27685.11</v>
      </c>
      <c r="L206" s="9">
        <f t="shared" si="10"/>
        <v>2768.511</v>
      </c>
      <c r="M206" s="10">
        <f t="shared" si="11"/>
        <v>24916.599000000002</v>
      </c>
      <c r="N206" s="3" t="s">
        <v>33</v>
      </c>
      <c r="O206" s="3" t="s">
        <v>27</v>
      </c>
      <c r="P206" s="3" t="s">
        <v>19</v>
      </c>
    </row>
    <row r="207" spans="1:16" x14ac:dyDescent="0.25">
      <c r="A207" s="2" t="s">
        <v>414</v>
      </c>
      <c r="B207" s="4">
        <v>45241</v>
      </c>
      <c r="C207" s="2" t="s">
        <v>397</v>
      </c>
      <c r="D207" s="2" t="s">
        <v>83</v>
      </c>
      <c r="E207" s="2" t="s">
        <v>84</v>
      </c>
      <c r="F207" s="2" t="s">
        <v>43</v>
      </c>
      <c r="G207" s="2" t="s">
        <v>105</v>
      </c>
      <c r="H207" s="2">
        <v>2627.97</v>
      </c>
      <c r="I207" s="2">
        <v>1</v>
      </c>
      <c r="J207" s="2">
        <v>15</v>
      </c>
      <c r="K207" s="9">
        <f t="shared" si="9"/>
        <v>2627.97</v>
      </c>
      <c r="L207" s="9">
        <f t="shared" si="10"/>
        <v>394.19549999999998</v>
      </c>
      <c r="M207" s="10">
        <f t="shared" si="11"/>
        <v>2233.7745</v>
      </c>
      <c r="N207" s="2" t="s">
        <v>26</v>
      </c>
      <c r="O207" s="2" t="s">
        <v>27</v>
      </c>
      <c r="P207" s="2" t="s">
        <v>60</v>
      </c>
    </row>
    <row r="208" spans="1:16" x14ac:dyDescent="0.25">
      <c r="A208" s="3" t="s">
        <v>415</v>
      </c>
      <c r="B208" s="4">
        <v>45242</v>
      </c>
      <c r="C208" s="3" t="s">
        <v>416</v>
      </c>
      <c r="D208" s="3" t="s">
        <v>100</v>
      </c>
      <c r="E208" s="3" t="s">
        <v>88</v>
      </c>
      <c r="F208" s="3" t="s">
        <v>36</v>
      </c>
      <c r="G208" s="3" t="s">
        <v>121</v>
      </c>
      <c r="H208" s="3">
        <v>91905.13</v>
      </c>
      <c r="I208" s="3">
        <v>3</v>
      </c>
      <c r="J208" s="3">
        <v>15</v>
      </c>
      <c r="K208" s="9">
        <f t="shared" si="9"/>
        <v>275715.39</v>
      </c>
      <c r="L208" s="9">
        <f t="shared" si="10"/>
        <v>41357.308499999999</v>
      </c>
      <c r="M208" s="10">
        <f t="shared" si="11"/>
        <v>234358.08150000003</v>
      </c>
      <c r="N208" s="3" t="s">
        <v>26</v>
      </c>
      <c r="O208" s="3" t="s">
        <v>18</v>
      </c>
      <c r="P208" s="3" t="s">
        <v>19</v>
      </c>
    </row>
    <row r="209" spans="1:16" x14ac:dyDescent="0.25">
      <c r="A209" s="2" t="s">
        <v>417</v>
      </c>
      <c r="B209" s="4">
        <v>45243</v>
      </c>
      <c r="C209" s="2" t="s">
        <v>418</v>
      </c>
      <c r="D209" s="2" t="s">
        <v>83</v>
      </c>
      <c r="E209" s="2" t="s">
        <v>84</v>
      </c>
      <c r="F209" s="2" t="s">
        <v>31</v>
      </c>
      <c r="G209" s="2" t="s">
        <v>32</v>
      </c>
      <c r="H209" s="2">
        <v>2450.42</v>
      </c>
      <c r="I209" s="2">
        <v>1</v>
      </c>
      <c r="J209" s="2">
        <v>0</v>
      </c>
      <c r="K209" s="9">
        <f t="shared" si="9"/>
        <v>2450.42</v>
      </c>
      <c r="L209" s="9">
        <f t="shared" si="10"/>
        <v>0</v>
      </c>
      <c r="M209" s="10">
        <f t="shared" si="11"/>
        <v>2450.42</v>
      </c>
      <c r="N209" s="2" t="s">
        <v>26</v>
      </c>
      <c r="O209" s="2" t="s">
        <v>18</v>
      </c>
      <c r="P209" s="2" t="s">
        <v>34</v>
      </c>
    </row>
    <row r="210" spans="1:16" x14ac:dyDescent="0.25">
      <c r="A210" s="3" t="s">
        <v>419</v>
      </c>
      <c r="B210" s="4">
        <v>45244</v>
      </c>
      <c r="C210" s="3" t="s">
        <v>413</v>
      </c>
      <c r="D210" s="3" t="s">
        <v>65</v>
      </c>
      <c r="E210" s="3" t="s">
        <v>66</v>
      </c>
      <c r="F210" s="3" t="s">
        <v>24</v>
      </c>
      <c r="G210" s="3" t="s">
        <v>134</v>
      </c>
      <c r="H210" s="3">
        <v>2626.88</v>
      </c>
      <c r="I210" s="3">
        <v>3</v>
      </c>
      <c r="J210" s="3">
        <v>0</v>
      </c>
      <c r="K210" s="9">
        <f t="shared" si="9"/>
        <v>7880.64</v>
      </c>
      <c r="L210" s="9">
        <f t="shared" si="10"/>
        <v>0</v>
      </c>
      <c r="M210" s="10">
        <f t="shared" si="11"/>
        <v>7880.64</v>
      </c>
      <c r="N210" s="3" t="s">
        <v>17</v>
      </c>
      <c r="O210" s="3" t="s">
        <v>27</v>
      </c>
      <c r="P210" s="3" t="s">
        <v>19</v>
      </c>
    </row>
    <row r="211" spans="1:16" x14ac:dyDescent="0.25">
      <c r="A211" s="2" t="s">
        <v>420</v>
      </c>
      <c r="B211" s="4">
        <v>45245</v>
      </c>
      <c r="C211" s="2" t="s">
        <v>421</v>
      </c>
      <c r="D211" s="2" t="s">
        <v>87</v>
      </c>
      <c r="E211" s="2" t="s">
        <v>88</v>
      </c>
      <c r="F211" s="2" t="s">
        <v>15</v>
      </c>
      <c r="G211" s="2" t="s">
        <v>163</v>
      </c>
      <c r="H211" s="2">
        <v>2281.06</v>
      </c>
      <c r="I211" s="2">
        <v>1</v>
      </c>
      <c r="J211" s="2">
        <v>15</v>
      </c>
      <c r="K211" s="9">
        <f t="shared" si="9"/>
        <v>2281.06</v>
      </c>
      <c r="L211" s="9">
        <f t="shared" si="10"/>
        <v>342.15899999999999</v>
      </c>
      <c r="M211" s="10">
        <f t="shared" si="11"/>
        <v>1938.9009999999998</v>
      </c>
      <c r="N211" s="2" t="s">
        <v>38</v>
      </c>
      <c r="O211" s="2" t="s">
        <v>18</v>
      </c>
      <c r="P211" s="2" t="s">
        <v>60</v>
      </c>
    </row>
    <row r="212" spans="1:16" x14ac:dyDescent="0.25">
      <c r="A212" s="3" t="s">
        <v>422</v>
      </c>
      <c r="B212" s="4">
        <v>45246</v>
      </c>
      <c r="C212" s="3" t="s">
        <v>423</v>
      </c>
      <c r="D212" s="3" t="s">
        <v>47</v>
      </c>
      <c r="E212" s="3" t="s">
        <v>48</v>
      </c>
      <c r="F212" s="3" t="s">
        <v>15</v>
      </c>
      <c r="G212" s="3" t="s">
        <v>198</v>
      </c>
      <c r="H212" s="3">
        <v>822.19</v>
      </c>
      <c r="I212" s="3">
        <v>3</v>
      </c>
      <c r="J212" s="3">
        <v>0</v>
      </c>
      <c r="K212" s="9">
        <f t="shared" si="9"/>
        <v>2466.5700000000002</v>
      </c>
      <c r="L212" s="9">
        <f t="shared" si="10"/>
        <v>0</v>
      </c>
      <c r="M212" s="10">
        <f t="shared" si="11"/>
        <v>2466.5700000000002</v>
      </c>
      <c r="N212" s="3" t="s">
        <v>17</v>
      </c>
      <c r="O212" s="3" t="s">
        <v>18</v>
      </c>
      <c r="P212" s="3" t="s">
        <v>53</v>
      </c>
    </row>
    <row r="213" spans="1:16" x14ac:dyDescent="0.25">
      <c r="A213" s="2" t="s">
        <v>424</v>
      </c>
      <c r="B213" s="4">
        <v>45247</v>
      </c>
      <c r="C213" s="2" t="s">
        <v>397</v>
      </c>
      <c r="D213" s="2" t="s">
        <v>76</v>
      </c>
      <c r="E213" s="2" t="s">
        <v>77</v>
      </c>
      <c r="F213" s="2" t="s">
        <v>15</v>
      </c>
      <c r="G213" s="2" t="s">
        <v>56</v>
      </c>
      <c r="H213" s="2">
        <v>1754.5</v>
      </c>
      <c r="I213" s="2">
        <v>5</v>
      </c>
      <c r="J213" s="2">
        <v>0</v>
      </c>
      <c r="K213" s="9">
        <f t="shared" si="9"/>
        <v>8772.5</v>
      </c>
      <c r="L213" s="9">
        <f t="shared" si="10"/>
        <v>0</v>
      </c>
      <c r="M213" s="10">
        <f t="shared" si="11"/>
        <v>8772.5</v>
      </c>
      <c r="N213" s="2" t="s">
        <v>17</v>
      </c>
      <c r="O213" s="2" t="s">
        <v>39</v>
      </c>
      <c r="P213" s="2" t="s">
        <v>53</v>
      </c>
    </row>
    <row r="214" spans="1:16" x14ac:dyDescent="0.25">
      <c r="A214" s="3" t="s">
        <v>425</v>
      </c>
      <c r="B214" s="4">
        <v>45248</v>
      </c>
      <c r="C214" s="3" t="s">
        <v>426</v>
      </c>
      <c r="D214" s="3" t="s">
        <v>22</v>
      </c>
      <c r="E214" s="3" t="s">
        <v>23</v>
      </c>
      <c r="F214" s="3" t="s">
        <v>110</v>
      </c>
      <c r="G214" s="3" t="s">
        <v>67</v>
      </c>
      <c r="H214" s="3">
        <v>4525.3599999999997</v>
      </c>
      <c r="I214" s="3">
        <v>3</v>
      </c>
      <c r="J214" s="3">
        <v>10</v>
      </c>
      <c r="K214" s="9">
        <f t="shared" si="9"/>
        <v>13576.079999999998</v>
      </c>
      <c r="L214" s="9">
        <f t="shared" si="10"/>
        <v>1357.6079999999999</v>
      </c>
      <c r="M214" s="10">
        <f t="shared" si="11"/>
        <v>12218.471999999998</v>
      </c>
      <c r="N214" s="3" t="s">
        <v>17</v>
      </c>
      <c r="O214" s="3" t="s">
        <v>18</v>
      </c>
      <c r="P214" s="3" t="s">
        <v>40</v>
      </c>
    </row>
    <row r="215" spans="1:16" x14ac:dyDescent="0.25">
      <c r="A215" s="2" t="s">
        <v>427</v>
      </c>
      <c r="B215" s="4">
        <v>45249</v>
      </c>
      <c r="C215" s="2" t="s">
        <v>94</v>
      </c>
      <c r="D215" s="2" t="s">
        <v>29</v>
      </c>
      <c r="E215" s="2" t="s">
        <v>30</v>
      </c>
      <c r="F215" s="2" t="s">
        <v>110</v>
      </c>
      <c r="G215" s="2" t="s">
        <v>153</v>
      </c>
      <c r="H215" s="2">
        <v>3265.18</v>
      </c>
      <c r="I215" s="2">
        <v>5</v>
      </c>
      <c r="J215" s="2">
        <v>15</v>
      </c>
      <c r="K215" s="9">
        <f t="shared" si="9"/>
        <v>16325.9</v>
      </c>
      <c r="L215" s="9">
        <f t="shared" si="10"/>
        <v>2448.8850000000002</v>
      </c>
      <c r="M215" s="10">
        <f t="shared" si="11"/>
        <v>13877.014999999999</v>
      </c>
      <c r="N215" s="2" t="s">
        <v>68</v>
      </c>
      <c r="O215" s="2" t="s">
        <v>27</v>
      </c>
      <c r="P215" s="2" t="s">
        <v>53</v>
      </c>
    </row>
    <row r="216" spans="1:16" x14ac:dyDescent="0.25">
      <c r="A216" s="3" t="s">
        <v>428</v>
      </c>
      <c r="B216" s="4">
        <v>45250</v>
      </c>
      <c r="C216" s="3" t="s">
        <v>429</v>
      </c>
      <c r="D216" s="3" t="s">
        <v>22</v>
      </c>
      <c r="E216" s="3" t="s">
        <v>23</v>
      </c>
      <c r="F216" s="3" t="s">
        <v>110</v>
      </c>
      <c r="G216" s="3" t="s">
        <v>67</v>
      </c>
      <c r="H216" s="3">
        <v>4777.82</v>
      </c>
      <c r="I216" s="3">
        <v>4</v>
      </c>
      <c r="J216" s="3">
        <v>10</v>
      </c>
      <c r="K216" s="9">
        <f t="shared" si="9"/>
        <v>19111.28</v>
      </c>
      <c r="L216" s="9">
        <f t="shared" si="10"/>
        <v>1911.1279999999999</v>
      </c>
      <c r="M216" s="10">
        <f t="shared" si="11"/>
        <v>17200.151999999998</v>
      </c>
      <c r="N216" s="3" t="s">
        <v>17</v>
      </c>
      <c r="O216" s="3" t="s">
        <v>18</v>
      </c>
      <c r="P216" s="3" t="s">
        <v>60</v>
      </c>
    </row>
    <row r="217" spans="1:16" x14ac:dyDescent="0.25">
      <c r="A217" s="2" t="s">
        <v>430</v>
      </c>
      <c r="B217" s="4">
        <v>45251</v>
      </c>
      <c r="C217" s="2" t="s">
        <v>431</v>
      </c>
      <c r="D217" s="2" t="s">
        <v>76</v>
      </c>
      <c r="E217" s="2" t="s">
        <v>77</v>
      </c>
      <c r="F217" s="2" t="s">
        <v>15</v>
      </c>
      <c r="G217" s="2" t="s">
        <v>16</v>
      </c>
      <c r="H217" s="2">
        <v>1566.98</v>
      </c>
      <c r="I217" s="2">
        <v>4</v>
      </c>
      <c r="J217" s="2">
        <v>10</v>
      </c>
      <c r="K217" s="9">
        <f t="shared" si="9"/>
        <v>6267.92</v>
      </c>
      <c r="L217" s="9">
        <f t="shared" si="10"/>
        <v>626.79199999999992</v>
      </c>
      <c r="M217" s="10">
        <f t="shared" si="11"/>
        <v>5641.1280000000006</v>
      </c>
      <c r="N217" s="2" t="s">
        <v>68</v>
      </c>
      <c r="O217" s="2" t="s">
        <v>27</v>
      </c>
      <c r="P217" s="2" t="s">
        <v>53</v>
      </c>
    </row>
    <row r="218" spans="1:16" x14ac:dyDescent="0.25">
      <c r="A218" s="3" t="s">
        <v>432</v>
      </c>
      <c r="B218" s="4">
        <v>45252</v>
      </c>
      <c r="C218" s="3" t="s">
        <v>433</v>
      </c>
      <c r="D218" s="3" t="s">
        <v>65</v>
      </c>
      <c r="E218" s="3" t="s">
        <v>66</v>
      </c>
      <c r="F218" s="3" t="s">
        <v>31</v>
      </c>
      <c r="G218" s="3" t="s">
        <v>32</v>
      </c>
      <c r="H218" s="3">
        <v>2520.58</v>
      </c>
      <c r="I218" s="3">
        <v>1</v>
      </c>
      <c r="J218" s="3">
        <v>5</v>
      </c>
      <c r="K218" s="9">
        <f t="shared" si="9"/>
        <v>2520.58</v>
      </c>
      <c r="L218" s="9">
        <f t="shared" si="10"/>
        <v>126.029</v>
      </c>
      <c r="M218" s="10">
        <f t="shared" si="11"/>
        <v>2394.5509999999999</v>
      </c>
      <c r="N218" s="3" t="s">
        <v>33</v>
      </c>
      <c r="O218" s="3" t="s">
        <v>18</v>
      </c>
      <c r="P218" s="3" t="s">
        <v>34</v>
      </c>
    </row>
    <row r="219" spans="1:16" x14ac:dyDescent="0.25">
      <c r="A219" s="2" t="s">
        <v>434</v>
      </c>
      <c r="B219" s="4">
        <v>45253</v>
      </c>
      <c r="C219" s="2" t="s">
        <v>435</v>
      </c>
      <c r="D219" s="2" t="s">
        <v>65</v>
      </c>
      <c r="E219" s="2" t="s">
        <v>66</v>
      </c>
      <c r="F219" s="2" t="s">
        <v>31</v>
      </c>
      <c r="G219" s="2" t="s">
        <v>70</v>
      </c>
      <c r="H219" s="2">
        <v>593.82000000000005</v>
      </c>
      <c r="I219" s="2">
        <v>4</v>
      </c>
      <c r="J219" s="2">
        <v>0</v>
      </c>
      <c r="K219" s="9">
        <f t="shared" si="9"/>
        <v>2375.2800000000002</v>
      </c>
      <c r="L219" s="9">
        <f t="shared" si="10"/>
        <v>0</v>
      </c>
      <c r="M219" s="10">
        <f t="shared" si="11"/>
        <v>2375.2800000000002</v>
      </c>
      <c r="N219" s="2" t="s">
        <v>68</v>
      </c>
      <c r="O219" s="2" t="s">
        <v>27</v>
      </c>
      <c r="P219" s="2" t="s">
        <v>19</v>
      </c>
    </row>
    <row r="220" spans="1:16" x14ac:dyDescent="0.25">
      <c r="A220" s="3" t="s">
        <v>436</v>
      </c>
      <c r="B220" s="4">
        <v>45254</v>
      </c>
      <c r="C220" s="3" t="s">
        <v>336</v>
      </c>
      <c r="D220" s="3" t="s">
        <v>22</v>
      </c>
      <c r="E220" s="3" t="s">
        <v>23</v>
      </c>
      <c r="F220" s="3" t="s">
        <v>24</v>
      </c>
      <c r="G220" s="3" t="s">
        <v>59</v>
      </c>
      <c r="H220" s="3">
        <v>4893.0600000000004</v>
      </c>
      <c r="I220" s="3">
        <v>2</v>
      </c>
      <c r="J220" s="3">
        <v>0</v>
      </c>
      <c r="K220" s="9">
        <f t="shared" si="9"/>
        <v>9786.1200000000008</v>
      </c>
      <c r="L220" s="9">
        <f t="shared" si="10"/>
        <v>0</v>
      </c>
      <c r="M220" s="10">
        <f t="shared" si="11"/>
        <v>9786.1200000000008</v>
      </c>
      <c r="N220" s="3" t="s">
        <v>68</v>
      </c>
      <c r="O220" s="3" t="s">
        <v>39</v>
      </c>
      <c r="P220" s="3" t="s">
        <v>40</v>
      </c>
    </row>
    <row r="221" spans="1:16" x14ac:dyDescent="0.25">
      <c r="A221" s="2" t="s">
        <v>437</v>
      </c>
      <c r="B221" s="4">
        <v>45255</v>
      </c>
      <c r="C221" s="2" t="s">
        <v>272</v>
      </c>
      <c r="D221" s="2" t="s">
        <v>83</v>
      </c>
      <c r="E221" s="2" t="s">
        <v>84</v>
      </c>
      <c r="F221" s="2" t="s">
        <v>43</v>
      </c>
      <c r="G221" s="2" t="s">
        <v>89</v>
      </c>
      <c r="H221" s="2">
        <v>4391.3500000000004</v>
      </c>
      <c r="I221" s="2">
        <v>2</v>
      </c>
      <c r="J221" s="2">
        <v>0</v>
      </c>
      <c r="K221" s="9">
        <f t="shared" si="9"/>
        <v>8782.7000000000007</v>
      </c>
      <c r="L221" s="9">
        <f t="shared" si="10"/>
        <v>0</v>
      </c>
      <c r="M221" s="10">
        <f t="shared" si="11"/>
        <v>8782.7000000000007</v>
      </c>
      <c r="N221" s="2" t="s">
        <v>33</v>
      </c>
      <c r="O221" s="2" t="s">
        <v>18</v>
      </c>
      <c r="P221" s="2" t="s">
        <v>53</v>
      </c>
    </row>
    <row r="222" spans="1:16" x14ac:dyDescent="0.25">
      <c r="A222" s="3" t="s">
        <v>438</v>
      </c>
      <c r="B222" s="4">
        <v>45256</v>
      </c>
      <c r="C222" s="3" t="s">
        <v>439</v>
      </c>
      <c r="D222" s="3" t="s">
        <v>22</v>
      </c>
      <c r="E222" s="3" t="s">
        <v>23</v>
      </c>
      <c r="F222" s="3" t="s">
        <v>36</v>
      </c>
      <c r="G222" s="3" t="s">
        <v>121</v>
      </c>
      <c r="H222" s="3">
        <v>93465.57</v>
      </c>
      <c r="I222" s="3">
        <v>1</v>
      </c>
      <c r="J222" s="3">
        <v>10</v>
      </c>
      <c r="K222" s="9">
        <f t="shared" si="9"/>
        <v>93465.57</v>
      </c>
      <c r="L222" s="9">
        <f t="shared" si="10"/>
        <v>9346.5570000000007</v>
      </c>
      <c r="M222" s="10">
        <f t="shared" si="11"/>
        <v>84119.013000000006</v>
      </c>
      <c r="N222" s="3" t="s">
        <v>26</v>
      </c>
      <c r="O222" s="3" t="s">
        <v>18</v>
      </c>
      <c r="P222" s="3" t="s">
        <v>40</v>
      </c>
    </row>
    <row r="223" spans="1:16" x14ac:dyDescent="0.25">
      <c r="A223" s="2" t="s">
        <v>440</v>
      </c>
      <c r="B223" s="4">
        <v>45257</v>
      </c>
      <c r="C223" s="2" t="s">
        <v>133</v>
      </c>
      <c r="D223" s="2" t="s">
        <v>29</v>
      </c>
      <c r="E223" s="2" t="s">
        <v>30</v>
      </c>
      <c r="F223" s="2" t="s">
        <v>15</v>
      </c>
      <c r="G223" s="2" t="s">
        <v>198</v>
      </c>
      <c r="H223" s="2">
        <v>759.16</v>
      </c>
      <c r="I223" s="2">
        <v>1</v>
      </c>
      <c r="J223" s="2">
        <v>0</v>
      </c>
      <c r="K223" s="9">
        <f t="shared" si="9"/>
        <v>759.16</v>
      </c>
      <c r="L223" s="9">
        <f t="shared" si="10"/>
        <v>0</v>
      </c>
      <c r="M223" s="10">
        <f t="shared" si="11"/>
        <v>759.16</v>
      </c>
      <c r="N223" s="2" t="s">
        <v>33</v>
      </c>
      <c r="O223" s="2" t="s">
        <v>18</v>
      </c>
      <c r="P223" s="2" t="s">
        <v>19</v>
      </c>
    </row>
    <row r="224" spans="1:16" x14ac:dyDescent="0.25">
      <c r="A224" s="3" t="s">
        <v>441</v>
      </c>
      <c r="B224" s="4">
        <v>45258</v>
      </c>
      <c r="C224" s="3" t="s">
        <v>442</v>
      </c>
      <c r="D224" s="3" t="s">
        <v>83</v>
      </c>
      <c r="E224" s="3" t="s">
        <v>84</v>
      </c>
      <c r="F224" s="3" t="s">
        <v>31</v>
      </c>
      <c r="G224" s="3" t="s">
        <v>186</v>
      </c>
      <c r="H224" s="3">
        <v>850.53</v>
      </c>
      <c r="I224" s="3">
        <v>5</v>
      </c>
      <c r="J224" s="3">
        <v>0</v>
      </c>
      <c r="K224" s="9">
        <f t="shared" si="9"/>
        <v>4252.6499999999996</v>
      </c>
      <c r="L224" s="9">
        <f t="shared" si="10"/>
        <v>0</v>
      </c>
      <c r="M224" s="10">
        <f t="shared" si="11"/>
        <v>4252.6499999999996</v>
      </c>
      <c r="N224" s="3" t="s">
        <v>17</v>
      </c>
      <c r="O224" s="3" t="s">
        <v>52</v>
      </c>
      <c r="P224" s="3" t="s">
        <v>34</v>
      </c>
    </row>
    <row r="225" spans="1:16" x14ac:dyDescent="0.25">
      <c r="A225" s="2" t="s">
        <v>443</v>
      </c>
      <c r="B225" s="4">
        <v>45259</v>
      </c>
      <c r="C225" s="2" t="s">
        <v>444</v>
      </c>
      <c r="D225" s="2" t="s">
        <v>83</v>
      </c>
      <c r="E225" s="2" t="s">
        <v>84</v>
      </c>
      <c r="F225" s="2" t="s">
        <v>24</v>
      </c>
      <c r="G225" s="2" t="s">
        <v>134</v>
      </c>
      <c r="H225" s="2">
        <v>2400.25</v>
      </c>
      <c r="I225" s="2">
        <v>1</v>
      </c>
      <c r="J225" s="2">
        <v>15</v>
      </c>
      <c r="K225" s="9">
        <f t="shared" si="9"/>
        <v>2400.25</v>
      </c>
      <c r="L225" s="9">
        <f t="shared" si="10"/>
        <v>360.03750000000002</v>
      </c>
      <c r="M225" s="10">
        <f t="shared" si="11"/>
        <v>2040.2125000000001</v>
      </c>
      <c r="N225" s="2" t="s">
        <v>17</v>
      </c>
      <c r="O225" s="2" t="s">
        <v>27</v>
      </c>
      <c r="P225" s="2" t="s">
        <v>53</v>
      </c>
    </row>
    <row r="226" spans="1:16" x14ac:dyDescent="0.25">
      <c r="A226" s="3" t="s">
        <v>445</v>
      </c>
      <c r="B226" s="4">
        <v>45260</v>
      </c>
      <c r="C226" s="3" t="s">
        <v>446</v>
      </c>
      <c r="D226" s="3" t="s">
        <v>83</v>
      </c>
      <c r="E226" s="3" t="s">
        <v>84</v>
      </c>
      <c r="F226" s="3" t="s">
        <v>43</v>
      </c>
      <c r="G226" s="3" t="s">
        <v>44</v>
      </c>
      <c r="H226" s="3">
        <v>3830.6</v>
      </c>
      <c r="I226" s="3">
        <v>4</v>
      </c>
      <c r="J226" s="3">
        <v>5</v>
      </c>
      <c r="K226" s="9">
        <f t="shared" si="9"/>
        <v>15322.4</v>
      </c>
      <c r="L226" s="9">
        <f t="shared" si="10"/>
        <v>766.12</v>
      </c>
      <c r="M226" s="10">
        <f t="shared" si="11"/>
        <v>14556.279999999999</v>
      </c>
      <c r="N226" s="3" t="s">
        <v>38</v>
      </c>
      <c r="O226" s="3" t="s">
        <v>27</v>
      </c>
      <c r="P226" s="3" t="s">
        <v>60</v>
      </c>
    </row>
    <row r="227" spans="1:16" x14ac:dyDescent="0.25">
      <c r="A227" s="2" t="s">
        <v>447</v>
      </c>
      <c r="B227" s="4">
        <v>45261</v>
      </c>
      <c r="C227" s="2" t="s">
        <v>387</v>
      </c>
      <c r="D227" s="2" t="s">
        <v>65</v>
      </c>
      <c r="E227" s="2" t="s">
        <v>66</v>
      </c>
      <c r="F227" s="2" t="s">
        <v>24</v>
      </c>
      <c r="G227" s="2" t="s">
        <v>59</v>
      </c>
      <c r="H227" s="2">
        <v>4973.5200000000004</v>
      </c>
      <c r="I227" s="2">
        <v>2</v>
      </c>
      <c r="J227" s="2">
        <v>0</v>
      </c>
      <c r="K227" s="9">
        <f t="shared" si="9"/>
        <v>9947.0400000000009</v>
      </c>
      <c r="L227" s="9">
        <f t="shared" si="10"/>
        <v>0</v>
      </c>
      <c r="M227" s="10">
        <f t="shared" si="11"/>
        <v>9947.0400000000009</v>
      </c>
      <c r="N227" s="2" t="s">
        <v>26</v>
      </c>
      <c r="O227" s="2" t="s">
        <v>39</v>
      </c>
      <c r="P227" s="2" t="s">
        <v>60</v>
      </c>
    </row>
    <row r="228" spans="1:16" x14ac:dyDescent="0.25">
      <c r="A228" s="3" t="s">
        <v>448</v>
      </c>
      <c r="B228" s="4">
        <v>45262</v>
      </c>
      <c r="C228" s="3" t="s">
        <v>449</v>
      </c>
      <c r="D228" s="3" t="s">
        <v>65</v>
      </c>
      <c r="E228" s="3" t="s">
        <v>66</v>
      </c>
      <c r="F228" s="3" t="s">
        <v>110</v>
      </c>
      <c r="G228" s="3" t="s">
        <v>111</v>
      </c>
      <c r="H228" s="3">
        <v>8804.7800000000007</v>
      </c>
      <c r="I228" s="3">
        <v>2</v>
      </c>
      <c r="J228" s="3">
        <v>5</v>
      </c>
      <c r="K228" s="9">
        <f t="shared" si="9"/>
        <v>17609.560000000001</v>
      </c>
      <c r="L228" s="9">
        <f t="shared" si="10"/>
        <v>880.47800000000007</v>
      </c>
      <c r="M228" s="10">
        <f t="shared" si="11"/>
        <v>16729.082000000002</v>
      </c>
      <c r="N228" s="3" t="s">
        <v>26</v>
      </c>
      <c r="O228" s="3" t="s">
        <v>18</v>
      </c>
      <c r="P228" s="3" t="s">
        <v>40</v>
      </c>
    </row>
    <row r="229" spans="1:16" x14ac:dyDescent="0.25">
      <c r="A229" s="2" t="s">
        <v>450</v>
      </c>
      <c r="B229" s="4">
        <v>45263</v>
      </c>
      <c r="C229" s="2" t="s">
        <v>451</v>
      </c>
      <c r="D229" s="2" t="s">
        <v>83</v>
      </c>
      <c r="E229" s="2" t="s">
        <v>84</v>
      </c>
      <c r="F229" s="2" t="s">
        <v>15</v>
      </c>
      <c r="G229" s="2" t="s">
        <v>163</v>
      </c>
      <c r="H229" s="2">
        <v>2275.77</v>
      </c>
      <c r="I229" s="2">
        <v>4</v>
      </c>
      <c r="J229" s="2">
        <v>0</v>
      </c>
      <c r="K229" s="9">
        <f t="shared" si="9"/>
        <v>9103.08</v>
      </c>
      <c r="L229" s="9">
        <f t="shared" si="10"/>
        <v>0</v>
      </c>
      <c r="M229" s="10">
        <f t="shared" si="11"/>
        <v>9103.08</v>
      </c>
      <c r="N229" s="2" t="s">
        <v>17</v>
      </c>
      <c r="O229" s="2" t="s">
        <v>52</v>
      </c>
      <c r="P229" s="2" t="s">
        <v>40</v>
      </c>
    </row>
    <row r="230" spans="1:16" x14ac:dyDescent="0.25">
      <c r="A230" s="3" t="s">
        <v>452</v>
      </c>
      <c r="B230" s="4">
        <v>45264</v>
      </c>
      <c r="C230" s="3" t="s">
        <v>453</v>
      </c>
      <c r="D230" s="3" t="s">
        <v>83</v>
      </c>
      <c r="E230" s="3" t="s">
        <v>84</v>
      </c>
      <c r="F230" s="3" t="s">
        <v>24</v>
      </c>
      <c r="G230" s="3" t="s">
        <v>134</v>
      </c>
      <c r="H230" s="3">
        <v>2354.44</v>
      </c>
      <c r="I230" s="3">
        <v>3</v>
      </c>
      <c r="J230" s="3">
        <v>15</v>
      </c>
      <c r="K230" s="9">
        <f t="shared" si="9"/>
        <v>7063.32</v>
      </c>
      <c r="L230" s="9">
        <f t="shared" si="10"/>
        <v>1059.4979999999998</v>
      </c>
      <c r="M230" s="10">
        <f t="shared" si="11"/>
        <v>6003.8220000000001</v>
      </c>
      <c r="N230" s="3" t="s">
        <v>68</v>
      </c>
      <c r="O230" s="3" t="s">
        <v>18</v>
      </c>
      <c r="P230" s="3" t="s">
        <v>53</v>
      </c>
    </row>
    <row r="231" spans="1:16" x14ac:dyDescent="0.25">
      <c r="A231" s="2" t="s">
        <v>454</v>
      </c>
      <c r="B231" s="4">
        <v>45265</v>
      </c>
      <c r="C231" s="2" t="s">
        <v>455</v>
      </c>
      <c r="D231" s="2" t="s">
        <v>76</v>
      </c>
      <c r="E231" s="2" t="s">
        <v>77</v>
      </c>
      <c r="F231" s="2" t="s">
        <v>24</v>
      </c>
      <c r="G231" s="2" t="s">
        <v>170</v>
      </c>
      <c r="H231" s="2">
        <v>1225.06</v>
      </c>
      <c r="I231" s="2">
        <v>2</v>
      </c>
      <c r="J231" s="2">
        <v>0</v>
      </c>
      <c r="K231" s="9">
        <f t="shared" si="9"/>
        <v>2450.12</v>
      </c>
      <c r="L231" s="9">
        <f t="shared" si="10"/>
        <v>0</v>
      </c>
      <c r="M231" s="10">
        <f t="shared" si="11"/>
        <v>2450.12</v>
      </c>
      <c r="N231" s="2" t="s">
        <v>26</v>
      </c>
      <c r="O231" s="2" t="s">
        <v>52</v>
      </c>
      <c r="P231" s="2" t="s">
        <v>34</v>
      </c>
    </row>
    <row r="232" spans="1:16" x14ac:dyDescent="0.25">
      <c r="A232" s="3" t="s">
        <v>456</v>
      </c>
      <c r="B232" s="4">
        <v>45266</v>
      </c>
      <c r="C232" s="3" t="s">
        <v>457</v>
      </c>
      <c r="D232" s="3" t="s">
        <v>83</v>
      </c>
      <c r="E232" s="3" t="s">
        <v>84</v>
      </c>
      <c r="F232" s="3" t="s">
        <v>15</v>
      </c>
      <c r="G232" s="3" t="s">
        <v>16</v>
      </c>
      <c r="H232" s="3">
        <v>1442.53</v>
      </c>
      <c r="I232" s="3">
        <v>3</v>
      </c>
      <c r="J232" s="3">
        <v>15</v>
      </c>
      <c r="K232" s="9">
        <f t="shared" si="9"/>
        <v>4327.59</v>
      </c>
      <c r="L232" s="9">
        <f t="shared" si="10"/>
        <v>649.13850000000002</v>
      </c>
      <c r="M232" s="10">
        <f t="shared" si="11"/>
        <v>3678.4515000000001</v>
      </c>
      <c r="N232" s="3" t="s">
        <v>33</v>
      </c>
      <c r="O232" s="3" t="s">
        <v>18</v>
      </c>
      <c r="P232" s="3" t="s">
        <v>40</v>
      </c>
    </row>
    <row r="233" spans="1:16" x14ac:dyDescent="0.25">
      <c r="A233" s="2" t="s">
        <v>458</v>
      </c>
      <c r="B233" s="4">
        <v>45267</v>
      </c>
      <c r="C233" s="2" t="s">
        <v>459</v>
      </c>
      <c r="D233" s="2" t="s">
        <v>51</v>
      </c>
      <c r="E233" s="2" t="s">
        <v>14</v>
      </c>
      <c r="F233" s="2" t="s">
        <v>31</v>
      </c>
      <c r="G233" s="2" t="s">
        <v>116</v>
      </c>
      <c r="H233" s="2">
        <v>1179.3399999999999</v>
      </c>
      <c r="I233" s="2">
        <v>5</v>
      </c>
      <c r="J233" s="2">
        <v>10</v>
      </c>
      <c r="K233" s="9">
        <f t="shared" si="9"/>
        <v>5896.7</v>
      </c>
      <c r="L233" s="9">
        <f t="shared" si="10"/>
        <v>589.66999999999996</v>
      </c>
      <c r="M233" s="10">
        <f t="shared" si="11"/>
        <v>5307.03</v>
      </c>
      <c r="N233" s="2" t="s">
        <v>26</v>
      </c>
      <c r="O233" s="2" t="s">
        <v>18</v>
      </c>
      <c r="P233" s="2" t="s">
        <v>34</v>
      </c>
    </row>
    <row r="234" spans="1:16" x14ac:dyDescent="0.25">
      <c r="A234" s="3" t="s">
        <v>460</v>
      </c>
      <c r="B234" s="4">
        <v>45268</v>
      </c>
      <c r="C234" s="3" t="s">
        <v>115</v>
      </c>
      <c r="D234" s="3" t="s">
        <v>65</v>
      </c>
      <c r="E234" s="3" t="s">
        <v>66</v>
      </c>
      <c r="F234" s="3" t="s">
        <v>31</v>
      </c>
      <c r="G234" s="3" t="s">
        <v>186</v>
      </c>
      <c r="H234" s="3">
        <v>751.39</v>
      </c>
      <c r="I234" s="3">
        <v>2</v>
      </c>
      <c r="J234" s="3">
        <v>5</v>
      </c>
      <c r="K234" s="9">
        <f t="shared" si="9"/>
        <v>1502.78</v>
      </c>
      <c r="L234" s="9">
        <f t="shared" si="10"/>
        <v>75.138999999999996</v>
      </c>
      <c r="M234" s="10">
        <f t="shared" si="11"/>
        <v>1427.6410000000001</v>
      </c>
      <c r="N234" s="3" t="s">
        <v>17</v>
      </c>
      <c r="O234" s="3" t="s">
        <v>39</v>
      </c>
      <c r="P234" s="3" t="s">
        <v>53</v>
      </c>
    </row>
    <row r="235" spans="1:16" x14ac:dyDescent="0.25">
      <c r="A235" s="2" t="s">
        <v>461</v>
      </c>
      <c r="B235" s="4">
        <v>45269</v>
      </c>
      <c r="C235" s="2" t="s">
        <v>318</v>
      </c>
      <c r="D235" s="2" t="s">
        <v>87</v>
      </c>
      <c r="E235" s="2" t="s">
        <v>88</v>
      </c>
      <c r="F235" s="2" t="s">
        <v>31</v>
      </c>
      <c r="G235" s="2" t="s">
        <v>70</v>
      </c>
      <c r="H235" s="2">
        <v>655.98</v>
      </c>
      <c r="I235" s="2">
        <v>4</v>
      </c>
      <c r="J235" s="2">
        <v>0</v>
      </c>
      <c r="K235" s="9">
        <f t="shared" si="9"/>
        <v>2623.92</v>
      </c>
      <c r="L235" s="9">
        <f t="shared" si="10"/>
        <v>0</v>
      </c>
      <c r="M235" s="10">
        <f t="shared" si="11"/>
        <v>2623.92</v>
      </c>
      <c r="N235" s="2" t="s">
        <v>26</v>
      </c>
      <c r="O235" s="2" t="s">
        <v>27</v>
      </c>
      <c r="P235" s="2" t="s">
        <v>34</v>
      </c>
    </row>
    <row r="236" spans="1:16" x14ac:dyDescent="0.25">
      <c r="A236" s="3" t="s">
        <v>462</v>
      </c>
      <c r="B236" s="4">
        <v>45270</v>
      </c>
      <c r="C236" s="3" t="s">
        <v>463</v>
      </c>
      <c r="D236" s="3" t="s">
        <v>83</v>
      </c>
      <c r="E236" s="3" t="s">
        <v>84</v>
      </c>
      <c r="F236" s="3" t="s">
        <v>43</v>
      </c>
      <c r="G236" s="3" t="s">
        <v>127</v>
      </c>
      <c r="H236" s="3">
        <v>5958.59</v>
      </c>
      <c r="I236" s="3">
        <v>5</v>
      </c>
      <c r="J236" s="3">
        <v>0</v>
      </c>
      <c r="K236" s="9">
        <f t="shared" si="9"/>
        <v>29792.95</v>
      </c>
      <c r="L236" s="9">
        <f t="shared" si="10"/>
        <v>0</v>
      </c>
      <c r="M236" s="10">
        <f t="shared" si="11"/>
        <v>29792.95</v>
      </c>
      <c r="N236" s="3" t="s">
        <v>68</v>
      </c>
      <c r="O236" s="3" t="s">
        <v>52</v>
      </c>
      <c r="P236" s="3" t="s">
        <v>40</v>
      </c>
    </row>
    <row r="237" spans="1:16" x14ac:dyDescent="0.25">
      <c r="A237" s="2" t="s">
        <v>464</v>
      </c>
      <c r="B237" s="4">
        <v>45271</v>
      </c>
      <c r="C237" s="2" t="s">
        <v>194</v>
      </c>
      <c r="D237" s="2" t="s">
        <v>13</v>
      </c>
      <c r="E237" s="2" t="s">
        <v>14</v>
      </c>
      <c r="F237" s="2" t="s">
        <v>43</v>
      </c>
      <c r="G237" s="2" t="s">
        <v>127</v>
      </c>
      <c r="H237" s="2">
        <v>5876.8</v>
      </c>
      <c r="I237" s="2">
        <v>2</v>
      </c>
      <c r="J237" s="2">
        <v>10</v>
      </c>
      <c r="K237" s="9">
        <f t="shared" si="9"/>
        <v>11753.6</v>
      </c>
      <c r="L237" s="9">
        <f t="shared" si="10"/>
        <v>1175.3599999999999</v>
      </c>
      <c r="M237" s="10">
        <f t="shared" si="11"/>
        <v>10578.24</v>
      </c>
      <c r="N237" s="2" t="s">
        <v>26</v>
      </c>
      <c r="O237" s="2" t="s">
        <v>18</v>
      </c>
      <c r="P237" s="2" t="s">
        <v>53</v>
      </c>
    </row>
    <row r="238" spans="1:16" x14ac:dyDescent="0.25">
      <c r="A238" s="3" t="s">
        <v>465</v>
      </c>
      <c r="B238" s="4">
        <v>45272</v>
      </c>
      <c r="C238" s="3" t="s">
        <v>270</v>
      </c>
      <c r="D238" s="3" t="s">
        <v>13</v>
      </c>
      <c r="E238" s="3" t="s">
        <v>14</v>
      </c>
      <c r="F238" s="3" t="s">
        <v>110</v>
      </c>
      <c r="G238" s="3" t="s">
        <v>111</v>
      </c>
      <c r="H238" s="3">
        <v>10284.23</v>
      </c>
      <c r="I238" s="3">
        <v>4</v>
      </c>
      <c r="J238" s="3">
        <v>5</v>
      </c>
      <c r="K238" s="9">
        <f t="shared" si="9"/>
        <v>41136.92</v>
      </c>
      <c r="L238" s="9">
        <f t="shared" si="10"/>
        <v>2056.8459999999995</v>
      </c>
      <c r="M238" s="10">
        <f t="shared" si="11"/>
        <v>39080.074000000001</v>
      </c>
      <c r="N238" s="3" t="s">
        <v>68</v>
      </c>
      <c r="O238" s="3" t="s">
        <v>52</v>
      </c>
      <c r="P238" s="3" t="s">
        <v>19</v>
      </c>
    </row>
    <row r="239" spans="1:16" x14ac:dyDescent="0.25">
      <c r="A239" s="2" t="s">
        <v>466</v>
      </c>
      <c r="B239" s="4">
        <v>45273</v>
      </c>
      <c r="C239" s="2" t="s">
        <v>148</v>
      </c>
      <c r="D239" s="2" t="s">
        <v>83</v>
      </c>
      <c r="E239" s="2" t="s">
        <v>84</v>
      </c>
      <c r="F239" s="2" t="s">
        <v>15</v>
      </c>
      <c r="G239" s="2" t="s">
        <v>16</v>
      </c>
      <c r="H239" s="2">
        <v>1510.72</v>
      </c>
      <c r="I239" s="2">
        <v>3</v>
      </c>
      <c r="J239" s="2">
        <v>0</v>
      </c>
      <c r="K239" s="9">
        <f t="shared" si="9"/>
        <v>4532.16</v>
      </c>
      <c r="L239" s="9">
        <f t="shared" si="10"/>
        <v>0</v>
      </c>
      <c r="M239" s="10">
        <f t="shared" si="11"/>
        <v>4532.16</v>
      </c>
      <c r="N239" s="2" t="s">
        <v>17</v>
      </c>
      <c r="O239" s="2" t="s">
        <v>39</v>
      </c>
      <c r="P239" s="2" t="s">
        <v>60</v>
      </c>
    </row>
    <row r="240" spans="1:16" x14ac:dyDescent="0.25">
      <c r="A240" s="3" t="s">
        <v>467</v>
      </c>
      <c r="B240" s="4">
        <v>45274</v>
      </c>
      <c r="C240" s="3" t="s">
        <v>468</v>
      </c>
      <c r="D240" s="3" t="s">
        <v>83</v>
      </c>
      <c r="E240" s="3" t="s">
        <v>84</v>
      </c>
      <c r="F240" s="3" t="s">
        <v>24</v>
      </c>
      <c r="G240" s="3" t="s">
        <v>25</v>
      </c>
      <c r="H240" s="3">
        <v>4222.74</v>
      </c>
      <c r="I240" s="3">
        <v>5</v>
      </c>
      <c r="J240" s="3">
        <v>0</v>
      </c>
      <c r="K240" s="9">
        <f t="shared" si="9"/>
        <v>21113.699999999997</v>
      </c>
      <c r="L240" s="9">
        <f t="shared" si="10"/>
        <v>0</v>
      </c>
      <c r="M240" s="10">
        <f t="shared" si="11"/>
        <v>21113.699999999997</v>
      </c>
      <c r="N240" s="3" t="s">
        <v>38</v>
      </c>
      <c r="O240" s="3" t="s">
        <v>18</v>
      </c>
      <c r="P240" s="3" t="s">
        <v>60</v>
      </c>
    </row>
    <row r="241" spans="1:16" x14ac:dyDescent="0.25">
      <c r="A241" s="2" t="s">
        <v>469</v>
      </c>
      <c r="B241" s="4">
        <v>45275</v>
      </c>
      <c r="C241" s="2" t="s">
        <v>470</v>
      </c>
      <c r="D241" s="2" t="s">
        <v>76</v>
      </c>
      <c r="E241" s="2" t="s">
        <v>77</v>
      </c>
      <c r="F241" s="2" t="s">
        <v>110</v>
      </c>
      <c r="G241" s="2" t="s">
        <v>153</v>
      </c>
      <c r="H241" s="2">
        <v>3843.16</v>
      </c>
      <c r="I241" s="2">
        <v>2</v>
      </c>
      <c r="J241" s="2">
        <v>0</v>
      </c>
      <c r="K241" s="9">
        <f t="shared" si="9"/>
        <v>7686.32</v>
      </c>
      <c r="L241" s="9">
        <f t="shared" si="10"/>
        <v>0</v>
      </c>
      <c r="M241" s="10">
        <f t="shared" si="11"/>
        <v>7686.32</v>
      </c>
      <c r="N241" s="2" t="s">
        <v>68</v>
      </c>
      <c r="O241" s="2" t="s">
        <v>27</v>
      </c>
      <c r="P241" s="2" t="s">
        <v>40</v>
      </c>
    </row>
    <row r="242" spans="1:16" x14ac:dyDescent="0.25">
      <c r="A242" s="3" t="s">
        <v>471</v>
      </c>
      <c r="B242" s="4">
        <v>45276</v>
      </c>
      <c r="C242" s="3" t="s">
        <v>418</v>
      </c>
      <c r="D242" s="3" t="s">
        <v>65</v>
      </c>
      <c r="E242" s="3" t="s">
        <v>66</v>
      </c>
      <c r="F242" s="3" t="s">
        <v>110</v>
      </c>
      <c r="G242" s="3" t="s">
        <v>67</v>
      </c>
      <c r="H242" s="3">
        <v>4100.5</v>
      </c>
      <c r="I242" s="3">
        <v>1</v>
      </c>
      <c r="J242" s="3">
        <v>5</v>
      </c>
      <c r="K242" s="9">
        <f t="shared" si="9"/>
        <v>4100.5</v>
      </c>
      <c r="L242" s="9">
        <f t="shared" si="10"/>
        <v>205.02500000000001</v>
      </c>
      <c r="M242" s="10">
        <f t="shared" si="11"/>
        <v>3895.4749999999999</v>
      </c>
      <c r="N242" s="3" t="s">
        <v>26</v>
      </c>
      <c r="O242" s="3" t="s">
        <v>18</v>
      </c>
      <c r="P242" s="3" t="s">
        <v>60</v>
      </c>
    </row>
    <row r="243" spans="1:16" x14ac:dyDescent="0.25">
      <c r="A243" s="2" t="s">
        <v>472</v>
      </c>
      <c r="B243" s="4">
        <v>45277</v>
      </c>
      <c r="C243" s="2" t="s">
        <v>336</v>
      </c>
      <c r="D243" s="2" t="s">
        <v>29</v>
      </c>
      <c r="E243" s="2" t="s">
        <v>30</v>
      </c>
      <c r="F243" s="2" t="s">
        <v>72</v>
      </c>
      <c r="G243" s="2" t="s">
        <v>81</v>
      </c>
      <c r="H243" s="2">
        <v>1618.44</v>
      </c>
      <c r="I243" s="2">
        <v>1</v>
      </c>
      <c r="J243" s="2">
        <v>5</v>
      </c>
      <c r="K243" s="9">
        <f t="shared" si="9"/>
        <v>1618.44</v>
      </c>
      <c r="L243" s="9">
        <f t="shared" si="10"/>
        <v>80.922000000000011</v>
      </c>
      <c r="M243" s="10">
        <f t="shared" si="11"/>
        <v>1537.518</v>
      </c>
      <c r="N243" s="2" t="s">
        <v>26</v>
      </c>
      <c r="O243" s="2" t="s">
        <v>39</v>
      </c>
      <c r="P243" s="2" t="s">
        <v>19</v>
      </c>
    </row>
    <row r="244" spans="1:16" x14ac:dyDescent="0.25">
      <c r="A244" s="3" t="s">
        <v>473</v>
      </c>
      <c r="B244" s="4">
        <v>45278</v>
      </c>
      <c r="C244" s="3" t="s">
        <v>474</v>
      </c>
      <c r="D244" s="3" t="s">
        <v>22</v>
      </c>
      <c r="E244" s="3" t="s">
        <v>23</v>
      </c>
      <c r="F244" s="3" t="s">
        <v>15</v>
      </c>
      <c r="G244" s="3" t="s">
        <v>16</v>
      </c>
      <c r="H244" s="3">
        <v>1619.79</v>
      </c>
      <c r="I244" s="3">
        <v>5</v>
      </c>
      <c r="J244" s="3">
        <v>0</v>
      </c>
      <c r="K244" s="9">
        <f t="shared" si="9"/>
        <v>8098.95</v>
      </c>
      <c r="L244" s="9">
        <f t="shared" si="10"/>
        <v>0</v>
      </c>
      <c r="M244" s="10">
        <f t="shared" si="11"/>
        <v>8098.95</v>
      </c>
      <c r="N244" s="3" t="s">
        <v>68</v>
      </c>
      <c r="O244" s="3" t="s">
        <v>18</v>
      </c>
      <c r="P244" s="3" t="s">
        <v>34</v>
      </c>
    </row>
    <row r="245" spans="1:16" x14ac:dyDescent="0.25">
      <c r="A245" s="2" t="s">
        <v>475</v>
      </c>
      <c r="B245" s="4">
        <v>45279</v>
      </c>
      <c r="C245" s="2" t="s">
        <v>453</v>
      </c>
      <c r="D245" s="2" t="s">
        <v>100</v>
      </c>
      <c r="E245" s="2" t="s">
        <v>88</v>
      </c>
      <c r="F245" s="2" t="s">
        <v>72</v>
      </c>
      <c r="G245" s="2" t="s">
        <v>129</v>
      </c>
      <c r="H245" s="2">
        <v>1954.39</v>
      </c>
      <c r="I245" s="2">
        <v>3</v>
      </c>
      <c r="J245" s="2">
        <v>5</v>
      </c>
      <c r="K245" s="9">
        <f t="shared" si="9"/>
        <v>5863.17</v>
      </c>
      <c r="L245" s="9">
        <f t="shared" si="10"/>
        <v>293.1585</v>
      </c>
      <c r="M245" s="10">
        <f t="shared" si="11"/>
        <v>5570.0115000000005</v>
      </c>
      <c r="N245" s="2" t="s">
        <v>17</v>
      </c>
      <c r="O245" s="2" t="s">
        <v>18</v>
      </c>
      <c r="P245" s="2" t="s">
        <v>19</v>
      </c>
    </row>
    <row r="246" spans="1:16" x14ac:dyDescent="0.25">
      <c r="A246" s="3" t="s">
        <v>476</v>
      </c>
      <c r="B246" s="4">
        <v>45280</v>
      </c>
      <c r="C246" s="3" t="s">
        <v>19</v>
      </c>
      <c r="D246" s="3" t="s">
        <v>87</v>
      </c>
      <c r="E246" s="3" t="s">
        <v>88</v>
      </c>
      <c r="F246" s="3" t="s">
        <v>43</v>
      </c>
      <c r="G246" s="3" t="s">
        <v>127</v>
      </c>
      <c r="H246" s="3">
        <v>5819.55</v>
      </c>
      <c r="I246" s="3">
        <v>1</v>
      </c>
      <c r="J246" s="3">
        <v>5</v>
      </c>
      <c r="K246" s="9">
        <f t="shared" si="9"/>
        <v>5819.55</v>
      </c>
      <c r="L246" s="9">
        <f t="shared" si="10"/>
        <v>290.97750000000002</v>
      </c>
      <c r="M246" s="10">
        <f t="shared" si="11"/>
        <v>5528.5725000000002</v>
      </c>
      <c r="N246" s="3" t="s">
        <v>38</v>
      </c>
      <c r="O246" s="3" t="s">
        <v>18</v>
      </c>
      <c r="P246" s="3" t="s">
        <v>40</v>
      </c>
    </row>
    <row r="247" spans="1:16" x14ac:dyDescent="0.25">
      <c r="A247" s="2" t="s">
        <v>477</v>
      </c>
      <c r="B247" s="4">
        <v>45281</v>
      </c>
      <c r="C247" s="2" t="s">
        <v>478</v>
      </c>
      <c r="D247" s="2" t="s">
        <v>87</v>
      </c>
      <c r="E247" s="2" t="s">
        <v>88</v>
      </c>
      <c r="F247" s="2" t="s">
        <v>110</v>
      </c>
      <c r="G247" s="2" t="s">
        <v>111</v>
      </c>
      <c r="H247" s="2">
        <v>10364.23</v>
      </c>
      <c r="I247" s="2">
        <v>4</v>
      </c>
      <c r="J247" s="2">
        <v>5</v>
      </c>
      <c r="K247" s="9">
        <f t="shared" si="9"/>
        <v>41456.92</v>
      </c>
      <c r="L247" s="9">
        <f t="shared" si="10"/>
        <v>2072.8459999999995</v>
      </c>
      <c r="M247" s="10">
        <f t="shared" si="11"/>
        <v>39384.074000000001</v>
      </c>
      <c r="N247" s="2" t="s">
        <v>68</v>
      </c>
      <c r="O247" s="2" t="s">
        <v>27</v>
      </c>
      <c r="P247" s="2" t="s">
        <v>34</v>
      </c>
    </row>
    <row r="248" spans="1:16" x14ac:dyDescent="0.25">
      <c r="A248" s="3" t="s">
        <v>479</v>
      </c>
      <c r="B248" s="4">
        <v>45282</v>
      </c>
      <c r="C248" s="3" t="s">
        <v>480</v>
      </c>
      <c r="D248" s="3" t="s">
        <v>87</v>
      </c>
      <c r="E248" s="3" t="s">
        <v>88</v>
      </c>
      <c r="F248" s="3" t="s">
        <v>110</v>
      </c>
      <c r="G248" s="3" t="s">
        <v>67</v>
      </c>
      <c r="H248" s="3">
        <v>4438.66</v>
      </c>
      <c r="I248" s="3">
        <v>5</v>
      </c>
      <c r="J248" s="3">
        <v>0</v>
      </c>
      <c r="K248" s="9">
        <f t="shared" si="9"/>
        <v>22193.3</v>
      </c>
      <c r="L248" s="9">
        <f t="shared" si="10"/>
        <v>0</v>
      </c>
      <c r="M248" s="10">
        <f t="shared" si="11"/>
        <v>22193.3</v>
      </c>
      <c r="N248" s="3" t="s">
        <v>33</v>
      </c>
      <c r="O248" s="3" t="s">
        <v>18</v>
      </c>
      <c r="P248" s="3" t="s">
        <v>19</v>
      </c>
    </row>
    <row r="249" spans="1:16" x14ac:dyDescent="0.25">
      <c r="A249" s="2" t="s">
        <v>481</v>
      </c>
      <c r="B249" s="4">
        <v>45283</v>
      </c>
      <c r="C249" s="2" t="s">
        <v>482</v>
      </c>
      <c r="D249" s="2" t="s">
        <v>22</v>
      </c>
      <c r="E249" s="2" t="s">
        <v>23</v>
      </c>
      <c r="F249" s="2" t="s">
        <v>36</v>
      </c>
      <c r="G249" s="2" t="s">
        <v>338</v>
      </c>
      <c r="H249" s="2">
        <v>60504.87</v>
      </c>
      <c r="I249" s="2">
        <v>2</v>
      </c>
      <c r="J249" s="2">
        <v>0</v>
      </c>
      <c r="K249" s="9">
        <f t="shared" si="9"/>
        <v>121009.74</v>
      </c>
      <c r="L249" s="9">
        <f t="shared" si="10"/>
        <v>0</v>
      </c>
      <c r="M249" s="10">
        <f t="shared" si="11"/>
        <v>121009.74</v>
      </c>
      <c r="N249" s="2" t="s">
        <v>38</v>
      </c>
      <c r="O249" s="2" t="s">
        <v>18</v>
      </c>
      <c r="P249" s="2" t="s">
        <v>40</v>
      </c>
    </row>
    <row r="250" spans="1:16" x14ac:dyDescent="0.25">
      <c r="A250" s="3" t="s">
        <v>483</v>
      </c>
      <c r="B250" s="4">
        <v>45284</v>
      </c>
      <c r="C250" s="3" t="s">
        <v>413</v>
      </c>
      <c r="D250" s="3" t="s">
        <v>76</v>
      </c>
      <c r="E250" s="3" t="s">
        <v>77</v>
      </c>
      <c r="F250" s="3" t="s">
        <v>31</v>
      </c>
      <c r="G250" s="3" t="s">
        <v>116</v>
      </c>
      <c r="H250" s="3">
        <v>1104.54</v>
      </c>
      <c r="I250" s="3">
        <v>1</v>
      </c>
      <c r="J250" s="3">
        <v>10</v>
      </c>
      <c r="K250" s="9">
        <f t="shared" si="9"/>
        <v>1104.54</v>
      </c>
      <c r="L250" s="9">
        <f t="shared" si="10"/>
        <v>110.45399999999999</v>
      </c>
      <c r="M250" s="10">
        <f t="shared" si="11"/>
        <v>994.08600000000001</v>
      </c>
      <c r="N250" s="3" t="s">
        <v>33</v>
      </c>
      <c r="O250" s="3" t="s">
        <v>18</v>
      </c>
      <c r="P250" s="3" t="s">
        <v>19</v>
      </c>
    </row>
    <row r="251" spans="1:16" x14ac:dyDescent="0.25">
      <c r="A251" s="2" t="s">
        <v>484</v>
      </c>
      <c r="B251" s="4">
        <v>45285</v>
      </c>
      <c r="C251" s="2" t="s">
        <v>485</v>
      </c>
      <c r="D251" s="2" t="s">
        <v>22</v>
      </c>
      <c r="E251" s="2" t="s">
        <v>23</v>
      </c>
      <c r="F251" s="2" t="s">
        <v>36</v>
      </c>
      <c r="G251" s="2" t="s">
        <v>78</v>
      </c>
      <c r="H251" s="2">
        <v>82516.539999999994</v>
      </c>
      <c r="I251" s="2">
        <v>1</v>
      </c>
      <c r="J251" s="2">
        <v>5</v>
      </c>
      <c r="K251" s="9">
        <f t="shared" si="9"/>
        <v>82516.539999999994</v>
      </c>
      <c r="L251" s="9">
        <f t="shared" si="10"/>
        <v>4125.8269999999993</v>
      </c>
      <c r="M251" s="10">
        <f t="shared" si="11"/>
        <v>78390.712999999989</v>
      </c>
      <c r="N251" s="2" t="s">
        <v>17</v>
      </c>
      <c r="O251" s="2" t="s">
        <v>39</v>
      </c>
      <c r="P251" s="2" t="s">
        <v>34</v>
      </c>
    </row>
    <row r="252" spans="1:16" x14ac:dyDescent="0.25">
      <c r="A252" s="3" t="s">
        <v>486</v>
      </c>
      <c r="B252" s="4">
        <v>45286</v>
      </c>
      <c r="C252" s="3" t="s">
        <v>413</v>
      </c>
      <c r="D252" s="3" t="s">
        <v>65</v>
      </c>
      <c r="E252" s="3" t="s">
        <v>66</v>
      </c>
      <c r="F252" s="3" t="s">
        <v>43</v>
      </c>
      <c r="G252" s="3" t="s">
        <v>44</v>
      </c>
      <c r="H252" s="3">
        <v>3657.39</v>
      </c>
      <c r="I252" s="3">
        <v>5</v>
      </c>
      <c r="J252" s="3">
        <v>15</v>
      </c>
      <c r="K252" s="9">
        <f t="shared" si="9"/>
        <v>18286.95</v>
      </c>
      <c r="L252" s="9">
        <f t="shared" si="10"/>
        <v>2743.0425</v>
      </c>
      <c r="M252" s="10">
        <f t="shared" si="11"/>
        <v>15543.907500000001</v>
      </c>
      <c r="N252" s="3" t="s">
        <v>17</v>
      </c>
      <c r="O252" s="3" t="s">
        <v>52</v>
      </c>
      <c r="P252" s="3" t="s">
        <v>53</v>
      </c>
    </row>
    <row r="253" spans="1:16" x14ac:dyDescent="0.25">
      <c r="A253" s="2" t="s">
        <v>487</v>
      </c>
      <c r="B253" s="4">
        <v>45287</v>
      </c>
      <c r="C253" s="2" t="s">
        <v>488</v>
      </c>
      <c r="D253" s="2" t="s">
        <v>100</v>
      </c>
      <c r="E253" s="2" t="s">
        <v>88</v>
      </c>
      <c r="F253" s="2" t="s">
        <v>31</v>
      </c>
      <c r="G253" s="2" t="s">
        <v>116</v>
      </c>
      <c r="H253" s="2">
        <v>1144.42</v>
      </c>
      <c r="I253" s="2">
        <v>2</v>
      </c>
      <c r="J253" s="2">
        <v>5</v>
      </c>
      <c r="K253" s="9">
        <f t="shared" si="9"/>
        <v>2288.84</v>
      </c>
      <c r="L253" s="9">
        <f t="shared" si="10"/>
        <v>114.44200000000001</v>
      </c>
      <c r="M253" s="10">
        <f t="shared" si="11"/>
        <v>2174.3980000000001</v>
      </c>
      <c r="N253" s="2" t="s">
        <v>26</v>
      </c>
      <c r="O253" s="2" t="s">
        <v>18</v>
      </c>
      <c r="P253" s="2" t="s">
        <v>34</v>
      </c>
    </row>
    <row r="254" spans="1:16" x14ac:dyDescent="0.25">
      <c r="A254" s="3" t="s">
        <v>489</v>
      </c>
      <c r="B254" s="4">
        <v>45288</v>
      </c>
      <c r="C254" s="3" t="s">
        <v>490</v>
      </c>
      <c r="D254" s="3" t="s">
        <v>22</v>
      </c>
      <c r="E254" s="3" t="s">
        <v>23</v>
      </c>
      <c r="F254" s="3" t="s">
        <v>31</v>
      </c>
      <c r="G254" s="3" t="s">
        <v>116</v>
      </c>
      <c r="H254" s="3">
        <v>1306.6099999999999</v>
      </c>
      <c r="I254" s="3">
        <v>4</v>
      </c>
      <c r="J254" s="3">
        <v>0</v>
      </c>
      <c r="K254" s="9">
        <f t="shared" si="9"/>
        <v>5226.4399999999996</v>
      </c>
      <c r="L254" s="9">
        <f t="shared" si="10"/>
        <v>0</v>
      </c>
      <c r="M254" s="10">
        <f t="shared" si="11"/>
        <v>5226.4399999999996</v>
      </c>
      <c r="N254" s="3" t="s">
        <v>17</v>
      </c>
      <c r="O254" s="3" t="s">
        <v>18</v>
      </c>
      <c r="P254" s="3" t="s">
        <v>60</v>
      </c>
    </row>
    <row r="255" spans="1:16" x14ac:dyDescent="0.25">
      <c r="A255" s="2" t="s">
        <v>491</v>
      </c>
      <c r="B255" s="4">
        <v>45289</v>
      </c>
      <c r="C255" s="2" t="s">
        <v>387</v>
      </c>
      <c r="D255" s="2" t="s">
        <v>13</v>
      </c>
      <c r="E255" s="2" t="s">
        <v>14</v>
      </c>
      <c r="F255" s="2" t="s">
        <v>43</v>
      </c>
      <c r="G255" s="2" t="s">
        <v>105</v>
      </c>
      <c r="H255" s="2">
        <v>2991.3</v>
      </c>
      <c r="I255" s="2">
        <v>4</v>
      </c>
      <c r="J255" s="2">
        <v>15</v>
      </c>
      <c r="K255" s="9">
        <f t="shared" si="9"/>
        <v>11965.2</v>
      </c>
      <c r="L255" s="9">
        <f t="shared" si="10"/>
        <v>1794.78</v>
      </c>
      <c r="M255" s="10">
        <f t="shared" si="11"/>
        <v>10170.42</v>
      </c>
      <c r="N255" s="2" t="s">
        <v>33</v>
      </c>
      <c r="O255" s="2" t="s">
        <v>18</v>
      </c>
      <c r="P255" s="2" t="s">
        <v>60</v>
      </c>
    </row>
    <row r="256" spans="1:16" x14ac:dyDescent="0.25">
      <c r="A256" s="3" t="s">
        <v>492</v>
      </c>
      <c r="B256" s="4">
        <v>45290</v>
      </c>
      <c r="C256" s="3" t="s">
        <v>493</v>
      </c>
      <c r="D256" s="3" t="s">
        <v>47</v>
      </c>
      <c r="E256" s="3" t="s">
        <v>48</v>
      </c>
      <c r="F256" s="3" t="s">
        <v>31</v>
      </c>
      <c r="G256" s="3" t="s">
        <v>242</v>
      </c>
      <c r="H256" s="3">
        <v>980.51</v>
      </c>
      <c r="I256" s="3">
        <v>2</v>
      </c>
      <c r="J256" s="3">
        <v>0</v>
      </c>
      <c r="K256" s="9">
        <f t="shared" si="9"/>
        <v>1961.02</v>
      </c>
      <c r="L256" s="9">
        <f t="shared" si="10"/>
        <v>0</v>
      </c>
      <c r="M256" s="10">
        <f t="shared" si="11"/>
        <v>1961.02</v>
      </c>
      <c r="N256" s="3" t="s">
        <v>38</v>
      </c>
      <c r="O256" s="3" t="s">
        <v>18</v>
      </c>
      <c r="P256" s="3" t="s">
        <v>60</v>
      </c>
    </row>
    <row r="257" spans="1:16" x14ac:dyDescent="0.25">
      <c r="A257" s="2" t="s">
        <v>494</v>
      </c>
      <c r="B257" s="4">
        <v>45291</v>
      </c>
      <c r="C257" s="2" t="s">
        <v>495</v>
      </c>
      <c r="D257" s="2" t="s">
        <v>76</v>
      </c>
      <c r="E257" s="6" t="s">
        <v>77</v>
      </c>
      <c r="F257" s="2" t="s">
        <v>110</v>
      </c>
      <c r="G257" s="2" t="s">
        <v>153</v>
      </c>
      <c r="H257" s="2">
        <v>3378.12</v>
      </c>
      <c r="I257" s="2">
        <v>3</v>
      </c>
      <c r="J257" s="2">
        <v>0</v>
      </c>
      <c r="K257" s="9">
        <f t="shared" si="9"/>
        <v>10134.36</v>
      </c>
      <c r="L257" s="9">
        <f t="shared" si="10"/>
        <v>0</v>
      </c>
      <c r="M257" s="10">
        <f t="shared" si="11"/>
        <v>10134.36</v>
      </c>
      <c r="N257" s="2" t="s">
        <v>38</v>
      </c>
      <c r="O257" s="2" t="s">
        <v>18</v>
      </c>
      <c r="P257" s="2" t="s">
        <v>19</v>
      </c>
    </row>
    <row r="258" spans="1:16" x14ac:dyDescent="0.25">
      <c r="A258" s="3" t="s">
        <v>496</v>
      </c>
      <c r="B258" s="4">
        <v>45292</v>
      </c>
      <c r="C258" s="3" t="s">
        <v>126</v>
      </c>
      <c r="D258" s="3" t="s">
        <v>100</v>
      </c>
      <c r="E258" s="3" t="s">
        <v>88</v>
      </c>
      <c r="F258" s="3" t="s">
        <v>15</v>
      </c>
      <c r="G258" s="3" t="s">
        <v>56</v>
      </c>
      <c r="H258" s="3">
        <v>1629.69</v>
      </c>
      <c r="I258" s="3">
        <v>4</v>
      </c>
      <c r="J258" s="3">
        <v>15</v>
      </c>
      <c r="K258" s="9">
        <f t="shared" ref="K258:K321" si="12">I258*H258</f>
        <v>6518.76</v>
      </c>
      <c r="L258" s="9">
        <f t="shared" ref="L258:L321" si="13">K258*J258/100</f>
        <v>977.81400000000008</v>
      </c>
      <c r="M258" s="10">
        <f t="shared" ref="M258:M321" si="14">K258-L258</f>
        <v>5540.9459999999999</v>
      </c>
      <c r="N258" s="3" t="s">
        <v>26</v>
      </c>
      <c r="O258" s="3" t="s">
        <v>18</v>
      </c>
      <c r="P258" s="3" t="s">
        <v>34</v>
      </c>
    </row>
    <row r="259" spans="1:16" x14ac:dyDescent="0.25">
      <c r="A259" s="2" t="s">
        <v>497</v>
      </c>
      <c r="B259" s="4">
        <v>45293</v>
      </c>
      <c r="C259" s="2" t="s">
        <v>64</v>
      </c>
      <c r="D259" s="2" t="s">
        <v>76</v>
      </c>
      <c r="E259" s="2" t="s">
        <v>77</v>
      </c>
      <c r="F259" s="2" t="s">
        <v>24</v>
      </c>
      <c r="G259" s="2" t="s">
        <v>170</v>
      </c>
      <c r="H259" s="2">
        <v>1152.68</v>
      </c>
      <c r="I259" s="2">
        <v>3</v>
      </c>
      <c r="J259" s="2">
        <v>5</v>
      </c>
      <c r="K259" s="9">
        <f t="shared" si="12"/>
        <v>3458.04</v>
      </c>
      <c r="L259" s="9">
        <f t="shared" si="13"/>
        <v>172.90200000000002</v>
      </c>
      <c r="M259" s="10">
        <f t="shared" si="14"/>
        <v>3285.1379999999999</v>
      </c>
      <c r="N259" s="2" t="s">
        <v>26</v>
      </c>
      <c r="O259" s="2" t="s">
        <v>27</v>
      </c>
      <c r="P259" s="2" t="s">
        <v>60</v>
      </c>
    </row>
    <row r="260" spans="1:16" x14ac:dyDescent="0.25">
      <c r="A260" s="3" t="s">
        <v>498</v>
      </c>
      <c r="B260" s="4">
        <v>45294</v>
      </c>
      <c r="C260" s="3" t="s">
        <v>371</v>
      </c>
      <c r="D260" s="3" t="s">
        <v>29</v>
      </c>
      <c r="E260" s="3" t="s">
        <v>30</v>
      </c>
      <c r="F260" s="3" t="s">
        <v>43</v>
      </c>
      <c r="G260" s="3" t="s">
        <v>89</v>
      </c>
      <c r="H260" s="3">
        <v>4410.72</v>
      </c>
      <c r="I260" s="3">
        <v>5</v>
      </c>
      <c r="J260" s="3">
        <v>0</v>
      </c>
      <c r="K260" s="9">
        <f t="shared" si="12"/>
        <v>22053.600000000002</v>
      </c>
      <c r="L260" s="9">
        <f t="shared" si="13"/>
        <v>0</v>
      </c>
      <c r="M260" s="10">
        <f t="shared" si="14"/>
        <v>22053.600000000002</v>
      </c>
      <c r="N260" s="3" t="s">
        <v>33</v>
      </c>
      <c r="O260" s="3" t="s">
        <v>52</v>
      </c>
      <c r="P260" s="3" t="s">
        <v>40</v>
      </c>
    </row>
    <row r="261" spans="1:16" x14ac:dyDescent="0.25">
      <c r="A261" s="2" t="s">
        <v>499</v>
      </c>
      <c r="B261" s="4">
        <v>45295</v>
      </c>
      <c r="C261" s="2" t="s">
        <v>500</v>
      </c>
      <c r="D261" s="2" t="s">
        <v>29</v>
      </c>
      <c r="E261" s="2" t="s">
        <v>30</v>
      </c>
      <c r="F261" s="2" t="s">
        <v>15</v>
      </c>
      <c r="G261" s="2" t="s">
        <v>198</v>
      </c>
      <c r="H261" s="2">
        <v>737.5</v>
      </c>
      <c r="I261" s="2">
        <v>2</v>
      </c>
      <c r="J261" s="2">
        <v>0</v>
      </c>
      <c r="K261" s="9">
        <f t="shared" si="12"/>
        <v>1475</v>
      </c>
      <c r="L261" s="9">
        <f t="shared" si="13"/>
        <v>0</v>
      </c>
      <c r="M261" s="10">
        <f t="shared" si="14"/>
        <v>1475</v>
      </c>
      <c r="N261" s="2" t="s">
        <v>38</v>
      </c>
      <c r="O261" s="2" t="s">
        <v>18</v>
      </c>
      <c r="P261" s="2" t="s">
        <v>19</v>
      </c>
    </row>
    <row r="262" spans="1:16" x14ac:dyDescent="0.25">
      <c r="A262" s="3" t="s">
        <v>501</v>
      </c>
      <c r="B262" s="4">
        <v>45296</v>
      </c>
      <c r="C262" s="3" t="s">
        <v>165</v>
      </c>
      <c r="D262" s="3" t="s">
        <v>65</v>
      </c>
      <c r="E262" s="3" t="s">
        <v>66</v>
      </c>
      <c r="F262" s="3" t="s">
        <v>72</v>
      </c>
      <c r="G262" s="3" t="s">
        <v>137</v>
      </c>
      <c r="H262" s="3">
        <v>2404.92</v>
      </c>
      <c r="I262" s="3">
        <v>4</v>
      </c>
      <c r="J262" s="3">
        <v>0</v>
      </c>
      <c r="K262" s="9">
        <f t="shared" si="12"/>
        <v>9619.68</v>
      </c>
      <c r="L262" s="9">
        <f t="shared" si="13"/>
        <v>0</v>
      </c>
      <c r="M262" s="10">
        <f t="shared" si="14"/>
        <v>9619.68</v>
      </c>
      <c r="N262" s="3" t="s">
        <v>68</v>
      </c>
      <c r="O262" s="3" t="s">
        <v>18</v>
      </c>
      <c r="P262" s="3" t="s">
        <v>34</v>
      </c>
    </row>
    <row r="263" spans="1:16" x14ac:dyDescent="0.25">
      <c r="A263" s="2" t="s">
        <v>502</v>
      </c>
      <c r="B263" s="4">
        <v>45297</v>
      </c>
      <c r="C263" s="2" t="s">
        <v>423</v>
      </c>
      <c r="D263" s="2" t="s">
        <v>83</v>
      </c>
      <c r="E263" s="2" t="s">
        <v>84</v>
      </c>
      <c r="F263" s="2" t="s">
        <v>110</v>
      </c>
      <c r="G263" s="2" t="s">
        <v>111</v>
      </c>
      <c r="H263" s="2">
        <v>9856.56</v>
      </c>
      <c r="I263" s="2">
        <v>2</v>
      </c>
      <c r="J263" s="2">
        <v>15</v>
      </c>
      <c r="K263" s="9">
        <f t="shared" si="12"/>
        <v>19713.12</v>
      </c>
      <c r="L263" s="9">
        <f t="shared" si="13"/>
        <v>2956.9679999999998</v>
      </c>
      <c r="M263" s="10">
        <f t="shared" si="14"/>
        <v>16756.151999999998</v>
      </c>
      <c r="N263" s="2" t="s">
        <v>38</v>
      </c>
      <c r="O263" s="2" t="s">
        <v>18</v>
      </c>
      <c r="P263" s="2" t="s">
        <v>60</v>
      </c>
    </row>
    <row r="264" spans="1:16" x14ac:dyDescent="0.25">
      <c r="A264" s="3" t="s">
        <v>503</v>
      </c>
      <c r="B264" s="4">
        <v>45298</v>
      </c>
      <c r="C264" s="3" t="s">
        <v>504</v>
      </c>
      <c r="D264" s="3" t="s">
        <v>83</v>
      </c>
      <c r="E264" s="3" t="s">
        <v>84</v>
      </c>
      <c r="F264" s="3" t="s">
        <v>24</v>
      </c>
      <c r="G264" s="3" t="s">
        <v>108</v>
      </c>
      <c r="H264" s="3">
        <v>8796.32</v>
      </c>
      <c r="I264" s="3">
        <v>4</v>
      </c>
      <c r="J264" s="3">
        <v>0</v>
      </c>
      <c r="K264" s="9">
        <f t="shared" si="12"/>
        <v>35185.279999999999</v>
      </c>
      <c r="L264" s="9">
        <f t="shared" si="13"/>
        <v>0</v>
      </c>
      <c r="M264" s="10">
        <f t="shared" si="14"/>
        <v>35185.279999999999</v>
      </c>
      <c r="N264" s="3" t="s">
        <v>38</v>
      </c>
      <c r="O264" s="3" t="s">
        <v>18</v>
      </c>
      <c r="P264" s="3" t="s">
        <v>40</v>
      </c>
    </row>
    <row r="265" spans="1:16" x14ac:dyDescent="0.25">
      <c r="A265" s="2" t="s">
        <v>505</v>
      </c>
      <c r="B265" s="4">
        <v>45299</v>
      </c>
      <c r="C265" s="2" t="s">
        <v>248</v>
      </c>
      <c r="D265" s="2" t="s">
        <v>87</v>
      </c>
      <c r="E265" s="2" t="s">
        <v>88</v>
      </c>
      <c r="F265" s="2" t="s">
        <v>31</v>
      </c>
      <c r="G265" s="2" t="s">
        <v>116</v>
      </c>
      <c r="H265" s="2">
        <v>1189.28</v>
      </c>
      <c r="I265" s="2">
        <v>2</v>
      </c>
      <c r="J265" s="2">
        <v>0</v>
      </c>
      <c r="K265" s="9">
        <f t="shared" si="12"/>
        <v>2378.56</v>
      </c>
      <c r="L265" s="9">
        <f t="shared" si="13"/>
        <v>0</v>
      </c>
      <c r="M265" s="10">
        <f t="shared" si="14"/>
        <v>2378.56</v>
      </c>
      <c r="N265" s="2" t="s">
        <v>33</v>
      </c>
      <c r="O265" s="2" t="s">
        <v>18</v>
      </c>
      <c r="P265" s="2" t="s">
        <v>60</v>
      </c>
    </row>
    <row r="266" spans="1:16" x14ac:dyDescent="0.25">
      <c r="A266" s="3" t="s">
        <v>506</v>
      </c>
      <c r="B266" s="4">
        <v>45300</v>
      </c>
      <c r="C266" s="3" t="s">
        <v>256</v>
      </c>
      <c r="D266" s="3" t="s">
        <v>76</v>
      </c>
      <c r="E266" s="3" t="s">
        <v>77</v>
      </c>
      <c r="F266" s="3" t="s">
        <v>31</v>
      </c>
      <c r="G266" s="3" t="s">
        <v>32</v>
      </c>
      <c r="H266" s="3">
        <v>2400.13</v>
      </c>
      <c r="I266" s="3">
        <v>1</v>
      </c>
      <c r="J266" s="3">
        <v>15</v>
      </c>
      <c r="K266" s="9">
        <f t="shared" si="12"/>
        <v>2400.13</v>
      </c>
      <c r="L266" s="9">
        <f t="shared" si="13"/>
        <v>360.01950000000005</v>
      </c>
      <c r="M266" s="10">
        <f t="shared" si="14"/>
        <v>2040.1105</v>
      </c>
      <c r="N266" s="3" t="s">
        <v>38</v>
      </c>
      <c r="O266" s="3" t="s">
        <v>27</v>
      </c>
      <c r="P266" s="3" t="s">
        <v>40</v>
      </c>
    </row>
    <row r="267" spans="1:16" x14ac:dyDescent="0.25">
      <c r="A267" s="2" t="s">
        <v>507</v>
      </c>
      <c r="B267" s="4">
        <v>45301</v>
      </c>
      <c r="C267" s="2" t="s">
        <v>326</v>
      </c>
      <c r="D267" s="2" t="s">
        <v>51</v>
      </c>
      <c r="E267" s="6" t="s">
        <v>14</v>
      </c>
      <c r="F267" s="2" t="s">
        <v>110</v>
      </c>
      <c r="G267" s="2" t="s">
        <v>153</v>
      </c>
      <c r="H267" s="2">
        <v>3536.34</v>
      </c>
      <c r="I267" s="2">
        <v>3</v>
      </c>
      <c r="J267" s="2">
        <v>5</v>
      </c>
      <c r="K267" s="9">
        <f t="shared" si="12"/>
        <v>10609.02</v>
      </c>
      <c r="L267" s="9">
        <f t="shared" si="13"/>
        <v>530.45100000000002</v>
      </c>
      <c r="M267" s="10">
        <f t="shared" si="14"/>
        <v>10078.569</v>
      </c>
      <c r="N267" s="2" t="s">
        <v>33</v>
      </c>
      <c r="O267" s="2" t="s">
        <v>18</v>
      </c>
      <c r="P267" s="2" t="s">
        <v>53</v>
      </c>
    </row>
    <row r="268" spans="1:16" x14ac:dyDescent="0.25">
      <c r="A268" s="3" t="s">
        <v>509</v>
      </c>
      <c r="B268" s="4">
        <v>45302</v>
      </c>
      <c r="C268" s="3" t="s">
        <v>347</v>
      </c>
      <c r="D268" s="3" t="s">
        <v>100</v>
      </c>
      <c r="E268" s="3" t="s">
        <v>88</v>
      </c>
      <c r="F268" s="3" t="s">
        <v>15</v>
      </c>
      <c r="G268" s="3" t="s">
        <v>95</v>
      </c>
      <c r="H268" s="3">
        <v>1174.94</v>
      </c>
      <c r="I268" s="3">
        <v>5</v>
      </c>
      <c r="J268" s="3">
        <v>5</v>
      </c>
      <c r="K268" s="9">
        <f t="shared" si="12"/>
        <v>5874.7000000000007</v>
      </c>
      <c r="L268" s="9">
        <f t="shared" si="13"/>
        <v>293.73500000000001</v>
      </c>
      <c r="M268" s="10">
        <f t="shared" si="14"/>
        <v>5580.9650000000011</v>
      </c>
      <c r="N268" s="3" t="s">
        <v>33</v>
      </c>
      <c r="O268" s="3" t="s">
        <v>52</v>
      </c>
      <c r="P268" s="3" t="s">
        <v>60</v>
      </c>
    </row>
    <row r="269" spans="1:16" x14ac:dyDescent="0.25">
      <c r="A269" s="2" t="s">
        <v>510</v>
      </c>
      <c r="B269" s="4">
        <v>45303</v>
      </c>
      <c r="C269" s="2" t="s">
        <v>511</v>
      </c>
      <c r="D269" s="2" t="s">
        <v>51</v>
      </c>
      <c r="E269" s="2" t="s">
        <v>14</v>
      </c>
      <c r="F269" s="2" t="s">
        <v>24</v>
      </c>
      <c r="G269" s="2" t="s">
        <v>108</v>
      </c>
      <c r="H269" s="2">
        <v>8403.7199999999993</v>
      </c>
      <c r="I269" s="2">
        <v>1</v>
      </c>
      <c r="J269" s="2">
        <v>0</v>
      </c>
      <c r="K269" s="9">
        <f t="shared" si="12"/>
        <v>8403.7199999999993</v>
      </c>
      <c r="L269" s="9">
        <f t="shared" si="13"/>
        <v>0</v>
      </c>
      <c r="M269" s="10">
        <f t="shared" si="14"/>
        <v>8403.7199999999993</v>
      </c>
      <c r="N269" s="2" t="s">
        <v>68</v>
      </c>
      <c r="O269" s="2" t="s">
        <v>39</v>
      </c>
      <c r="P269" s="2" t="s">
        <v>19</v>
      </c>
    </row>
    <row r="270" spans="1:16" x14ac:dyDescent="0.25">
      <c r="A270" s="3" t="s">
        <v>512</v>
      </c>
      <c r="B270" s="4">
        <v>45304</v>
      </c>
      <c r="C270" s="3" t="s">
        <v>316</v>
      </c>
      <c r="D270" s="3" t="s">
        <v>51</v>
      </c>
      <c r="E270" s="3" t="s">
        <v>14</v>
      </c>
      <c r="F270" s="3" t="s">
        <v>43</v>
      </c>
      <c r="G270" s="3" t="s">
        <v>44</v>
      </c>
      <c r="H270" s="3">
        <v>3333.65</v>
      </c>
      <c r="I270" s="3">
        <v>4</v>
      </c>
      <c r="J270" s="3">
        <v>10</v>
      </c>
      <c r="K270" s="9">
        <f t="shared" si="12"/>
        <v>13334.6</v>
      </c>
      <c r="L270" s="9">
        <f t="shared" si="13"/>
        <v>1333.46</v>
      </c>
      <c r="M270" s="10">
        <f t="shared" si="14"/>
        <v>12001.14</v>
      </c>
      <c r="N270" s="3" t="s">
        <v>38</v>
      </c>
      <c r="O270" s="3" t="s">
        <v>52</v>
      </c>
      <c r="P270" s="3" t="s">
        <v>60</v>
      </c>
    </row>
    <row r="271" spans="1:16" x14ac:dyDescent="0.25">
      <c r="A271" s="2" t="s">
        <v>513</v>
      </c>
      <c r="B271" s="4">
        <v>45305</v>
      </c>
      <c r="C271" s="2" t="s">
        <v>159</v>
      </c>
      <c r="D271" s="2" t="s">
        <v>22</v>
      </c>
      <c r="E271" s="2" t="s">
        <v>23</v>
      </c>
      <c r="F271" s="2" t="s">
        <v>31</v>
      </c>
      <c r="G271" s="2" t="s">
        <v>116</v>
      </c>
      <c r="H271" s="2">
        <v>1282.92</v>
      </c>
      <c r="I271" s="2">
        <v>5</v>
      </c>
      <c r="J271" s="2">
        <v>0</v>
      </c>
      <c r="K271" s="9">
        <f t="shared" si="12"/>
        <v>6414.6</v>
      </c>
      <c r="L271" s="9">
        <f t="shared" si="13"/>
        <v>0</v>
      </c>
      <c r="M271" s="10">
        <f t="shared" si="14"/>
        <v>6414.6</v>
      </c>
      <c r="N271" s="2" t="s">
        <v>38</v>
      </c>
      <c r="O271" s="2" t="s">
        <v>52</v>
      </c>
      <c r="P271" s="2" t="s">
        <v>19</v>
      </c>
    </row>
    <row r="272" spans="1:16" x14ac:dyDescent="0.25">
      <c r="A272" s="3" t="s">
        <v>514</v>
      </c>
      <c r="B272" s="4">
        <v>45306</v>
      </c>
      <c r="C272" s="3" t="s">
        <v>515</v>
      </c>
      <c r="D272" s="3" t="s">
        <v>87</v>
      </c>
      <c r="E272" s="3" t="s">
        <v>88</v>
      </c>
      <c r="F272" s="3" t="s">
        <v>36</v>
      </c>
      <c r="G272" s="3" t="s">
        <v>49</v>
      </c>
      <c r="H272" s="3">
        <v>144161.4</v>
      </c>
      <c r="I272" s="3">
        <v>2</v>
      </c>
      <c r="J272" s="3">
        <v>5</v>
      </c>
      <c r="K272" s="9">
        <f t="shared" si="12"/>
        <v>288322.8</v>
      </c>
      <c r="L272" s="9">
        <f t="shared" si="13"/>
        <v>14416.14</v>
      </c>
      <c r="M272" s="10">
        <f t="shared" si="14"/>
        <v>273906.65999999997</v>
      </c>
      <c r="N272" s="3" t="s">
        <v>26</v>
      </c>
      <c r="O272" s="3" t="s">
        <v>52</v>
      </c>
      <c r="P272" s="3" t="s">
        <v>60</v>
      </c>
    </row>
    <row r="273" spans="1:16" x14ac:dyDescent="0.25">
      <c r="A273" s="2" t="s">
        <v>516</v>
      </c>
      <c r="B273" s="4">
        <v>45307</v>
      </c>
      <c r="C273" s="2" t="s">
        <v>493</v>
      </c>
      <c r="D273" s="2" t="s">
        <v>29</v>
      </c>
      <c r="E273" s="2" t="s">
        <v>30</v>
      </c>
      <c r="F273" s="2" t="s">
        <v>43</v>
      </c>
      <c r="G273" s="2" t="s">
        <v>145</v>
      </c>
      <c r="H273" s="2">
        <v>11245.81</v>
      </c>
      <c r="I273" s="2">
        <v>5</v>
      </c>
      <c r="J273" s="2">
        <v>5</v>
      </c>
      <c r="K273" s="9">
        <f t="shared" si="12"/>
        <v>56229.049999999996</v>
      </c>
      <c r="L273" s="9">
        <f t="shared" si="13"/>
        <v>2811.4524999999999</v>
      </c>
      <c r="M273" s="10">
        <f t="shared" si="14"/>
        <v>53417.597499999996</v>
      </c>
      <c r="N273" s="2" t="s">
        <v>26</v>
      </c>
      <c r="O273" s="2" t="s">
        <v>52</v>
      </c>
      <c r="P273" s="2" t="s">
        <v>53</v>
      </c>
    </row>
    <row r="274" spans="1:16" x14ac:dyDescent="0.25">
      <c r="A274" s="3" t="s">
        <v>517</v>
      </c>
      <c r="B274" s="4">
        <v>45308</v>
      </c>
      <c r="C274" s="3" t="s">
        <v>444</v>
      </c>
      <c r="D274" s="3" t="s">
        <v>100</v>
      </c>
      <c r="E274" s="3" t="s">
        <v>88</v>
      </c>
      <c r="F274" s="3" t="s">
        <v>31</v>
      </c>
      <c r="G274" s="3" t="s">
        <v>70</v>
      </c>
      <c r="H274" s="3">
        <v>614.33000000000004</v>
      </c>
      <c r="I274" s="3">
        <v>3</v>
      </c>
      <c r="J274" s="3">
        <v>5</v>
      </c>
      <c r="K274" s="9">
        <f t="shared" si="12"/>
        <v>1842.9900000000002</v>
      </c>
      <c r="L274" s="9">
        <f t="shared" si="13"/>
        <v>92.149500000000003</v>
      </c>
      <c r="M274" s="10">
        <f t="shared" si="14"/>
        <v>1750.8405000000002</v>
      </c>
      <c r="N274" s="3" t="s">
        <v>33</v>
      </c>
      <c r="O274" s="3" t="s">
        <v>18</v>
      </c>
      <c r="P274" s="3" t="s">
        <v>53</v>
      </c>
    </row>
    <row r="275" spans="1:16" x14ac:dyDescent="0.25">
      <c r="A275" s="2" t="s">
        <v>518</v>
      </c>
      <c r="B275" s="4">
        <v>45309</v>
      </c>
      <c r="C275" s="2" t="s">
        <v>519</v>
      </c>
      <c r="D275" s="2" t="s">
        <v>76</v>
      </c>
      <c r="E275" s="2" t="s">
        <v>77</v>
      </c>
      <c r="F275" s="2" t="s">
        <v>43</v>
      </c>
      <c r="G275" s="2" t="s">
        <v>145</v>
      </c>
      <c r="H275" s="2">
        <v>11797.51</v>
      </c>
      <c r="I275" s="2">
        <v>4</v>
      </c>
      <c r="J275" s="2">
        <v>0</v>
      </c>
      <c r="K275" s="9">
        <f t="shared" si="12"/>
        <v>47190.04</v>
      </c>
      <c r="L275" s="9">
        <f t="shared" si="13"/>
        <v>0</v>
      </c>
      <c r="M275" s="10">
        <f t="shared" si="14"/>
        <v>47190.04</v>
      </c>
      <c r="N275" s="2" t="s">
        <v>26</v>
      </c>
      <c r="O275" s="2" t="s">
        <v>18</v>
      </c>
      <c r="P275" s="2" t="s">
        <v>19</v>
      </c>
    </row>
    <row r="276" spans="1:16" x14ac:dyDescent="0.25">
      <c r="A276" s="3" t="s">
        <v>520</v>
      </c>
      <c r="B276" s="4">
        <v>45310</v>
      </c>
      <c r="C276" s="3" t="s">
        <v>183</v>
      </c>
      <c r="D276" s="3" t="s">
        <v>13</v>
      </c>
      <c r="E276" s="3" t="s">
        <v>14</v>
      </c>
      <c r="F276" s="3" t="s">
        <v>31</v>
      </c>
      <c r="G276" s="3" t="s">
        <v>186</v>
      </c>
      <c r="H276" s="3">
        <v>806.02</v>
      </c>
      <c r="I276" s="3">
        <v>2</v>
      </c>
      <c r="J276" s="3">
        <v>10</v>
      </c>
      <c r="K276" s="9">
        <f t="shared" si="12"/>
        <v>1612.04</v>
      </c>
      <c r="L276" s="9">
        <f t="shared" si="13"/>
        <v>161.20400000000001</v>
      </c>
      <c r="M276" s="10">
        <f t="shared" si="14"/>
        <v>1450.836</v>
      </c>
      <c r="N276" s="3" t="s">
        <v>17</v>
      </c>
      <c r="O276" s="3" t="s">
        <v>27</v>
      </c>
      <c r="P276" s="3" t="s">
        <v>60</v>
      </c>
    </row>
    <row r="277" spans="1:16" x14ac:dyDescent="0.25">
      <c r="A277" s="2" t="s">
        <v>521</v>
      </c>
      <c r="B277" s="4">
        <v>45311</v>
      </c>
      <c r="C277" s="2" t="s">
        <v>53</v>
      </c>
      <c r="D277" s="2" t="s">
        <v>29</v>
      </c>
      <c r="E277" s="6" t="s">
        <v>30</v>
      </c>
      <c r="F277" s="2" t="s">
        <v>36</v>
      </c>
      <c r="G277" s="2" t="s">
        <v>338</v>
      </c>
      <c r="H277" s="2">
        <v>68576.47</v>
      </c>
      <c r="I277" s="2">
        <v>3</v>
      </c>
      <c r="J277" s="2">
        <v>10</v>
      </c>
      <c r="K277" s="9">
        <f t="shared" si="12"/>
        <v>205729.41</v>
      </c>
      <c r="L277" s="9">
        <f t="shared" si="13"/>
        <v>20572.941000000003</v>
      </c>
      <c r="M277" s="10">
        <f t="shared" si="14"/>
        <v>185156.46900000001</v>
      </c>
      <c r="N277" s="2" t="s">
        <v>68</v>
      </c>
      <c r="O277" s="2" t="s">
        <v>39</v>
      </c>
      <c r="P277" s="2" t="s">
        <v>60</v>
      </c>
    </row>
    <row r="278" spans="1:16" x14ac:dyDescent="0.25">
      <c r="A278" s="3" t="s">
        <v>522</v>
      </c>
      <c r="B278" s="4">
        <v>45312</v>
      </c>
      <c r="C278" s="3" t="s">
        <v>277</v>
      </c>
      <c r="D278" s="3" t="s">
        <v>22</v>
      </c>
      <c r="E278" s="3" t="s">
        <v>23</v>
      </c>
      <c r="F278" s="3" t="s">
        <v>15</v>
      </c>
      <c r="G278" s="3" t="s">
        <v>163</v>
      </c>
      <c r="H278" s="3">
        <v>2398.85</v>
      </c>
      <c r="I278" s="3">
        <v>1</v>
      </c>
      <c r="J278" s="3">
        <v>5</v>
      </c>
      <c r="K278" s="9">
        <f t="shared" si="12"/>
        <v>2398.85</v>
      </c>
      <c r="L278" s="9">
        <f t="shared" si="13"/>
        <v>119.9425</v>
      </c>
      <c r="M278" s="10">
        <f t="shared" si="14"/>
        <v>2278.9074999999998</v>
      </c>
      <c r="N278" s="3" t="s">
        <v>38</v>
      </c>
      <c r="O278" s="3" t="s">
        <v>18</v>
      </c>
      <c r="P278" s="3" t="s">
        <v>40</v>
      </c>
    </row>
    <row r="279" spans="1:16" x14ac:dyDescent="0.25">
      <c r="A279" s="2" t="s">
        <v>523</v>
      </c>
      <c r="B279" s="4">
        <v>45313</v>
      </c>
      <c r="C279" s="2" t="s">
        <v>399</v>
      </c>
      <c r="D279" s="2" t="s">
        <v>51</v>
      </c>
      <c r="E279" s="2" t="s">
        <v>14</v>
      </c>
      <c r="F279" s="2" t="s">
        <v>72</v>
      </c>
      <c r="G279" s="2" t="s">
        <v>73</v>
      </c>
      <c r="H279" s="2">
        <v>363.24</v>
      </c>
      <c r="I279" s="2">
        <v>5</v>
      </c>
      <c r="J279" s="2">
        <v>0</v>
      </c>
      <c r="K279" s="9">
        <f t="shared" si="12"/>
        <v>1816.2</v>
      </c>
      <c r="L279" s="9">
        <f t="shared" si="13"/>
        <v>0</v>
      </c>
      <c r="M279" s="10">
        <f t="shared" si="14"/>
        <v>1816.2</v>
      </c>
      <c r="N279" s="2" t="s">
        <v>33</v>
      </c>
      <c r="O279" s="2" t="s">
        <v>18</v>
      </c>
      <c r="P279" s="2" t="s">
        <v>19</v>
      </c>
    </row>
    <row r="280" spans="1:16" x14ac:dyDescent="0.25">
      <c r="A280" s="3" t="s">
        <v>524</v>
      </c>
      <c r="B280" s="4">
        <v>45314</v>
      </c>
      <c r="C280" s="3" t="s">
        <v>525</v>
      </c>
      <c r="D280" s="3" t="s">
        <v>13</v>
      </c>
      <c r="E280" s="3" t="s">
        <v>14</v>
      </c>
      <c r="F280" s="3" t="s">
        <v>110</v>
      </c>
      <c r="G280" s="3" t="s">
        <v>215</v>
      </c>
      <c r="H280" s="3">
        <v>2516.14</v>
      </c>
      <c r="I280" s="3">
        <v>5</v>
      </c>
      <c r="J280" s="3">
        <v>0</v>
      </c>
      <c r="K280" s="9">
        <f t="shared" si="12"/>
        <v>12580.699999999999</v>
      </c>
      <c r="L280" s="9">
        <f t="shared" si="13"/>
        <v>0</v>
      </c>
      <c r="M280" s="10">
        <f t="shared" si="14"/>
        <v>12580.699999999999</v>
      </c>
      <c r="N280" s="3" t="s">
        <v>26</v>
      </c>
      <c r="O280" s="3" t="s">
        <v>18</v>
      </c>
      <c r="P280" s="3" t="s">
        <v>34</v>
      </c>
    </row>
    <row r="281" spans="1:16" x14ac:dyDescent="0.25">
      <c r="A281" s="2" t="s">
        <v>526</v>
      </c>
      <c r="B281" s="4">
        <v>45315</v>
      </c>
      <c r="C281" s="2" t="s">
        <v>527</v>
      </c>
      <c r="D281" s="2" t="s">
        <v>83</v>
      </c>
      <c r="E281" s="2" t="s">
        <v>84</v>
      </c>
      <c r="F281" s="2" t="s">
        <v>15</v>
      </c>
      <c r="G281" s="2" t="s">
        <v>198</v>
      </c>
      <c r="H281" s="2">
        <v>741.69</v>
      </c>
      <c r="I281" s="2">
        <v>4</v>
      </c>
      <c r="J281" s="2">
        <v>15</v>
      </c>
      <c r="K281" s="9">
        <f t="shared" si="12"/>
        <v>2966.76</v>
      </c>
      <c r="L281" s="9">
        <f t="shared" si="13"/>
        <v>445.01400000000001</v>
      </c>
      <c r="M281" s="10">
        <f t="shared" si="14"/>
        <v>2521.7460000000001</v>
      </c>
      <c r="N281" s="2" t="s">
        <v>38</v>
      </c>
      <c r="O281" s="2" t="s">
        <v>39</v>
      </c>
      <c r="P281" s="2" t="s">
        <v>53</v>
      </c>
    </row>
    <row r="282" spans="1:16" x14ac:dyDescent="0.25">
      <c r="A282" s="3" t="s">
        <v>528</v>
      </c>
      <c r="B282" s="4">
        <v>45316</v>
      </c>
      <c r="C282" s="3" t="s">
        <v>60</v>
      </c>
      <c r="D282" s="3" t="s">
        <v>100</v>
      </c>
      <c r="E282" s="3" t="s">
        <v>88</v>
      </c>
      <c r="F282" s="3" t="s">
        <v>15</v>
      </c>
      <c r="G282" s="3" t="s">
        <v>16</v>
      </c>
      <c r="H282" s="3">
        <v>1598.54</v>
      </c>
      <c r="I282" s="3">
        <v>4</v>
      </c>
      <c r="J282" s="3">
        <v>15</v>
      </c>
      <c r="K282" s="9">
        <f t="shared" si="12"/>
        <v>6394.16</v>
      </c>
      <c r="L282" s="9">
        <f t="shared" si="13"/>
        <v>959.12399999999991</v>
      </c>
      <c r="M282" s="10">
        <f t="shared" si="14"/>
        <v>5435.0360000000001</v>
      </c>
      <c r="N282" s="3" t="s">
        <v>26</v>
      </c>
      <c r="O282" s="3" t="s">
        <v>52</v>
      </c>
      <c r="P282" s="3" t="s">
        <v>34</v>
      </c>
    </row>
    <row r="283" spans="1:16" x14ac:dyDescent="0.25">
      <c r="A283" s="2" t="s">
        <v>529</v>
      </c>
      <c r="B283" s="4">
        <v>45317</v>
      </c>
      <c r="C283" s="2" t="s">
        <v>530</v>
      </c>
      <c r="D283" s="2" t="s">
        <v>76</v>
      </c>
      <c r="E283" s="2" t="s">
        <v>77</v>
      </c>
      <c r="F283" s="2" t="s">
        <v>36</v>
      </c>
      <c r="G283" s="2" t="s">
        <v>121</v>
      </c>
      <c r="H283" s="2">
        <v>100597.37</v>
      </c>
      <c r="I283" s="2">
        <v>1</v>
      </c>
      <c r="J283" s="2">
        <v>15</v>
      </c>
      <c r="K283" s="9">
        <f t="shared" si="12"/>
        <v>100597.37</v>
      </c>
      <c r="L283" s="9">
        <f t="shared" si="13"/>
        <v>15089.605499999998</v>
      </c>
      <c r="M283" s="10">
        <f t="shared" si="14"/>
        <v>85507.76449999999</v>
      </c>
      <c r="N283" s="2" t="s">
        <v>17</v>
      </c>
      <c r="O283" s="2" t="s">
        <v>27</v>
      </c>
      <c r="P283" s="2" t="s">
        <v>34</v>
      </c>
    </row>
    <row r="284" spans="1:16" x14ac:dyDescent="0.25">
      <c r="A284" s="3" t="s">
        <v>531</v>
      </c>
      <c r="B284" s="4">
        <v>45318</v>
      </c>
      <c r="C284" s="3" t="s">
        <v>532</v>
      </c>
      <c r="D284" s="3" t="s">
        <v>76</v>
      </c>
      <c r="E284" s="3" t="s">
        <v>77</v>
      </c>
      <c r="F284" s="3" t="s">
        <v>31</v>
      </c>
      <c r="G284" s="3" t="s">
        <v>242</v>
      </c>
      <c r="H284" s="3">
        <v>810.45</v>
      </c>
      <c r="I284" s="3">
        <v>1</v>
      </c>
      <c r="J284" s="3">
        <v>10</v>
      </c>
      <c r="K284" s="9">
        <f t="shared" si="12"/>
        <v>810.45</v>
      </c>
      <c r="L284" s="9">
        <f t="shared" si="13"/>
        <v>81.045000000000002</v>
      </c>
      <c r="M284" s="10">
        <f t="shared" si="14"/>
        <v>729.40500000000009</v>
      </c>
      <c r="N284" s="3" t="s">
        <v>38</v>
      </c>
      <c r="O284" s="3" t="s">
        <v>39</v>
      </c>
      <c r="P284" s="3" t="s">
        <v>40</v>
      </c>
    </row>
    <row r="285" spans="1:16" x14ac:dyDescent="0.25">
      <c r="A285" s="2" t="s">
        <v>533</v>
      </c>
      <c r="B285" s="4">
        <v>45319</v>
      </c>
      <c r="C285" s="2" t="s">
        <v>223</v>
      </c>
      <c r="D285" s="2" t="s">
        <v>65</v>
      </c>
      <c r="E285" s="2" t="s">
        <v>66</v>
      </c>
      <c r="F285" s="2" t="s">
        <v>72</v>
      </c>
      <c r="G285" s="2" t="s">
        <v>102</v>
      </c>
      <c r="H285" s="2">
        <v>649.30999999999995</v>
      </c>
      <c r="I285" s="2">
        <v>3</v>
      </c>
      <c r="J285" s="2">
        <v>0</v>
      </c>
      <c r="K285" s="9">
        <f t="shared" si="12"/>
        <v>1947.9299999999998</v>
      </c>
      <c r="L285" s="9">
        <f t="shared" si="13"/>
        <v>0</v>
      </c>
      <c r="M285" s="10">
        <f t="shared" si="14"/>
        <v>1947.9299999999998</v>
      </c>
      <c r="N285" s="2" t="s">
        <v>38</v>
      </c>
      <c r="O285" s="2" t="s">
        <v>52</v>
      </c>
      <c r="P285" s="2" t="s">
        <v>19</v>
      </c>
    </row>
    <row r="286" spans="1:16" x14ac:dyDescent="0.25">
      <c r="A286" s="3" t="s">
        <v>534</v>
      </c>
      <c r="B286" s="4">
        <v>45320</v>
      </c>
      <c r="C286" s="3" t="s">
        <v>429</v>
      </c>
      <c r="D286" s="3" t="s">
        <v>87</v>
      </c>
      <c r="E286" s="3" t="s">
        <v>88</v>
      </c>
      <c r="F286" s="3" t="s">
        <v>15</v>
      </c>
      <c r="G286" s="3" t="s">
        <v>198</v>
      </c>
      <c r="H286" s="3">
        <v>727.35</v>
      </c>
      <c r="I286" s="3">
        <v>4</v>
      </c>
      <c r="J286" s="3">
        <v>5</v>
      </c>
      <c r="K286" s="9">
        <f t="shared" si="12"/>
        <v>2909.4</v>
      </c>
      <c r="L286" s="9">
        <f t="shared" si="13"/>
        <v>145.47</v>
      </c>
      <c r="M286" s="10">
        <f t="shared" si="14"/>
        <v>2763.9300000000003</v>
      </c>
      <c r="N286" s="3" t="s">
        <v>68</v>
      </c>
      <c r="O286" s="3" t="s">
        <v>39</v>
      </c>
      <c r="P286" s="3" t="s">
        <v>53</v>
      </c>
    </row>
    <row r="287" spans="1:16" x14ac:dyDescent="0.25">
      <c r="A287" s="2" t="s">
        <v>535</v>
      </c>
      <c r="B287" s="4">
        <v>45321</v>
      </c>
      <c r="C287" s="2" t="s">
        <v>359</v>
      </c>
      <c r="D287" s="2" t="s">
        <v>65</v>
      </c>
      <c r="E287" s="6" t="s">
        <v>14</v>
      </c>
      <c r="F287" s="2" t="s">
        <v>24</v>
      </c>
      <c r="G287" s="2" t="s">
        <v>170</v>
      </c>
      <c r="H287" s="2">
        <v>1298.26</v>
      </c>
      <c r="I287" s="2">
        <v>3</v>
      </c>
      <c r="J287" s="2">
        <v>0</v>
      </c>
      <c r="K287" s="9">
        <f t="shared" si="12"/>
        <v>3894.7799999999997</v>
      </c>
      <c r="L287" s="9">
        <f t="shared" si="13"/>
        <v>0</v>
      </c>
      <c r="M287" s="10">
        <f t="shared" si="14"/>
        <v>3894.7799999999997</v>
      </c>
      <c r="N287" s="2" t="s">
        <v>38</v>
      </c>
      <c r="O287" s="2" t="s">
        <v>18</v>
      </c>
      <c r="P287" s="2" t="s">
        <v>34</v>
      </c>
    </row>
    <row r="288" spans="1:16" x14ac:dyDescent="0.25">
      <c r="A288" s="3" t="s">
        <v>536</v>
      </c>
      <c r="B288" s="4">
        <v>45322</v>
      </c>
      <c r="C288" s="3" t="s">
        <v>231</v>
      </c>
      <c r="D288" s="3" t="s">
        <v>100</v>
      </c>
      <c r="E288" s="3" t="s">
        <v>88</v>
      </c>
      <c r="F288" s="3" t="s">
        <v>36</v>
      </c>
      <c r="G288" s="3" t="s">
        <v>37</v>
      </c>
      <c r="H288" s="3">
        <v>12301.45</v>
      </c>
      <c r="I288" s="3">
        <v>2</v>
      </c>
      <c r="J288" s="3">
        <v>0</v>
      </c>
      <c r="K288" s="9">
        <f t="shared" si="12"/>
        <v>24602.9</v>
      </c>
      <c r="L288" s="9">
        <f t="shared" si="13"/>
        <v>0</v>
      </c>
      <c r="M288" s="10">
        <f t="shared" si="14"/>
        <v>24602.9</v>
      </c>
      <c r="N288" s="3" t="s">
        <v>68</v>
      </c>
      <c r="O288" s="3" t="s">
        <v>27</v>
      </c>
      <c r="P288" s="3" t="s">
        <v>40</v>
      </c>
    </row>
    <row r="289" spans="1:16" x14ac:dyDescent="0.25">
      <c r="A289" s="2" t="s">
        <v>537</v>
      </c>
      <c r="B289" s="4">
        <v>45323</v>
      </c>
      <c r="C289" s="2" t="s">
        <v>167</v>
      </c>
      <c r="D289" s="2" t="s">
        <v>22</v>
      </c>
      <c r="E289" s="2" t="s">
        <v>23</v>
      </c>
      <c r="F289" s="2" t="s">
        <v>24</v>
      </c>
      <c r="G289" s="2" t="s">
        <v>59</v>
      </c>
      <c r="H289" s="2">
        <v>4726.1899999999996</v>
      </c>
      <c r="I289" s="2">
        <v>4</v>
      </c>
      <c r="J289" s="2">
        <v>0</v>
      </c>
      <c r="K289" s="9">
        <f t="shared" si="12"/>
        <v>18904.759999999998</v>
      </c>
      <c r="L289" s="9">
        <f t="shared" si="13"/>
        <v>0</v>
      </c>
      <c r="M289" s="10">
        <f t="shared" si="14"/>
        <v>18904.759999999998</v>
      </c>
      <c r="N289" s="2" t="s">
        <v>68</v>
      </c>
      <c r="O289" s="2" t="s">
        <v>27</v>
      </c>
      <c r="P289" s="2" t="s">
        <v>34</v>
      </c>
    </row>
    <row r="290" spans="1:16" x14ac:dyDescent="0.25">
      <c r="A290" s="3" t="s">
        <v>538</v>
      </c>
      <c r="B290" s="4">
        <v>45324</v>
      </c>
      <c r="C290" s="3" t="s">
        <v>539</v>
      </c>
      <c r="D290" s="3" t="s">
        <v>100</v>
      </c>
      <c r="E290" s="3" t="s">
        <v>88</v>
      </c>
      <c r="F290" s="3" t="s">
        <v>43</v>
      </c>
      <c r="G290" s="3" t="s">
        <v>44</v>
      </c>
      <c r="H290" s="3">
        <v>3310.26</v>
      </c>
      <c r="I290" s="3">
        <v>1</v>
      </c>
      <c r="J290" s="3">
        <v>0</v>
      </c>
      <c r="K290" s="9">
        <f t="shared" si="12"/>
        <v>3310.26</v>
      </c>
      <c r="L290" s="9">
        <f t="shared" si="13"/>
        <v>0</v>
      </c>
      <c r="M290" s="10">
        <f t="shared" si="14"/>
        <v>3310.26</v>
      </c>
      <c r="N290" s="3" t="s">
        <v>68</v>
      </c>
      <c r="O290" s="3" t="s">
        <v>18</v>
      </c>
      <c r="P290" s="3" t="s">
        <v>34</v>
      </c>
    </row>
    <row r="291" spans="1:16" x14ac:dyDescent="0.25">
      <c r="A291" s="2" t="s">
        <v>540</v>
      </c>
      <c r="B291" s="4">
        <v>45325</v>
      </c>
      <c r="C291" s="2" t="s">
        <v>541</v>
      </c>
      <c r="D291" s="2" t="s">
        <v>100</v>
      </c>
      <c r="E291" s="2" t="s">
        <v>88</v>
      </c>
      <c r="F291" s="2" t="s">
        <v>15</v>
      </c>
      <c r="G291" s="2" t="s">
        <v>163</v>
      </c>
      <c r="H291" s="2">
        <v>2284.21</v>
      </c>
      <c r="I291" s="2">
        <v>5</v>
      </c>
      <c r="J291" s="2">
        <v>5</v>
      </c>
      <c r="K291" s="9">
        <f t="shared" si="12"/>
        <v>11421.05</v>
      </c>
      <c r="L291" s="9">
        <f t="shared" si="13"/>
        <v>571.05250000000001</v>
      </c>
      <c r="M291" s="10">
        <f t="shared" si="14"/>
        <v>10849.997499999999</v>
      </c>
      <c r="N291" s="2" t="s">
        <v>17</v>
      </c>
      <c r="O291" s="2" t="s">
        <v>27</v>
      </c>
      <c r="P291" s="2" t="s">
        <v>53</v>
      </c>
    </row>
    <row r="292" spans="1:16" x14ac:dyDescent="0.25">
      <c r="A292" s="3" t="s">
        <v>542</v>
      </c>
      <c r="B292" s="4">
        <v>45326</v>
      </c>
      <c r="C292" s="3" t="s">
        <v>543</v>
      </c>
      <c r="D292" s="3" t="s">
        <v>51</v>
      </c>
      <c r="E292" s="3" t="s">
        <v>14</v>
      </c>
      <c r="F292" s="3" t="s">
        <v>15</v>
      </c>
      <c r="G292" s="3" t="s">
        <v>163</v>
      </c>
      <c r="H292" s="3">
        <v>2709.95</v>
      </c>
      <c r="I292" s="3">
        <v>5</v>
      </c>
      <c r="J292" s="3">
        <v>0</v>
      </c>
      <c r="K292" s="9">
        <f t="shared" si="12"/>
        <v>13549.75</v>
      </c>
      <c r="L292" s="9">
        <f t="shared" si="13"/>
        <v>0</v>
      </c>
      <c r="M292" s="10">
        <f t="shared" si="14"/>
        <v>13549.75</v>
      </c>
      <c r="N292" s="3" t="s">
        <v>33</v>
      </c>
      <c r="O292" s="3" t="s">
        <v>39</v>
      </c>
      <c r="P292" s="3" t="s">
        <v>53</v>
      </c>
    </row>
    <row r="293" spans="1:16" x14ac:dyDescent="0.25">
      <c r="A293" s="2" t="s">
        <v>544</v>
      </c>
      <c r="B293" s="4">
        <v>45327</v>
      </c>
      <c r="C293" s="2" t="s">
        <v>545</v>
      </c>
      <c r="D293" s="2" t="s">
        <v>22</v>
      </c>
      <c r="E293" s="2" t="s">
        <v>23</v>
      </c>
      <c r="F293" s="2" t="s">
        <v>110</v>
      </c>
      <c r="G293" s="2" t="s">
        <v>67</v>
      </c>
      <c r="H293" s="2">
        <v>4366.38</v>
      </c>
      <c r="I293" s="2">
        <v>4</v>
      </c>
      <c r="J293" s="2">
        <v>15</v>
      </c>
      <c r="K293" s="9">
        <f t="shared" si="12"/>
        <v>17465.52</v>
      </c>
      <c r="L293" s="9">
        <f t="shared" si="13"/>
        <v>2619.828</v>
      </c>
      <c r="M293" s="10">
        <f t="shared" si="14"/>
        <v>14845.692000000001</v>
      </c>
      <c r="N293" s="2" t="s">
        <v>26</v>
      </c>
      <c r="O293" s="2" t="s">
        <v>18</v>
      </c>
      <c r="P293" s="2" t="s">
        <v>34</v>
      </c>
    </row>
    <row r="294" spans="1:16" x14ac:dyDescent="0.25">
      <c r="A294" s="3" t="s">
        <v>546</v>
      </c>
      <c r="B294" s="4">
        <v>45328</v>
      </c>
      <c r="C294" s="3" t="s">
        <v>547</v>
      </c>
      <c r="D294" s="3" t="s">
        <v>83</v>
      </c>
      <c r="E294" s="3" t="s">
        <v>84</v>
      </c>
      <c r="F294" s="3" t="s">
        <v>110</v>
      </c>
      <c r="G294" s="3" t="s">
        <v>111</v>
      </c>
      <c r="H294" s="3">
        <v>9920.24</v>
      </c>
      <c r="I294" s="3">
        <v>3</v>
      </c>
      <c r="J294" s="3">
        <v>0</v>
      </c>
      <c r="K294" s="9">
        <f t="shared" si="12"/>
        <v>29760.720000000001</v>
      </c>
      <c r="L294" s="9">
        <f t="shared" si="13"/>
        <v>0</v>
      </c>
      <c r="M294" s="10">
        <f t="shared" si="14"/>
        <v>29760.720000000001</v>
      </c>
      <c r="N294" s="3" t="s">
        <v>68</v>
      </c>
      <c r="O294" s="3" t="s">
        <v>39</v>
      </c>
      <c r="P294" s="3" t="s">
        <v>34</v>
      </c>
    </row>
    <row r="295" spans="1:16" x14ac:dyDescent="0.25">
      <c r="A295" s="2" t="s">
        <v>548</v>
      </c>
      <c r="B295" s="4">
        <v>45329</v>
      </c>
      <c r="C295" s="2" t="s">
        <v>228</v>
      </c>
      <c r="D295" s="2" t="s">
        <v>83</v>
      </c>
      <c r="E295" s="2" t="s">
        <v>84</v>
      </c>
      <c r="F295" s="2" t="s">
        <v>24</v>
      </c>
      <c r="G295" s="2" t="s">
        <v>170</v>
      </c>
      <c r="H295" s="2">
        <v>1174.02</v>
      </c>
      <c r="I295" s="2">
        <v>1</v>
      </c>
      <c r="J295" s="2">
        <v>0</v>
      </c>
      <c r="K295" s="9">
        <f t="shared" si="12"/>
        <v>1174.02</v>
      </c>
      <c r="L295" s="9">
        <f t="shared" si="13"/>
        <v>0</v>
      </c>
      <c r="M295" s="10">
        <f t="shared" si="14"/>
        <v>1174.02</v>
      </c>
      <c r="N295" s="2" t="s">
        <v>33</v>
      </c>
      <c r="O295" s="2" t="s">
        <v>18</v>
      </c>
      <c r="P295" s="2" t="s">
        <v>40</v>
      </c>
    </row>
    <row r="296" spans="1:16" x14ac:dyDescent="0.25">
      <c r="A296" s="3" t="s">
        <v>549</v>
      </c>
      <c r="B296" s="4">
        <v>45330</v>
      </c>
      <c r="C296" s="3" t="s">
        <v>550</v>
      </c>
      <c r="D296" s="3" t="s">
        <v>29</v>
      </c>
      <c r="E296" s="3" t="s">
        <v>30</v>
      </c>
      <c r="F296" s="3" t="s">
        <v>36</v>
      </c>
      <c r="G296" s="3" t="s">
        <v>113</v>
      </c>
      <c r="H296" s="3">
        <v>129329.39</v>
      </c>
      <c r="I296" s="3">
        <v>1</v>
      </c>
      <c r="J296" s="3">
        <v>10</v>
      </c>
      <c r="K296" s="9">
        <f t="shared" si="12"/>
        <v>129329.39</v>
      </c>
      <c r="L296" s="9">
        <f t="shared" si="13"/>
        <v>12932.938999999998</v>
      </c>
      <c r="M296" s="10">
        <f t="shared" si="14"/>
        <v>116396.451</v>
      </c>
      <c r="N296" s="3" t="s">
        <v>38</v>
      </c>
      <c r="O296" s="3" t="s">
        <v>18</v>
      </c>
      <c r="P296" s="3" t="s">
        <v>60</v>
      </c>
    </row>
    <row r="297" spans="1:16" x14ac:dyDescent="0.25">
      <c r="A297" s="2" t="s">
        <v>551</v>
      </c>
      <c r="B297" s="4">
        <v>45331</v>
      </c>
      <c r="C297" s="2" t="s">
        <v>279</v>
      </c>
      <c r="D297" s="2" t="s">
        <v>83</v>
      </c>
      <c r="E297" s="6" t="s">
        <v>84</v>
      </c>
      <c r="F297" s="2" t="s">
        <v>15</v>
      </c>
      <c r="G297" s="2" t="s">
        <v>163</v>
      </c>
      <c r="H297" s="2">
        <v>2631.36</v>
      </c>
      <c r="I297" s="2">
        <v>1</v>
      </c>
      <c r="J297" s="2">
        <v>0</v>
      </c>
      <c r="K297" s="9">
        <f t="shared" si="12"/>
        <v>2631.36</v>
      </c>
      <c r="L297" s="9">
        <f t="shared" si="13"/>
        <v>0</v>
      </c>
      <c r="M297" s="10">
        <f t="shared" si="14"/>
        <v>2631.36</v>
      </c>
      <c r="N297" s="2" t="s">
        <v>17</v>
      </c>
      <c r="O297" s="2" t="s">
        <v>18</v>
      </c>
      <c r="P297" s="2" t="s">
        <v>40</v>
      </c>
    </row>
    <row r="298" spans="1:16" x14ac:dyDescent="0.25">
      <c r="A298" s="3" t="s">
        <v>552</v>
      </c>
      <c r="B298" s="4">
        <v>45332</v>
      </c>
      <c r="C298" s="3" t="s">
        <v>553</v>
      </c>
      <c r="D298" s="3" t="s">
        <v>13</v>
      </c>
      <c r="E298" s="3" t="s">
        <v>14</v>
      </c>
      <c r="F298" s="3" t="s">
        <v>72</v>
      </c>
      <c r="G298" s="3" t="s">
        <v>129</v>
      </c>
      <c r="H298" s="3">
        <v>1802.38</v>
      </c>
      <c r="I298" s="3">
        <v>5</v>
      </c>
      <c r="J298" s="3">
        <v>0</v>
      </c>
      <c r="K298" s="9">
        <f t="shared" si="12"/>
        <v>9011.9000000000015</v>
      </c>
      <c r="L298" s="9">
        <f t="shared" si="13"/>
        <v>0</v>
      </c>
      <c r="M298" s="10">
        <f t="shared" si="14"/>
        <v>9011.9000000000015</v>
      </c>
      <c r="N298" s="3" t="s">
        <v>33</v>
      </c>
      <c r="O298" s="3" t="s">
        <v>27</v>
      </c>
      <c r="P298" s="3" t="s">
        <v>60</v>
      </c>
    </row>
    <row r="299" spans="1:16" x14ac:dyDescent="0.25">
      <c r="A299" s="2" t="s">
        <v>554</v>
      </c>
      <c r="B299" s="4">
        <v>45333</v>
      </c>
      <c r="C299" s="2" t="s">
        <v>555</v>
      </c>
      <c r="D299" s="2" t="s">
        <v>83</v>
      </c>
      <c r="E299" s="2" t="s">
        <v>84</v>
      </c>
      <c r="F299" s="2" t="s">
        <v>110</v>
      </c>
      <c r="G299" s="2" t="s">
        <v>153</v>
      </c>
      <c r="H299" s="2">
        <v>3344.23</v>
      </c>
      <c r="I299" s="2">
        <v>3</v>
      </c>
      <c r="J299" s="2">
        <v>10</v>
      </c>
      <c r="K299" s="9">
        <f t="shared" si="12"/>
        <v>10032.69</v>
      </c>
      <c r="L299" s="9">
        <f t="shared" si="13"/>
        <v>1003.2690000000001</v>
      </c>
      <c r="M299" s="10">
        <f t="shared" si="14"/>
        <v>9029.4210000000003</v>
      </c>
      <c r="N299" s="2" t="s">
        <v>17</v>
      </c>
      <c r="O299" s="2" t="s">
        <v>18</v>
      </c>
      <c r="P299" s="2" t="s">
        <v>53</v>
      </c>
    </row>
    <row r="300" spans="1:16" x14ac:dyDescent="0.25">
      <c r="A300" s="3" t="s">
        <v>556</v>
      </c>
      <c r="B300" s="4">
        <v>45334</v>
      </c>
      <c r="C300" s="3" t="s">
        <v>557</v>
      </c>
      <c r="D300" s="3" t="s">
        <v>29</v>
      </c>
      <c r="E300" s="3" t="s">
        <v>30</v>
      </c>
      <c r="F300" s="3" t="s">
        <v>15</v>
      </c>
      <c r="G300" s="3" t="s">
        <v>198</v>
      </c>
      <c r="H300" s="3">
        <v>769.63</v>
      </c>
      <c r="I300" s="3">
        <v>4</v>
      </c>
      <c r="J300" s="3">
        <v>5</v>
      </c>
      <c r="K300" s="9">
        <f t="shared" si="12"/>
        <v>3078.52</v>
      </c>
      <c r="L300" s="9">
        <f t="shared" si="13"/>
        <v>153.92600000000002</v>
      </c>
      <c r="M300" s="10">
        <f t="shared" si="14"/>
        <v>2924.5940000000001</v>
      </c>
      <c r="N300" s="3" t="s">
        <v>68</v>
      </c>
      <c r="O300" s="3" t="s">
        <v>18</v>
      </c>
      <c r="P300" s="3" t="s">
        <v>40</v>
      </c>
    </row>
    <row r="301" spans="1:16" x14ac:dyDescent="0.25">
      <c r="A301" s="2" t="s">
        <v>558</v>
      </c>
      <c r="B301" s="4">
        <v>45335</v>
      </c>
      <c r="C301" s="2" t="s">
        <v>559</v>
      </c>
      <c r="D301" s="2" t="s">
        <v>29</v>
      </c>
      <c r="E301" s="2" t="s">
        <v>30</v>
      </c>
      <c r="F301" s="2" t="s">
        <v>110</v>
      </c>
      <c r="G301" s="2" t="s">
        <v>207</v>
      </c>
      <c r="H301" s="2">
        <v>8175.79</v>
      </c>
      <c r="I301" s="2">
        <v>2</v>
      </c>
      <c r="J301" s="2">
        <v>15</v>
      </c>
      <c r="K301" s="9">
        <f t="shared" si="12"/>
        <v>16351.58</v>
      </c>
      <c r="L301" s="9">
        <f t="shared" si="13"/>
        <v>2452.7370000000001</v>
      </c>
      <c r="M301" s="10">
        <f t="shared" si="14"/>
        <v>13898.843000000001</v>
      </c>
      <c r="N301" s="2" t="s">
        <v>68</v>
      </c>
      <c r="O301" s="2" t="s">
        <v>27</v>
      </c>
      <c r="P301" s="2" t="s">
        <v>53</v>
      </c>
    </row>
    <row r="302" spans="1:16" x14ac:dyDescent="0.25">
      <c r="A302" s="3" t="s">
        <v>560</v>
      </c>
      <c r="B302" s="4">
        <v>45336</v>
      </c>
      <c r="C302" s="3" t="s">
        <v>131</v>
      </c>
      <c r="D302" s="3" t="s">
        <v>76</v>
      </c>
      <c r="E302" s="3" t="s">
        <v>77</v>
      </c>
      <c r="F302" s="3" t="s">
        <v>31</v>
      </c>
      <c r="G302" s="3" t="s">
        <v>242</v>
      </c>
      <c r="H302" s="3">
        <v>903.1</v>
      </c>
      <c r="I302" s="3">
        <v>3</v>
      </c>
      <c r="J302" s="3">
        <v>15</v>
      </c>
      <c r="K302" s="9">
        <f t="shared" si="12"/>
        <v>2709.3</v>
      </c>
      <c r="L302" s="9">
        <f t="shared" si="13"/>
        <v>406.39499999999998</v>
      </c>
      <c r="M302" s="10">
        <f t="shared" si="14"/>
        <v>2302.9050000000002</v>
      </c>
      <c r="N302" s="3" t="s">
        <v>38</v>
      </c>
      <c r="O302" s="3" t="s">
        <v>18</v>
      </c>
      <c r="P302" s="3" t="s">
        <v>34</v>
      </c>
    </row>
    <row r="303" spans="1:16" x14ac:dyDescent="0.25">
      <c r="A303" s="2" t="s">
        <v>561</v>
      </c>
      <c r="B303" s="4">
        <v>45337</v>
      </c>
      <c r="C303" s="2" t="s">
        <v>562</v>
      </c>
      <c r="D303" s="2" t="s">
        <v>87</v>
      </c>
      <c r="E303" s="2" t="s">
        <v>88</v>
      </c>
      <c r="F303" s="2" t="s">
        <v>72</v>
      </c>
      <c r="G303" s="2" t="s">
        <v>129</v>
      </c>
      <c r="H303" s="2">
        <v>1717.91</v>
      </c>
      <c r="I303" s="2">
        <v>1</v>
      </c>
      <c r="J303" s="2">
        <v>5</v>
      </c>
      <c r="K303" s="9">
        <f t="shared" si="12"/>
        <v>1717.91</v>
      </c>
      <c r="L303" s="9">
        <f t="shared" si="13"/>
        <v>85.895500000000013</v>
      </c>
      <c r="M303" s="10">
        <f t="shared" si="14"/>
        <v>1632.0145</v>
      </c>
      <c r="N303" s="2" t="s">
        <v>17</v>
      </c>
      <c r="O303" s="2" t="s">
        <v>27</v>
      </c>
      <c r="P303" s="2" t="s">
        <v>40</v>
      </c>
    </row>
    <row r="304" spans="1:16" x14ac:dyDescent="0.25">
      <c r="A304" s="3" t="s">
        <v>563</v>
      </c>
      <c r="B304" s="4">
        <v>45338</v>
      </c>
      <c r="C304" s="3" t="s">
        <v>42</v>
      </c>
      <c r="D304" s="3" t="s">
        <v>87</v>
      </c>
      <c r="E304" s="3" t="s">
        <v>88</v>
      </c>
      <c r="F304" s="3" t="s">
        <v>36</v>
      </c>
      <c r="G304" s="3" t="s">
        <v>37</v>
      </c>
      <c r="H304" s="3">
        <v>12862.46</v>
      </c>
      <c r="I304" s="3">
        <v>2</v>
      </c>
      <c r="J304" s="3">
        <v>10</v>
      </c>
      <c r="K304" s="9">
        <f t="shared" si="12"/>
        <v>25724.92</v>
      </c>
      <c r="L304" s="9">
        <f t="shared" si="13"/>
        <v>2572.4919999999997</v>
      </c>
      <c r="M304" s="10">
        <f t="shared" si="14"/>
        <v>23152.428</v>
      </c>
      <c r="N304" s="3" t="s">
        <v>26</v>
      </c>
      <c r="O304" s="3" t="s">
        <v>18</v>
      </c>
      <c r="P304" s="3" t="s">
        <v>40</v>
      </c>
    </row>
    <row r="305" spans="1:16" x14ac:dyDescent="0.25">
      <c r="A305" s="2" t="s">
        <v>564</v>
      </c>
      <c r="B305" s="4">
        <v>45339</v>
      </c>
      <c r="C305" s="2" t="s">
        <v>244</v>
      </c>
      <c r="D305" s="2" t="s">
        <v>22</v>
      </c>
      <c r="E305" s="2" t="s">
        <v>23</v>
      </c>
      <c r="F305" s="2" t="s">
        <v>24</v>
      </c>
      <c r="G305" s="2" t="s">
        <v>170</v>
      </c>
      <c r="H305" s="2">
        <v>1202.1199999999999</v>
      </c>
      <c r="I305" s="2">
        <v>1</v>
      </c>
      <c r="J305" s="2">
        <v>0</v>
      </c>
      <c r="K305" s="9">
        <f t="shared" si="12"/>
        <v>1202.1199999999999</v>
      </c>
      <c r="L305" s="9">
        <f t="shared" si="13"/>
        <v>0</v>
      </c>
      <c r="M305" s="10">
        <f t="shared" si="14"/>
        <v>1202.1199999999999</v>
      </c>
      <c r="N305" s="2" t="s">
        <v>26</v>
      </c>
      <c r="O305" s="2" t="s">
        <v>18</v>
      </c>
      <c r="P305" s="2" t="s">
        <v>60</v>
      </c>
    </row>
    <row r="306" spans="1:16" x14ac:dyDescent="0.25">
      <c r="A306" s="3" t="s">
        <v>565</v>
      </c>
      <c r="B306" s="4">
        <v>45340</v>
      </c>
      <c r="C306" s="3" t="s">
        <v>488</v>
      </c>
      <c r="D306" s="3" t="s">
        <v>100</v>
      </c>
      <c r="E306" s="3" t="s">
        <v>88</v>
      </c>
      <c r="F306" s="3" t="s">
        <v>72</v>
      </c>
      <c r="G306" s="3" t="s">
        <v>81</v>
      </c>
      <c r="H306" s="3">
        <v>1515.86</v>
      </c>
      <c r="I306" s="3">
        <v>4</v>
      </c>
      <c r="J306" s="3">
        <v>15</v>
      </c>
      <c r="K306" s="9">
        <f t="shared" si="12"/>
        <v>6063.44</v>
      </c>
      <c r="L306" s="9">
        <f t="shared" si="13"/>
        <v>909.51599999999996</v>
      </c>
      <c r="M306" s="10">
        <f t="shared" si="14"/>
        <v>5153.924</v>
      </c>
      <c r="N306" s="3" t="s">
        <v>38</v>
      </c>
      <c r="O306" s="3" t="s">
        <v>18</v>
      </c>
      <c r="P306" s="3" t="s">
        <v>60</v>
      </c>
    </row>
    <row r="307" spans="1:16" x14ac:dyDescent="0.25">
      <c r="A307" s="2" t="s">
        <v>566</v>
      </c>
      <c r="B307" s="4">
        <v>45341</v>
      </c>
      <c r="C307" s="2" t="s">
        <v>136</v>
      </c>
      <c r="D307" s="2" t="s">
        <v>22</v>
      </c>
      <c r="E307" s="2" t="s">
        <v>23</v>
      </c>
      <c r="F307" s="2" t="s">
        <v>110</v>
      </c>
      <c r="G307" s="2" t="s">
        <v>215</v>
      </c>
      <c r="H307" s="2">
        <v>2309.6999999999998</v>
      </c>
      <c r="I307" s="2">
        <v>1</v>
      </c>
      <c r="J307" s="2">
        <v>0</v>
      </c>
      <c r="K307" s="9">
        <f t="shared" si="12"/>
        <v>2309.6999999999998</v>
      </c>
      <c r="L307" s="9">
        <f t="shared" si="13"/>
        <v>0</v>
      </c>
      <c r="M307" s="10">
        <f t="shared" si="14"/>
        <v>2309.6999999999998</v>
      </c>
      <c r="N307" s="2" t="s">
        <v>26</v>
      </c>
      <c r="O307" s="2" t="s">
        <v>39</v>
      </c>
      <c r="P307" s="2" t="s">
        <v>19</v>
      </c>
    </row>
    <row r="308" spans="1:16" x14ac:dyDescent="0.25">
      <c r="A308" s="3" t="s">
        <v>567</v>
      </c>
      <c r="B308" s="4">
        <v>45342</v>
      </c>
      <c r="C308" s="3" t="s">
        <v>568</v>
      </c>
      <c r="D308" s="3" t="s">
        <v>76</v>
      </c>
      <c r="E308" s="3" t="s">
        <v>77</v>
      </c>
      <c r="F308" s="3" t="s">
        <v>72</v>
      </c>
      <c r="G308" s="3" t="s">
        <v>137</v>
      </c>
      <c r="H308" s="3">
        <v>2320.35</v>
      </c>
      <c r="I308" s="3">
        <v>3</v>
      </c>
      <c r="J308" s="3">
        <v>0</v>
      </c>
      <c r="K308" s="9">
        <f t="shared" si="12"/>
        <v>6961.0499999999993</v>
      </c>
      <c r="L308" s="9">
        <f t="shared" si="13"/>
        <v>0</v>
      </c>
      <c r="M308" s="10">
        <f t="shared" si="14"/>
        <v>6961.0499999999993</v>
      </c>
      <c r="N308" s="3" t="s">
        <v>68</v>
      </c>
      <c r="O308" s="3" t="s">
        <v>52</v>
      </c>
      <c r="P308" s="3" t="s">
        <v>60</v>
      </c>
    </row>
    <row r="309" spans="1:16" x14ac:dyDescent="0.25">
      <c r="A309" s="2" t="s">
        <v>569</v>
      </c>
      <c r="B309" s="4">
        <v>45343</v>
      </c>
      <c r="C309" s="2" t="s">
        <v>570</v>
      </c>
      <c r="D309" s="2" t="s">
        <v>47</v>
      </c>
      <c r="E309" s="2" t="s">
        <v>48</v>
      </c>
      <c r="F309" s="2" t="s">
        <v>110</v>
      </c>
      <c r="G309" s="2" t="s">
        <v>215</v>
      </c>
      <c r="H309" s="2">
        <v>2619.79</v>
      </c>
      <c r="I309" s="2">
        <v>2</v>
      </c>
      <c r="J309" s="2">
        <v>0</v>
      </c>
      <c r="K309" s="9">
        <f t="shared" si="12"/>
        <v>5239.58</v>
      </c>
      <c r="L309" s="9">
        <f t="shared" si="13"/>
        <v>0</v>
      </c>
      <c r="M309" s="10">
        <f t="shared" si="14"/>
        <v>5239.58</v>
      </c>
      <c r="N309" s="2" t="s">
        <v>38</v>
      </c>
      <c r="O309" s="2" t="s">
        <v>52</v>
      </c>
      <c r="P309" s="2" t="s">
        <v>60</v>
      </c>
    </row>
    <row r="310" spans="1:16" x14ac:dyDescent="0.25">
      <c r="A310" s="3" t="s">
        <v>571</v>
      </c>
      <c r="B310" s="4">
        <v>45344</v>
      </c>
      <c r="C310" s="3" t="s">
        <v>572</v>
      </c>
      <c r="D310" s="3" t="s">
        <v>51</v>
      </c>
      <c r="E310" s="3" t="s">
        <v>14</v>
      </c>
      <c r="F310" s="3" t="s">
        <v>24</v>
      </c>
      <c r="G310" s="3" t="s">
        <v>92</v>
      </c>
      <c r="H310" s="3">
        <v>1629.72</v>
      </c>
      <c r="I310" s="3">
        <v>1</v>
      </c>
      <c r="J310" s="3">
        <v>0</v>
      </c>
      <c r="K310" s="9">
        <f t="shared" si="12"/>
        <v>1629.72</v>
      </c>
      <c r="L310" s="9">
        <f t="shared" si="13"/>
        <v>0</v>
      </c>
      <c r="M310" s="10">
        <f t="shared" si="14"/>
        <v>1629.72</v>
      </c>
      <c r="N310" s="3" t="s">
        <v>17</v>
      </c>
      <c r="O310" s="3" t="s">
        <v>18</v>
      </c>
      <c r="P310" s="3" t="s">
        <v>40</v>
      </c>
    </row>
    <row r="311" spans="1:16" x14ac:dyDescent="0.25">
      <c r="A311" s="2" t="s">
        <v>573</v>
      </c>
      <c r="B311" s="4">
        <v>45345</v>
      </c>
      <c r="C311" s="2" t="s">
        <v>574</v>
      </c>
      <c r="D311" s="2" t="s">
        <v>65</v>
      </c>
      <c r="E311" s="2" t="s">
        <v>66</v>
      </c>
      <c r="F311" s="2" t="s">
        <v>72</v>
      </c>
      <c r="G311" s="2" t="s">
        <v>137</v>
      </c>
      <c r="H311" s="2">
        <v>2025.74</v>
      </c>
      <c r="I311" s="2">
        <v>5</v>
      </c>
      <c r="J311" s="2">
        <v>0</v>
      </c>
      <c r="K311" s="9">
        <f t="shared" si="12"/>
        <v>10128.700000000001</v>
      </c>
      <c r="L311" s="9">
        <f t="shared" si="13"/>
        <v>0</v>
      </c>
      <c r="M311" s="10">
        <f t="shared" si="14"/>
        <v>10128.700000000001</v>
      </c>
      <c r="N311" s="2" t="s">
        <v>33</v>
      </c>
      <c r="O311" s="2" t="s">
        <v>18</v>
      </c>
      <c r="P311" s="2" t="s">
        <v>40</v>
      </c>
    </row>
    <row r="312" spans="1:16" x14ac:dyDescent="0.25">
      <c r="A312" s="3" t="s">
        <v>575</v>
      </c>
      <c r="B312" s="4">
        <v>45346</v>
      </c>
      <c r="C312" s="3" t="s">
        <v>576</v>
      </c>
      <c r="D312" s="3" t="s">
        <v>22</v>
      </c>
      <c r="E312" s="3" t="s">
        <v>23</v>
      </c>
      <c r="F312" s="3" t="s">
        <v>36</v>
      </c>
      <c r="G312" s="3" t="s">
        <v>49</v>
      </c>
      <c r="H312" s="3">
        <v>161918.62</v>
      </c>
      <c r="I312" s="3">
        <v>5</v>
      </c>
      <c r="J312" s="3">
        <v>10</v>
      </c>
      <c r="K312" s="9">
        <f t="shared" si="12"/>
        <v>809593.1</v>
      </c>
      <c r="L312" s="9">
        <f t="shared" si="13"/>
        <v>80959.31</v>
      </c>
      <c r="M312" s="10">
        <f t="shared" si="14"/>
        <v>728633.79</v>
      </c>
      <c r="N312" s="3" t="s">
        <v>38</v>
      </c>
      <c r="O312" s="3" t="s">
        <v>18</v>
      </c>
      <c r="P312" s="3" t="s">
        <v>40</v>
      </c>
    </row>
    <row r="313" spans="1:16" x14ac:dyDescent="0.25">
      <c r="A313" s="2" t="s">
        <v>577</v>
      </c>
      <c r="B313" s="4">
        <v>45347</v>
      </c>
      <c r="C313" s="2" t="s">
        <v>203</v>
      </c>
      <c r="D313" s="2" t="s">
        <v>100</v>
      </c>
      <c r="E313" s="2" t="s">
        <v>88</v>
      </c>
      <c r="F313" s="2" t="s">
        <v>15</v>
      </c>
      <c r="G313" s="2" t="s">
        <v>95</v>
      </c>
      <c r="H313" s="2">
        <v>1097.96</v>
      </c>
      <c r="I313" s="2">
        <v>5</v>
      </c>
      <c r="J313" s="2">
        <v>0</v>
      </c>
      <c r="K313" s="9">
        <f t="shared" si="12"/>
        <v>5489.8</v>
      </c>
      <c r="L313" s="9">
        <f t="shared" si="13"/>
        <v>0</v>
      </c>
      <c r="M313" s="10">
        <f t="shared" si="14"/>
        <v>5489.8</v>
      </c>
      <c r="N313" s="2" t="s">
        <v>33</v>
      </c>
      <c r="O313" s="2" t="s">
        <v>27</v>
      </c>
      <c r="P313" s="2" t="s">
        <v>53</v>
      </c>
    </row>
    <row r="314" spans="1:16" x14ac:dyDescent="0.25">
      <c r="A314" s="3" t="s">
        <v>578</v>
      </c>
      <c r="B314" s="4">
        <v>45348</v>
      </c>
      <c r="C314" s="3" t="s">
        <v>579</v>
      </c>
      <c r="D314" s="3" t="s">
        <v>87</v>
      </c>
      <c r="E314" s="3" t="s">
        <v>88</v>
      </c>
      <c r="F314" s="3" t="s">
        <v>72</v>
      </c>
      <c r="G314" s="3" t="s">
        <v>129</v>
      </c>
      <c r="H314" s="3">
        <v>1872.26</v>
      </c>
      <c r="I314" s="3">
        <v>3</v>
      </c>
      <c r="J314" s="3">
        <v>0</v>
      </c>
      <c r="K314" s="9">
        <f t="shared" si="12"/>
        <v>5616.78</v>
      </c>
      <c r="L314" s="9">
        <f t="shared" si="13"/>
        <v>0</v>
      </c>
      <c r="M314" s="10">
        <f t="shared" si="14"/>
        <v>5616.78</v>
      </c>
      <c r="N314" s="3" t="s">
        <v>33</v>
      </c>
      <c r="O314" s="3" t="s">
        <v>18</v>
      </c>
      <c r="P314" s="3" t="s">
        <v>53</v>
      </c>
    </row>
    <row r="315" spans="1:16" x14ac:dyDescent="0.25">
      <c r="A315" s="2" t="s">
        <v>580</v>
      </c>
      <c r="B315" s="4">
        <v>45349</v>
      </c>
      <c r="C315" s="2" t="s">
        <v>285</v>
      </c>
      <c r="D315" s="2" t="s">
        <v>29</v>
      </c>
      <c r="E315" s="2" t="s">
        <v>30</v>
      </c>
      <c r="F315" s="2" t="s">
        <v>36</v>
      </c>
      <c r="G315" s="2" t="s">
        <v>49</v>
      </c>
      <c r="H315" s="2">
        <v>138169.73000000001</v>
      </c>
      <c r="I315" s="2">
        <v>4</v>
      </c>
      <c r="J315" s="2">
        <v>10</v>
      </c>
      <c r="K315" s="9">
        <f t="shared" si="12"/>
        <v>552678.92000000004</v>
      </c>
      <c r="L315" s="9">
        <f t="shared" si="13"/>
        <v>55267.892</v>
      </c>
      <c r="M315" s="10">
        <f t="shared" si="14"/>
        <v>497411.02800000005</v>
      </c>
      <c r="N315" s="2" t="s">
        <v>38</v>
      </c>
      <c r="O315" s="2" t="s">
        <v>18</v>
      </c>
      <c r="P315" s="2" t="s">
        <v>40</v>
      </c>
    </row>
    <row r="316" spans="1:16" x14ac:dyDescent="0.25">
      <c r="A316" s="3" t="s">
        <v>581</v>
      </c>
      <c r="B316" s="4">
        <v>45350</v>
      </c>
      <c r="C316" s="3" t="s">
        <v>570</v>
      </c>
      <c r="D316" s="3" t="s">
        <v>76</v>
      </c>
      <c r="E316" s="3" t="s">
        <v>77</v>
      </c>
      <c r="F316" s="3" t="s">
        <v>31</v>
      </c>
      <c r="G316" s="3" t="s">
        <v>70</v>
      </c>
      <c r="H316" s="3">
        <v>571.79999999999995</v>
      </c>
      <c r="I316" s="3">
        <v>1</v>
      </c>
      <c r="J316" s="3">
        <v>15</v>
      </c>
      <c r="K316" s="9">
        <f t="shared" si="12"/>
        <v>571.79999999999995</v>
      </c>
      <c r="L316" s="9">
        <f t="shared" si="13"/>
        <v>85.77</v>
      </c>
      <c r="M316" s="10">
        <f t="shared" si="14"/>
        <v>486.03</v>
      </c>
      <c r="N316" s="3" t="s">
        <v>26</v>
      </c>
      <c r="O316" s="3" t="s">
        <v>39</v>
      </c>
      <c r="P316" s="3" t="s">
        <v>34</v>
      </c>
    </row>
    <row r="317" spans="1:16" x14ac:dyDescent="0.25">
      <c r="A317" s="2" t="s">
        <v>582</v>
      </c>
      <c r="B317" s="4">
        <v>45351</v>
      </c>
      <c r="C317" s="2" t="s">
        <v>583</v>
      </c>
      <c r="D317" s="2" t="s">
        <v>13</v>
      </c>
      <c r="E317" s="2" t="s">
        <v>14</v>
      </c>
      <c r="F317" s="2" t="s">
        <v>24</v>
      </c>
      <c r="G317" s="2" t="s">
        <v>108</v>
      </c>
      <c r="H317" s="2">
        <v>7437.32</v>
      </c>
      <c r="I317" s="2">
        <v>2</v>
      </c>
      <c r="J317" s="2">
        <v>15</v>
      </c>
      <c r="K317" s="9">
        <f t="shared" si="12"/>
        <v>14874.64</v>
      </c>
      <c r="L317" s="9">
        <f t="shared" si="13"/>
        <v>2231.1959999999999</v>
      </c>
      <c r="M317" s="10">
        <f t="shared" si="14"/>
        <v>12643.444</v>
      </c>
      <c r="N317" s="2" t="s">
        <v>33</v>
      </c>
      <c r="O317" s="2" t="s">
        <v>52</v>
      </c>
      <c r="P317" s="2" t="s">
        <v>40</v>
      </c>
    </row>
    <row r="318" spans="1:16" x14ac:dyDescent="0.25">
      <c r="A318" s="3" t="s">
        <v>584</v>
      </c>
      <c r="B318" s="4">
        <v>45352</v>
      </c>
      <c r="C318" s="3" t="s">
        <v>579</v>
      </c>
      <c r="D318" s="3" t="s">
        <v>100</v>
      </c>
      <c r="E318" s="3" t="s">
        <v>88</v>
      </c>
      <c r="F318" s="3" t="s">
        <v>36</v>
      </c>
      <c r="G318" s="3" t="s">
        <v>37</v>
      </c>
      <c r="H318" s="3">
        <v>12851.04</v>
      </c>
      <c r="I318" s="3">
        <v>5</v>
      </c>
      <c r="J318" s="3">
        <v>0</v>
      </c>
      <c r="K318" s="9">
        <f t="shared" si="12"/>
        <v>64255.200000000004</v>
      </c>
      <c r="L318" s="9">
        <f t="shared" si="13"/>
        <v>0</v>
      </c>
      <c r="M318" s="10">
        <f t="shared" si="14"/>
        <v>64255.200000000004</v>
      </c>
      <c r="N318" s="3" t="s">
        <v>26</v>
      </c>
      <c r="O318" s="3" t="s">
        <v>18</v>
      </c>
      <c r="P318" s="3" t="s">
        <v>60</v>
      </c>
    </row>
    <row r="319" spans="1:16" x14ac:dyDescent="0.25">
      <c r="A319" s="2" t="s">
        <v>585</v>
      </c>
      <c r="B319" s="4">
        <v>45353</v>
      </c>
      <c r="C319" s="2" t="s">
        <v>390</v>
      </c>
      <c r="D319" s="2" t="s">
        <v>13</v>
      </c>
      <c r="E319" s="2" t="s">
        <v>14</v>
      </c>
      <c r="F319" s="2" t="s">
        <v>36</v>
      </c>
      <c r="G319" s="2" t="s">
        <v>49</v>
      </c>
      <c r="H319" s="2">
        <v>138921.46</v>
      </c>
      <c r="I319" s="2">
        <v>4</v>
      </c>
      <c r="J319" s="2">
        <v>0</v>
      </c>
      <c r="K319" s="9">
        <f t="shared" si="12"/>
        <v>555685.84</v>
      </c>
      <c r="L319" s="9">
        <f t="shared" si="13"/>
        <v>0</v>
      </c>
      <c r="M319" s="10">
        <f t="shared" si="14"/>
        <v>555685.84</v>
      </c>
      <c r="N319" s="2" t="s">
        <v>68</v>
      </c>
      <c r="O319" s="2" t="s">
        <v>52</v>
      </c>
      <c r="P319" s="2" t="s">
        <v>19</v>
      </c>
    </row>
    <row r="320" spans="1:16" x14ac:dyDescent="0.25">
      <c r="A320" s="3" t="s">
        <v>586</v>
      </c>
      <c r="B320" s="4">
        <v>45354</v>
      </c>
      <c r="C320" s="3" t="s">
        <v>433</v>
      </c>
      <c r="D320" s="3" t="s">
        <v>22</v>
      </c>
      <c r="E320" s="3" t="s">
        <v>23</v>
      </c>
      <c r="F320" s="3" t="s">
        <v>24</v>
      </c>
      <c r="G320" s="3" t="s">
        <v>170</v>
      </c>
      <c r="H320" s="3">
        <v>1186.42</v>
      </c>
      <c r="I320" s="3">
        <v>2</v>
      </c>
      <c r="J320" s="3">
        <v>5</v>
      </c>
      <c r="K320" s="9">
        <f t="shared" si="12"/>
        <v>2372.84</v>
      </c>
      <c r="L320" s="9">
        <f t="shared" si="13"/>
        <v>118.64200000000001</v>
      </c>
      <c r="M320" s="10">
        <f t="shared" si="14"/>
        <v>2254.1980000000003</v>
      </c>
      <c r="N320" s="3" t="s">
        <v>38</v>
      </c>
      <c r="O320" s="3" t="s">
        <v>18</v>
      </c>
      <c r="P320" s="3" t="s">
        <v>40</v>
      </c>
    </row>
    <row r="321" spans="1:16" x14ac:dyDescent="0.25">
      <c r="A321" s="2" t="s">
        <v>587</v>
      </c>
      <c r="B321" s="4">
        <v>45355</v>
      </c>
      <c r="C321" s="2" t="s">
        <v>442</v>
      </c>
      <c r="D321" s="2" t="s">
        <v>29</v>
      </c>
      <c r="E321" s="2" t="s">
        <v>30</v>
      </c>
      <c r="F321" s="2" t="s">
        <v>43</v>
      </c>
      <c r="G321" s="2" t="s">
        <v>145</v>
      </c>
      <c r="H321" s="2">
        <v>11990.7</v>
      </c>
      <c r="I321" s="2">
        <v>4</v>
      </c>
      <c r="J321" s="2">
        <v>0</v>
      </c>
      <c r="K321" s="9">
        <f t="shared" si="12"/>
        <v>47962.8</v>
      </c>
      <c r="L321" s="9">
        <f t="shared" si="13"/>
        <v>0</v>
      </c>
      <c r="M321" s="10">
        <f t="shared" si="14"/>
        <v>47962.8</v>
      </c>
      <c r="N321" s="2" t="s">
        <v>33</v>
      </c>
      <c r="O321" s="2" t="s">
        <v>18</v>
      </c>
      <c r="P321" s="2" t="s">
        <v>34</v>
      </c>
    </row>
    <row r="322" spans="1:16" x14ac:dyDescent="0.25">
      <c r="A322" s="3" t="s">
        <v>588</v>
      </c>
      <c r="B322" s="4">
        <v>45356</v>
      </c>
      <c r="C322" s="3" t="s">
        <v>288</v>
      </c>
      <c r="D322" s="3" t="s">
        <v>47</v>
      </c>
      <c r="E322" s="3" t="s">
        <v>48</v>
      </c>
      <c r="F322" s="3" t="s">
        <v>43</v>
      </c>
      <c r="G322" s="3" t="s">
        <v>127</v>
      </c>
      <c r="H322" s="3">
        <v>4988.1099999999997</v>
      </c>
      <c r="I322" s="3">
        <v>5</v>
      </c>
      <c r="J322" s="3">
        <v>5</v>
      </c>
      <c r="K322" s="9">
        <f t="shared" ref="K322:K385" si="15">I322*H322</f>
        <v>24940.55</v>
      </c>
      <c r="L322" s="9">
        <f t="shared" ref="L322:L385" si="16">K322*J322/100</f>
        <v>1247.0274999999999</v>
      </c>
      <c r="M322" s="10">
        <f t="shared" ref="M322:M385" si="17">K322-L322</f>
        <v>23693.522499999999</v>
      </c>
      <c r="N322" s="3" t="s">
        <v>26</v>
      </c>
      <c r="O322" s="3" t="s">
        <v>27</v>
      </c>
      <c r="P322" s="3" t="s">
        <v>34</v>
      </c>
    </row>
    <row r="323" spans="1:16" x14ac:dyDescent="0.25">
      <c r="A323" s="2" t="s">
        <v>589</v>
      </c>
      <c r="B323" s="4">
        <v>45357</v>
      </c>
      <c r="C323" s="2" t="s">
        <v>590</v>
      </c>
      <c r="D323" s="2" t="s">
        <v>76</v>
      </c>
      <c r="E323" s="2" t="s">
        <v>77</v>
      </c>
      <c r="F323" s="2" t="s">
        <v>36</v>
      </c>
      <c r="G323" s="2" t="s">
        <v>78</v>
      </c>
      <c r="H323" s="2">
        <v>81256.19</v>
      </c>
      <c r="I323" s="2">
        <v>2</v>
      </c>
      <c r="J323" s="2">
        <v>0</v>
      </c>
      <c r="K323" s="9">
        <f t="shared" si="15"/>
        <v>162512.38</v>
      </c>
      <c r="L323" s="9">
        <f t="shared" si="16"/>
        <v>0</v>
      </c>
      <c r="M323" s="10">
        <f t="shared" si="17"/>
        <v>162512.38</v>
      </c>
      <c r="N323" s="2" t="s">
        <v>26</v>
      </c>
      <c r="O323" s="2" t="s">
        <v>27</v>
      </c>
      <c r="P323" s="2" t="s">
        <v>19</v>
      </c>
    </row>
    <row r="324" spans="1:16" x14ac:dyDescent="0.25">
      <c r="A324" s="3" t="s">
        <v>591</v>
      </c>
      <c r="B324" s="4">
        <v>45358</v>
      </c>
      <c r="C324" s="3" t="s">
        <v>555</v>
      </c>
      <c r="D324" s="3" t="s">
        <v>13</v>
      </c>
      <c r="E324" s="3" t="s">
        <v>14</v>
      </c>
      <c r="F324" s="3" t="s">
        <v>43</v>
      </c>
      <c r="G324" s="3" t="s">
        <v>105</v>
      </c>
      <c r="H324" s="3">
        <v>2788.62</v>
      </c>
      <c r="I324" s="3">
        <v>4</v>
      </c>
      <c r="J324" s="3">
        <v>5</v>
      </c>
      <c r="K324" s="9">
        <f t="shared" si="15"/>
        <v>11154.48</v>
      </c>
      <c r="L324" s="9">
        <f t="shared" si="16"/>
        <v>557.72399999999993</v>
      </c>
      <c r="M324" s="10">
        <f t="shared" si="17"/>
        <v>10596.755999999999</v>
      </c>
      <c r="N324" s="3" t="s">
        <v>17</v>
      </c>
      <c r="O324" s="3" t="s">
        <v>52</v>
      </c>
      <c r="P324" s="3" t="s">
        <v>34</v>
      </c>
    </row>
    <row r="325" spans="1:16" x14ac:dyDescent="0.25">
      <c r="A325" s="2" t="s">
        <v>592</v>
      </c>
      <c r="B325" s="4">
        <v>45359</v>
      </c>
      <c r="C325" s="2" t="s">
        <v>62</v>
      </c>
      <c r="D325" s="2" t="s">
        <v>13</v>
      </c>
      <c r="E325" s="2" t="s">
        <v>14</v>
      </c>
      <c r="F325" s="2" t="s">
        <v>31</v>
      </c>
      <c r="G325" s="2" t="s">
        <v>242</v>
      </c>
      <c r="H325" s="2">
        <v>849.42</v>
      </c>
      <c r="I325" s="2">
        <v>3</v>
      </c>
      <c r="J325" s="2">
        <v>10</v>
      </c>
      <c r="K325" s="9">
        <f t="shared" si="15"/>
        <v>2548.2599999999998</v>
      </c>
      <c r="L325" s="9">
        <f t="shared" si="16"/>
        <v>254.82599999999999</v>
      </c>
      <c r="M325" s="10">
        <f t="shared" si="17"/>
        <v>2293.4339999999997</v>
      </c>
      <c r="N325" s="2" t="s">
        <v>33</v>
      </c>
      <c r="O325" s="2" t="s">
        <v>52</v>
      </c>
      <c r="P325" s="2" t="s">
        <v>34</v>
      </c>
    </row>
    <row r="326" spans="1:16" x14ac:dyDescent="0.25">
      <c r="A326" s="3" t="s">
        <v>593</v>
      </c>
      <c r="B326" s="4">
        <v>45360</v>
      </c>
      <c r="C326" s="3" t="s">
        <v>200</v>
      </c>
      <c r="D326" s="3" t="s">
        <v>22</v>
      </c>
      <c r="E326" s="3" t="s">
        <v>23</v>
      </c>
      <c r="F326" s="3" t="s">
        <v>24</v>
      </c>
      <c r="G326" s="3" t="s">
        <v>170</v>
      </c>
      <c r="H326" s="3">
        <v>1137.8800000000001</v>
      </c>
      <c r="I326" s="3">
        <v>5</v>
      </c>
      <c r="J326" s="3">
        <v>0</v>
      </c>
      <c r="K326" s="9">
        <f t="shared" si="15"/>
        <v>5689.4000000000005</v>
      </c>
      <c r="L326" s="9">
        <f t="shared" si="16"/>
        <v>0</v>
      </c>
      <c r="M326" s="10">
        <f t="shared" si="17"/>
        <v>5689.4000000000005</v>
      </c>
      <c r="N326" s="3" t="s">
        <v>26</v>
      </c>
      <c r="O326" s="3" t="s">
        <v>52</v>
      </c>
      <c r="P326" s="3" t="s">
        <v>60</v>
      </c>
    </row>
    <row r="327" spans="1:16" x14ac:dyDescent="0.25">
      <c r="A327" s="2" t="s">
        <v>594</v>
      </c>
      <c r="B327" s="4">
        <v>45361</v>
      </c>
      <c r="C327" s="2" t="s">
        <v>435</v>
      </c>
      <c r="D327" s="2" t="s">
        <v>51</v>
      </c>
      <c r="E327" s="2" t="s">
        <v>14</v>
      </c>
      <c r="F327" s="2" t="s">
        <v>110</v>
      </c>
      <c r="G327" s="2" t="s">
        <v>215</v>
      </c>
      <c r="H327" s="2">
        <v>2653.11</v>
      </c>
      <c r="I327" s="2">
        <v>3</v>
      </c>
      <c r="J327" s="2">
        <v>10</v>
      </c>
      <c r="K327" s="9">
        <f t="shared" si="15"/>
        <v>7959.33</v>
      </c>
      <c r="L327" s="9">
        <f t="shared" si="16"/>
        <v>795.93299999999999</v>
      </c>
      <c r="M327" s="10">
        <f t="shared" si="17"/>
        <v>7163.3969999999999</v>
      </c>
      <c r="N327" s="2" t="s">
        <v>68</v>
      </c>
      <c r="O327" s="2" t="s">
        <v>27</v>
      </c>
      <c r="P327" s="2" t="s">
        <v>34</v>
      </c>
    </row>
    <row r="328" spans="1:16" x14ac:dyDescent="0.25">
      <c r="A328" s="3" t="s">
        <v>595</v>
      </c>
      <c r="B328" s="4">
        <v>45362</v>
      </c>
      <c r="C328" s="3" t="s">
        <v>596</v>
      </c>
      <c r="D328" s="3" t="s">
        <v>29</v>
      </c>
      <c r="E328" s="3" t="s">
        <v>30</v>
      </c>
      <c r="F328" s="3" t="s">
        <v>24</v>
      </c>
      <c r="G328" s="3" t="s">
        <v>134</v>
      </c>
      <c r="H328" s="3">
        <v>2521.06</v>
      </c>
      <c r="I328" s="3">
        <v>2</v>
      </c>
      <c r="J328" s="3">
        <v>0</v>
      </c>
      <c r="K328" s="9">
        <f t="shared" si="15"/>
        <v>5042.12</v>
      </c>
      <c r="L328" s="9">
        <f t="shared" si="16"/>
        <v>0</v>
      </c>
      <c r="M328" s="10">
        <f t="shared" si="17"/>
        <v>5042.12</v>
      </c>
      <c r="N328" s="3" t="s">
        <v>68</v>
      </c>
      <c r="O328" s="3" t="s">
        <v>18</v>
      </c>
      <c r="P328" s="3" t="s">
        <v>40</v>
      </c>
    </row>
    <row r="329" spans="1:16" x14ac:dyDescent="0.25">
      <c r="A329" s="2" t="s">
        <v>597</v>
      </c>
      <c r="B329" s="4">
        <v>45363</v>
      </c>
      <c r="C329" s="2" t="s">
        <v>598</v>
      </c>
      <c r="D329" s="2" t="s">
        <v>13</v>
      </c>
      <c r="E329" s="2" t="s">
        <v>14</v>
      </c>
      <c r="F329" s="2" t="s">
        <v>110</v>
      </c>
      <c r="G329" s="2" t="s">
        <v>67</v>
      </c>
      <c r="H329" s="2">
        <v>4050.62</v>
      </c>
      <c r="I329" s="2">
        <v>5</v>
      </c>
      <c r="J329" s="2">
        <v>0</v>
      </c>
      <c r="K329" s="9">
        <f t="shared" si="15"/>
        <v>20253.099999999999</v>
      </c>
      <c r="L329" s="9">
        <f t="shared" si="16"/>
        <v>0</v>
      </c>
      <c r="M329" s="10">
        <f t="shared" si="17"/>
        <v>20253.099999999999</v>
      </c>
      <c r="N329" s="2" t="s">
        <v>26</v>
      </c>
      <c r="O329" s="2" t="s">
        <v>18</v>
      </c>
      <c r="P329" s="2" t="s">
        <v>53</v>
      </c>
    </row>
    <row r="330" spans="1:16" x14ac:dyDescent="0.25">
      <c r="A330" s="3" t="s">
        <v>599</v>
      </c>
      <c r="B330" s="4">
        <v>45364</v>
      </c>
      <c r="C330" s="3" t="s">
        <v>21</v>
      </c>
      <c r="D330" s="3" t="s">
        <v>100</v>
      </c>
      <c r="E330" s="3" t="s">
        <v>88</v>
      </c>
      <c r="F330" s="3" t="s">
        <v>110</v>
      </c>
      <c r="G330" s="3" t="s">
        <v>153</v>
      </c>
      <c r="H330" s="3">
        <v>3692.06</v>
      </c>
      <c r="I330" s="3">
        <v>5</v>
      </c>
      <c r="J330" s="3">
        <v>10</v>
      </c>
      <c r="K330" s="9">
        <f t="shared" si="15"/>
        <v>18460.3</v>
      </c>
      <c r="L330" s="9">
        <f t="shared" si="16"/>
        <v>1846.03</v>
      </c>
      <c r="M330" s="10">
        <f t="shared" si="17"/>
        <v>16614.27</v>
      </c>
      <c r="N330" s="3" t="s">
        <v>68</v>
      </c>
      <c r="O330" s="3" t="s">
        <v>18</v>
      </c>
      <c r="P330" s="3" t="s">
        <v>60</v>
      </c>
    </row>
    <row r="331" spans="1:16" x14ac:dyDescent="0.25">
      <c r="A331" s="2" t="s">
        <v>600</v>
      </c>
      <c r="B331" s="4">
        <v>45365</v>
      </c>
      <c r="C331" s="2" t="s">
        <v>601</v>
      </c>
      <c r="D331" s="2" t="s">
        <v>47</v>
      </c>
      <c r="E331" s="2" t="s">
        <v>48</v>
      </c>
      <c r="F331" s="2" t="s">
        <v>31</v>
      </c>
      <c r="G331" s="2" t="s">
        <v>186</v>
      </c>
      <c r="H331" s="2">
        <v>876.14</v>
      </c>
      <c r="I331" s="2">
        <v>4</v>
      </c>
      <c r="J331" s="2">
        <v>0</v>
      </c>
      <c r="K331" s="9">
        <f t="shared" si="15"/>
        <v>3504.56</v>
      </c>
      <c r="L331" s="9">
        <f t="shared" si="16"/>
        <v>0</v>
      </c>
      <c r="M331" s="10">
        <f t="shared" si="17"/>
        <v>3504.56</v>
      </c>
      <c r="N331" s="2" t="s">
        <v>33</v>
      </c>
      <c r="O331" s="2" t="s">
        <v>27</v>
      </c>
      <c r="P331" s="2" t="s">
        <v>34</v>
      </c>
    </row>
    <row r="332" spans="1:16" x14ac:dyDescent="0.25">
      <c r="A332" s="3" t="s">
        <v>602</v>
      </c>
      <c r="B332" s="4">
        <v>45366</v>
      </c>
      <c r="C332" s="3" t="s">
        <v>500</v>
      </c>
      <c r="D332" s="3" t="s">
        <v>29</v>
      </c>
      <c r="E332" s="3" t="s">
        <v>30</v>
      </c>
      <c r="F332" s="3" t="s">
        <v>72</v>
      </c>
      <c r="G332" s="3" t="s">
        <v>137</v>
      </c>
      <c r="H332" s="3">
        <v>2078.2199999999998</v>
      </c>
      <c r="I332" s="3">
        <v>5</v>
      </c>
      <c r="J332" s="3">
        <v>0</v>
      </c>
      <c r="K332" s="9">
        <f t="shared" si="15"/>
        <v>10391.099999999999</v>
      </c>
      <c r="L332" s="9">
        <f t="shared" si="16"/>
        <v>0</v>
      </c>
      <c r="M332" s="10">
        <f t="shared" si="17"/>
        <v>10391.099999999999</v>
      </c>
      <c r="N332" s="3" t="s">
        <v>33</v>
      </c>
      <c r="O332" s="3" t="s">
        <v>18</v>
      </c>
      <c r="P332" s="3" t="s">
        <v>34</v>
      </c>
    </row>
    <row r="333" spans="1:16" x14ac:dyDescent="0.25">
      <c r="A333" s="2" t="s">
        <v>603</v>
      </c>
      <c r="B333" s="4">
        <v>45367</v>
      </c>
      <c r="C333" s="2" t="s">
        <v>326</v>
      </c>
      <c r="D333" s="2" t="s">
        <v>13</v>
      </c>
      <c r="E333" s="2" t="s">
        <v>14</v>
      </c>
      <c r="F333" s="2" t="s">
        <v>15</v>
      </c>
      <c r="G333" s="2" t="s">
        <v>56</v>
      </c>
      <c r="H333" s="2">
        <v>1760.98</v>
      </c>
      <c r="I333" s="2">
        <v>5</v>
      </c>
      <c r="J333" s="2">
        <v>10</v>
      </c>
      <c r="K333" s="9">
        <f t="shared" si="15"/>
        <v>8804.9</v>
      </c>
      <c r="L333" s="9">
        <f t="shared" si="16"/>
        <v>880.49</v>
      </c>
      <c r="M333" s="10">
        <f t="shared" si="17"/>
        <v>7924.41</v>
      </c>
      <c r="N333" s="2" t="s">
        <v>26</v>
      </c>
      <c r="O333" s="2" t="s">
        <v>52</v>
      </c>
      <c r="P333" s="2" t="s">
        <v>34</v>
      </c>
    </row>
    <row r="334" spans="1:16" x14ac:dyDescent="0.25">
      <c r="A334" s="3" t="s">
        <v>604</v>
      </c>
      <c r="B334" s="4">
        <v>45368</v>
      </c>
      <c r="C334" s="3" t="s">
        <v>605</v>
      </c>
      <c r="D334" s="3" t="s">
        <v>29</v>
      </c>
      <c r="E334" s="3" t="s">
        <v>30</v>
      </c>
      <c r="F334" s="3" t="s">
        <v>36</v>
      </c>
      <c r="G334" s="3" t="s">
        <v>37</v>
      </c>
      <c r="H334" s="3">
        <v>11137.54</v>
      </c>
      <c r="I334" s="3">
        <v>1</v>
      </c>
      <c r="J334" s="3">
        <v>15</v>
      </c>
      <c r="K334" s="9">
        <f t="shared" si="15"/>
        <v>11137.54</v>
      </c>
      <c r="L334" s="9">
        <f t="shared" si="16"/>
        <v>1670.6310000000001</v>
      </c>
      <c r="M334" s="10">
        <f t="shared" si="17"/>
        <v>9466.9090000000015</v>
      </c>
      <c r="N334" s="3" t="s">
        <v>38</v>
      </c>
      <c r="O334" s="3" t="s">
        <v>18</v>
      </c>
      <c r="P334" s="3" t="s">
        <v>53</v>
      </c>
    </row>
    <row r="335" spans="1:16" x14ac:dyDescent="0.25">
      <c r="A335" s="2" t="s">
        <v>606</v>
      </c>
      <c r="B335" s="4">
        <v>45369</v>
      </c>
      <c r="C335" s="2" t="s">
        <v>80</v>
      </c>
      <c r="D335" s="2" t="s">
        <v>87</v>
      </c>
      <c r="E335" s="2" t="s">
        <v>88</v>
      </c>
      <c r="F335" s="2" t="s">
        <v>43</v>
      </c>
      <c r="G335" s="2" t="s">
        <v>44</v>
      </c>
      <c r="H335" s="2">
        <v>3335.65</v>
      </c>
      <c r="I335" s="2">
        <v>2</v>
      </c>
      <c r="J335" s="2">
        <v>0</v>
      </c>
      <c r="K335" s="9">
        <f t="shared" si="15"/>
        <v>6671.3</v>
      </c>
      <c r="L335" s="9">
        <f t="shared" si="16"/>
        <v>0</v>
      </c>
      <c r="M335" s="10">
        <f t="shared" si="17"/>
        <v>6671.3</v>
      </c>
      <c r="N335" s="2" t="s">
        <v>68</v>
      </c>
      <c r="O335" s="2" t="s">
        <v>18</v>
      </c>
      <c r="P335" s="2" t="s">
        <v>34</v>
      </c>
    </row>
    <row r="336" spans="1:16" x14ac:dyDescent="0.25">
      <c r="A336" s="3" t="s">
        <v>607</v>
      </c>
      <c r="B336" s="4">
        <v>45370</v>
      </c>
      <c r="C336" s="3" t="s">
        <v>411</v>
      </c>
      <c r="D336" s="3" t="s">
        <v>13</v>
      </c>
      <c r="E336" s="3" t="s">
        <v>14</v>
      </c>
      <c r="F336" s="3" t="s">
        <v>43</v>
      </c>
      <c r="G336" s="3" t="s">
        <v>145</v>
      </c>
      <c r="H336" s="3">
        <v>12558.2</v>
      </c>
      <c r="I336" s="3">
        <v>2</v>
      </c>
      <c r="J336" s="3">
        <v>10</v>
      </c>
      <c r="K336" s="9">
        <f t="shared" si="15"/>
        <v>25116.400000000001</v>
      </c>
      <c r="L336" s="9">
        <f t="shared" si="16"/>
        <v>2511.64</v>
      </c>
      <c r="M336" s="10">
        <f t="shared" si="17"/>
        <v>22604.760000000002</v>
      </c>
      <c r="N336" s="3" t="s">
        <v>33</v>
      </c>
      <c r="O336" s="3" t="s">
        <v>18</v>
      </c>
      <c r="P336" s="3" t="s">
        <v>34</v>
      </c>
    </row>
    <row r="337" spans="1:16" x14ac:dyDescent="0.25">
      <c r="A337" s="2" t="s">
        <v>608</v>
      </c>
      <c r="B337" s="4">
        <v>45371</v>
      </c>
      <c r="C337" s="2" t="s">
        <v>568</v>
      </c>
      <c r="D337" s="2" t="s">
        <v>76</v>
      </c>
      <c r="E337" s="2" t="s">
        <v>77</v>
      </c>
      <c r="F337" s="2" t="s">
        <v>72</v>
      </c>
      <c r="G337" s="2" t="s">
        <v>73</v>
      </c>
      <c r="H337" s="2">
        <v>360.57</v>
      </c>
      <c r="I337" s="2">
        <v>2</v>
      </c>
      <c r="J337" s="2">
        <v>0</v>
      </c>
      <c r="K337" s="9">
        <f t="shared" si="15"/>
        <v>721.14</v>
      </c>
      <c r="L337" s="9">
        <f t="shared" si="16"/>
        <v>0</v>
      </c>
      <c r="M337" s="10">
        <f t="shared" si="17"/>
        <v>721.14</v>
      </c>
      <c r="N337" s="2" t="s">
        <v>33</v>
      </c>
      <c r="O337" s="2" t="s">
        <v>18</v>
      </c>
      <c r="P337" s="2" t="s">
        <v>40</v>
      </c>
    </row>
    <row r="338" spans="1:16" x14ac:dyDescent="0.25">
      <c r="A338" s="3" t="s">
        <v>609</v>
      </c>
      <c r="B338" s="4">
        <v>45372</v>
      </c>
      <c r="C338" s="3" t="s">
        <v>610</v>
      </c>
      <c r="D338" s="3" t="s">
        <v>47</v>
      </c>
      <c r="E338" s="3" t="s">
        <v>48</v>
      </c>
      <c r="F338" s="3" t="s">
        <v>36</v>
      </c>
      <c r="G338" s="3" t="s">
        <v>78</v>
      </c>
      <c r="H338" s="3">
        <v>82310.740000000005</v>
      </c>
      <c r="I338" s="3">
        <v>4</v>
      </c>
      <c r="J338" s="3">
        <v>0</v>
      </c>
      <c r="K338" s="9">
        <f t="shared" si="15"/>
        <v>329242.96000000002</v>
      </c>
      <c r="L338" s="9">
        <f t="shared" si="16"/>
        <v>0</v>
      </c>
      <c r="M338" s="10">
        <f t="shared" si="17"/>
        <v>329242.96000000002</v>
      </c>
      <c r="N338" s="3" t="s">
        <v>68</v>
      </c>
      <c r="O338" s="3" t="s">
        <v>52</v>
      </c>
      <c r="P338" s="3" t="s">
        <v>40</v>
      </c>
    </row>
    <row r="339" spans="1:16" x14ac:dyDescent="0.25">
      <c r="A339" s="2" t="s">
        <v>611</v>
      </c>
      <c r="B339" s="4">
        <v>45373</v>
      </c>
      <c r="C339" s="2" t="s">
        <v>173</v>
      </c>
      <c r="D339" s="2" t="s">
        <v>76</v>
      </c>
      <c r="E339" s="2" t="s">
        <v>77</v>
      </c>
      <c r="F339" s="2" t="s">
        <v>15</v>
      </c>
      <c r="G339" s="2" t="s">
        <v>198</v>
      </c>
      <c r="H339" s="2">
        <v>789.01</v>
      </c>
      <c r="I339" s="2">
        <v>2</v>
      </c>
      <c r="J339" s="2">
        <v>0</v>
      </c>
      <c r="K339" s="9">
        <f t="shared" si="15"/>
        <v>1578.02</v>
      </c>
      <c r="L339" s="9">
        <f t="shared" si="16"/>
        <v>0</v>
      </c>
      <c r="M339" s="10">
        <f t="shared" si="17"/>
        <v>1578.02</v>
      </c>
      <c r="N339" s="2" t="s">
        <v>33</v>
      </c>
      <c r="O339" s="2" t="s">
        <v>18</v>
      </c>
      <c r="P339" s="2" t="s">
        <v>40</v>
      </c>
    </row>
    <row r="340" spans="1:16" x14ac:dyDescent="0.25">
      <c r="A340" s="3" t="s">
        <v>612</v>
      </c>
      <c r="B340" s="4">
        <v>45374</v>
      </c>
      <c r="C340" s="3" t="s">
        <v>613</v>
      </c>
      <c r="D340" s="3" t="s">
        <v>51</v>
      </c>
      <c r="E340" s="3" t="s">
        <v>14</v>
      </c>
      <c r="F340" s="3" t="s">
        <v>43</v>
      </c>
      <c r="G340" s="3" t="s">
        <v>89</v>
      </c>
      <c r="H340" s="3">
        <v>4699.83</v>
      </c>
      <c r="I340" s="3">
        <v>5</v>
      </c>
      <c r="J340" s="3">
        <v>0</v>
      </c>
      <c r="K340" s="9">
        <f t="shared" si="15"/>
        <v>23499.15</v>
      </c>
      <c r="L340" s="9">
        <f t="shared" si="16"/>
        <v>0</v>
      </c>
      <c r="M340" s="10">
        <f t="shared" si="17"/>
        <v>23499.15</v>
      </c>
      <c r="N340" s="3" t="s">
        <v>38</v>
      </c>
      <c r="O340" s="3" t="s">
        <v>18</v>
      </c>
      <c r="P340" s="3" t="s">
        <v>53</v>
      </c>
    </row>
    <row r="341" spans="1:16" x14ac:dyDescent="0.25">
      <c r="A341" s="2" t="s">
        <v>614</v>
      </c>
      <c r="B341" s="4">
        <v>45375</v>
      </c>
      <c r="C341" s="2" t="s">
        <v>301</v>
      </c>
      <c r="D341" s="2" t="s">
        <v>29</v>
      </c>
      <c r="E341" s="2" t="s">
        <v>30</v>
      </c>
      <c r="F341" s="2" t="s">
        <v>110</v>
      </c>
      <c r="G341" s="2" t="s">
        <v>67</v>
      </c>
      <c r="H341" s="2">
        <v>4188.2299999999996</v>
      </c>
      <c r="I341" s="2">
        <v>3</v>
      </c>
      <c r="J341" s="2">
        <v>15</v>
      </c>
      <c r="K341" s="9">
        <f t="shared" si="15"/>
        <v>12564.689999999999</v>
      </c>
      <c r="L341" s="9">
        <f t="shared" si="16"/>
        <v>1884.7034999999998</v>
      </c>
      <c r="M341" s="10">
        <f t="shared" si="17"/>
        <v>10679.986499999999</v>
      </c>
      <c r="N341" s="2" t="s">
        <v>33</v>
      </c>
      <c r="O341" s="2" t="s">
        <v>18</v>
      </c>
      <c r="P341" s="2" t="s">
        <v>34</v>
      </c>
    </row>
    <row r="342" spans="1:16" x14ac:dyDescent="0.25">
      <c r="A342" s="3" t="s">
        <v>615</v>
      </c>
      <c r="B342" s="4">
        <v>45376</v>
      </c>
      <c r="C342" s="3" t="s">
        <v>616</v>
      </c>
      <c r="D342" s="3" t="s">
        <v>76</v>
      </c>
      <c r="E342" s="3" t="s">
        <v>77</v>
      </c>
      <c r="F342" s="3" t="s">
        <v>24</v>
      </c>
      <c r="G342" s="3" t="s">
        <v>92</v>
      </c>
      <c r="H342" s="3">
        <v>1357.72</v>
      </c>
      <c r="I342" s="3">
        <v>2</v>
      </c>
      <c r="J342" s="3">
        <v>0</v>
      </c>
      <c r="K342" s="9">
        <f t="shared" si="15"/>
        <v>2715.44</v>
      </c>
      <c r="L342" s="9">
        <f t="shared" si="16"/>
        <v>0</v>
      </c>
      <c r="M342" s="10">
        <f t="shared" si="17"/>
        <v>2715.44</v>
      </c>
      <c r="N342" s="3" t="s">
        <v>38</v>
      </c>
      <c r="O342" s="3" t="s">
        <v>18</v>
      </c>
      <c r="P342" s="3" t="s">
        <v>60</v>
      </c>
    </row>
    <row r="343" spans="1:16" x14ac:dyDescent="0.25">
      <c r="A343" s="2" t="s">
        <v>617</v>
      </c>
      <c r="B343" s="4">
        <v>45377</v>
      </c>
      <c r="C343" s="2" t="s">
        <v>618</v>
      </c>
      <c r="D343" s="2" t="s">
        <v>76</v>
      </c>
      <c r="E343" s="2" t="s">
        <v>77</v>
      </c>
      <c r="F343" s="2" t="s">
        <v>43</v>
      </c>
      <c r="G343" s="2" t="s">
        <v>105</v>
      </c>
      <c r="H343" s="2">
        <v>2571.04</v>
      </c>
      <c r="I343" s="2">
        <v>5</v>
      </c>
      <c r="J343" s="2">
        <v>0</v>
      </c>
      <c r="K343" s="9">
        <f t="shared" si="15"/>
        <v>12855.2</v>
      </c>
      <c r="L343" s="9">
        <f t="shared" si="16"/>
        <v>0</v>
      </c>
      <c r="M343" s="10">
        <f t="shared" si="17"/>
        <v>12855.2</v>
      </c>
      <c r="N343" s="2" t="s">
        <v>26</v>
      </c>
      <c r="O343" s="2" t="s">
        <v>18</v>
      </c>
      <c r="P343" s="2" t="s">
        <v>60</v>
      </c>
    </row>
    <row r="344" spans="1:16" x14ac:dyDescent="0.25">
      <c r="A344" s="3" t="s">
        <v>619</v>
      </c>
      <c r="B344" s="4">
        <v>45378</v>
      </c>
      <c r="C344" s="3" t="s">
        <v>402</v>
      </c>
      <c r="D344" s="3" t="s">
        <v>13</v>
      </c>
      <c r="E344" s="3" t="s">
        <v>14</v>
      </c>
      <c r="F344" s="3" t="s">
        <v>31</v>
      </c>
      <c r="G344" s="3" t="s">
        <v>70</v>
      </c>
      <c r="H344" s="3">
        <v>595.80999999999995</v>
      </c>
      <c r="I344" s="3">
        <v>2</v>
      </c>
      <c r="J344" s="3">
        <v>15</v>
      </c>
      <c r="K344" s="9">
        <f t="shared" si="15"/>
        <v>1191.6199999999999</v>
      </c>
      <c r="L344" s="9">
        <f t="shared" si="16"/>
        <v>178.74299999999999</v>
      </c>
      <c r="M344" s="10">
        <f t="shared" si="17"/>
        <v>1012.877</v>
      </c>
      <c r="N344" s="3" t="s">
        <v>17</v>
      </c>
      <c r="O344" s="3" t="s">
        <v>18</v>
      </c>
      <c r="P344" s="3" t="s">
        <v>53</v>
      </c>
    </row>
    <row r="345" spans="1:16" x14ac:dyDescent="0.25">
      <c r="A345" s="2" t="s">
        <v>620</v>
      </c>
      <c r="B345" s="4">
        <v>45379</v>
      </c>
      <c r="C345" s="2" t="s">
        <v>621</v>
      </c>
      <c r="D345" s="2" t="s">
        <v>22</v>
      </c>
      <c r="E345" s="2" t="s">
        <v>23</v>
      </c>
      <c r="F345" s="2" t="s">
        <v>15</v>
      </c>
      <c r="G345" s="2" t="s">
        <v>16</v>
      </c>
      <c r="H345" s="2">
        <v>1592.45</v>
      </c>
      <c r="I345" s="2">
        <v>4</v>
      </c>
      <c r="J345" s="2">
        <v>5</v>
      </c>
      <c r="K345" s="9">
        <f t="shared" si="15"/>
        <v>6369.8</v>
      </c>
      <c r="L345" s="9">
        <f t="shared" si="16"/>
        <v>318.49</v>
      </c>
      <c r="M345" s="10">
        <f t="shared" si="17"/>
        <v>6051.31</v>
      </c>
      <c r="N345" s="2" t="s">
        <v>26</v>
      </c>
      <c r="O345" s="2" t="s">
        <v>52</v>
      </c>
      <c r="P345" s="2" t="s">
        <v>40</v>
      </c>
    </row>
    <row r="346" spans="1:16" x14ac:dyDescent="0.25">
      <c r="A346" s="3" t="s">
        <v>622</v>
      </c>
      <c r="B346" s="4">
        <v>45380</v>
      </c>
      <c r="C346" s="3" t="s">
        <v>485</v>
      </c>
      <c r="D346" s="3" t="s">
        <v>83</v>
      </c>
      <c r="E346" s="3" t="s">
        <v>84</v>
      </c>
      <c r="F346" s="3" t="s">
        <v>15</v>
      </c>
      <c r="G346" s="3" t="s">
        <v>95</v>
      </c>
      <c r="H346" s="3">
        <v>1217.45</v>
      </c>
      <c r="I346" s="3">
        <v>2</v>
      </c>
      <c r="J346" s="3">
        <v>15</v>
      </c>
      <c r="K346" s="9">
        <f t="shared" si="15"/>
        <v>2434.9</v>
      </c>
      <c r="L346" s="9">
        <f t="shared" si="16"/>
        <v>365.23500000000001</v>
      </c>
      <c r="M346" s="10">
        <f t="shared" si="17"/>
        <v>2069.665</v>
      </c>
      <c r="N346" s="3" t="s">
        <v>38</v>
      </c>
      <c r="O346" s="3" t="s">
        <v>18</v>
      </c>
      <c r="P346" s="3" t="s">
        <v>60</v>
      </c>
    </row>
    <row r="347" spans="1:16" x14ac:dyDescent="0.25">
      <c r="A347" s="2" t="s">
        <v>623</v>
      </c>
      <c r="B347" s="4">
        <v>45381</v>
      </c>
      <c r="C347" s="2" t="s">
        <v>431</v>
      </c>
      <c r="D347" s="2" t="s">
        <v>29</v>
      </c>
      <c r="E347" s="2" t="s">
        <v>30</v>
      </c>
      <c r="F347" s="2" t="s">
        <v>110</v>
      </c>
      <c r="G347" s="2" t="s">
        <v>111</v>
      </c>
      <c r="H347" s="2">
        <v>9837.32</v>
      </c>
      <c r="I347" s="2">
        <v>5</v>
      </c>
      <c r="J347" s="2">
        <v>0</v>
      </c>
      <c r="K347" s="9">
        <f t="shared" si="15"/>
        <v>49186.6</v>
      </c>
      <c r="L347" s="9">
        <f t="shared" si="16"/>
        <v>0</v>
      </c>
      <c r="M347" s="10">
        <f t="shared" si="17"/>
        <v>49186.6</v>
      </c>
      <c r="N347" s="2" t="s">
        <v>68</v>
      </c>
      <c r="O347" s="2" t="s">
        <v>39</v>
      </c>
      <c r="P347" s="2" t="s">
        <v>60</v>
      </c>
    </row>
    <row r="348" spans="1:16" x14ac:dyDescent="0.25">
      <c r="A348" s="3" t="s">
        <v>624</v>
      </c>
      <c r="B348" s="4">
        <v>45382</v>
      </c>
      <c r="C348" s="3" t="s">
        <v>188</v>
      </c>
      <c r="D348" s="3" t="s">
        <v>51</v>
      </c>
      <c r="E348" s="3" t="s">
        <v>14</v>
      </c>
      <c r="F348" s="3" t="s">
        <v>24</v>
      </c>
      <c r="G348" s="3" t="s">
        <v>92</v>
      </c>
      <c r="H348" s="3">
        <v>1477.01</v>
      </c>
      <c r="I348" s="3">
        <v>4</v>
      </c>
      <c r="J348" s="3">
        <v>0</v>
      </c>
      <c r="K348" s="9">
        <f t="shared" si="15"/>
        <v>5908.04</v>
      </c>
      <c r="L348" s="9">
        <f t="shared" si="16"/>
        <v>0</v>
      </c>
      <c r="M348" s="10">
        <f t="shared" si="17"/>
        <v>5908.04</v>
      </c>
      <c r="N348" s="3" t="s">
        <v>26</v>
      </c>
      <c r="O348" s="3" t="s">
        <v>39</v>
      </c>
      <c r="P348" s="3" t="s">
        <v>19</v>
      </c>
    </row>
    <row r="349" spans="1:16" x14ac:dyDescent="0.25">
      <c r="A349" s="2" t="s">
        <v>625</v>
      </c>
      <c r="B349" s="4">
        <v>45383</v>
      </c>
      <c r="C349" s="2" t="s">
        <v>314</v>
      </c>
      <c r="D349" s="2" t="s">
        <v>22</v>
      </c>
      <c r="E349" s="2" t="s">
        <v>23</v>
      </c>
      <c r="F349" s="2" t="s">
        <v>36</v>
      </c>
      <c r="G349" s="2" t="s">
        <v>37</v>
      </c>
      <c r="H349" s="2">
        <v>12135.27</v>
      </c>
      <c r="I349" s="2">
        <v>5</v>
      </c>
      <c r="J349" s="2">
        <v>0</v>
      </c>
      <c r="K349" s="9">
        <f t="shared" si="15"/>
        <v>60676.350000000006</v>
      </c>
      <c r="L349" s="9">
        <f t="shared" si="16"/>
        <v>0</v>
      </c>
      <c r="M349" s="10">
        <f t="shared" si="17"/>
        <v>60676.350000000006</v>
      </c>
      <c r="N349" s="2" t="s">
        <v>38</v>
      </c>
      <c r="O349" s="2" t="s">
        <v>52</v>
      </c>
      <c r="P349" s="2" t="s">
        <v>60</v>
      </c>
    </row>
    <row r="350" spans="1:16" x14ac:dyDescent="0.25">
      <c r="A350" s="3" t="s">
        <v>626</v>
      </c>
      <c r="B350" s="4">
        <v>45384</v>
      </c>
      <c r="C350" s="3" t="s">
        <v>583</v>
      </c>
      <c r="D350" s="3" t="s">
        <v>29</v>
      </c>
      <c r="E350" s="3" t="s">
        <v>30</v>
      </c>
      <c r="F350" s="3" t="s">
        <v>110</v>
      </c>
      <c r="G350" s="3" t="s">
        <v>67</v>
      </c>
      <c r="H350" s="3">
        <v>4151.2700000000004</v>
      </c>
      <c r="I350" s="3">
        <v>2</v>
      </c>
      <c r="J350" s="3">
        <v>0</v>
      </c>
      <c r="K350" s="9">
        <f t="shared" si="15"/>
        <v>8302.5400000000009</v>
      </c>
      <c r="L350" s="9">
        <f t="shared" si="16"/>
        <v>0</v>
      </c>
      <c r="M350" s="10">
        <f t="shared" si="17"/>
        <v>8302.5400000000009</v>
      </c>
      <c r="N350" s="3" t="s">
        <v>17</v>
      </c>
      <c r="O350" s="3" t="s">
        <v>52</v>
      </c>
      <c r="P350" s="3" t="s">
        <v>19</v>
      </c>
    </row>
    <row r="351" spans="1:16" x14ac:dyDescent="0.25">
      <c r="A351" s="2" t="s">
        <v>627</v>
      </c>
      <c r="B351" s="4">
        <v>45385</v>
      </c>
      <c r="C351" s="2" t="s">
        <v>628</v>
      </c>
      <c r="D351" s="2" t="s">
        <v>22</v>
      </c>
      <c r="E351" s="2" t="s">
        <v>23</v>
      </c>
      <c r="F351" s="2" t="s">
        <v>72</v>
      </c>
      <c r="G351" s="2" t="s">
        <v>137</v>
      </c>
      <c r="H351" s="2">
        <v>2361.69</v>
      </c>
      <c r="I351" s="2">
        <v>3</v>
      </c>
      <c r="J351" s="2">
        <v>10</v>
      </c>
      <c r="K351" s="9">
        <f t="shared" si="15"/>
        <v>7085.07</v>
      </c>
      <c r="L351" s="9">
        <f t="shared" si="16"/>
        <v>708.50699999999995</v>
      </c>
      <c r="M351" s="10">
        <f t="shared" si="17"/>
        <v>6376.5630000000001</v>
      </c>
      <c r="N351" s="2" t="s">
        <v>38</v>
      </c>
      <c r="O351" s="2" t="s">
        <v>18</v>
      </c>
      <c r="P351" s="2" t="s">
        <v>60</v>
      </c>
    </row>
    <row r="352" spans="1:16" x14ac:dyDescent="0.25">
      <c r="A352" s="3" t="s">
        <v>629</v>
      </c>
      <c r="B352" s="4">
        <v>45386</v>
      </c>
      <c r="C352" s="3" t="s">
        <v>630</v>
      </c>
      <c r="D352" s="3" t="s">
        <v>13</v>
      </c>
      <c r="E352" s="3" t="s">
        <v>14</v>
      </c>
      <c r="F352" s="3" t="s">
        <v>24</v>
      </c>
      <c r="G352" s="3" t="s">
        <v>108</v>
      </c>
      <c r="H352" s="3">
        <v>7844.76</v>
      </c>
      <c r="I352" s="3">
        <v>5</v>
      </c>
      <c r="J352" s="3">
        <v>0</v>
      </c>
      <c r="K352" s="9">
        <f t="shared" si="15"/>
        <v>39223.800000000003</v>
      </c>
      <c r="L352" s="9">
        <f t="shared" si="16"/>
        <v>0</v>
      </c>
      <c r="M352" s="10">
        <f t="shared" si="17"/>
        <v>39223.800000000003</v>
      </c>
      <c r="N352" s="3" t="s">
        <v>33</v>
      </c>
      <c r="O352" s="3" t="s">
        <v>18</v>
      </c>
      <c r="P352" s="3" t="s">
        <v>60</v>
      </c>
    </row>
    <row r="353" spans="1:16" x14ac:dyDescent="0.25">
      <c r="A353" s="2" t="s">
        <v>631</v>
      </c>
      <c r="B353" s="4">
        <v>45387</v>
      </c>
      <c r="C353" s="2" t="s">
        <v>632</v>
      </c>
      <c r="D353" s="2" t="s">
        <v>13</v>
      </c>
      <c r="E353" s="2" t="s">
        <v>14</v>
      </c>
      <c r="F353" s="2" t="s">
        <v>15</v>
      </c>
      <c r="G353" s="2" t="s">
        <v>95</v>
      </c>
      <c r="H353" s="2">
        <v>1301</v>
      </c>
      <c r="I353" s="2">
        <v>3</v>
      </c>
      <c r="J353" s="2">
        <v>0</v>
      </c>
      <c r="K353" s="9">
        <f t="shared" si="15"/>
        <v>3903</v>
      </c>
      <c r="L353" s="9">
        <f t="shared" si="16"/>
        <v>0</v>
      </c>
      <c r="M353" s="10">
        <f t="shared" si="17"/>
        <v>3903</v>
      </c>
      <c r="N353" s="2" t="s">
        <v>38</v>
      </c>
      <c r="O353" s="2" t="s">
        <v>39</v>
      </c>
      <c r="P353" s="2" t="s">
        <v>34</v>
      </c>
    </row>
    <row r="354" spans="1:16" x14ac:dyDescent="0.25">
      <c r="A354" s="3" t="s">
        <v>633</v>
      </c>
      <c r="B354" s="4">
        <v>45388</v>
      </c>
      <c r="C354" s="3" t="s">
        <v>634</v>
      </c>
      <c r="D354" s="3" t="s">
        <v>22</v>
      </c>
      <c r="E354" s="3" t="s">
        <v>23</v>
      </c>
      <c r="F354" s="3" t="s">
        <v>72</v>
      </c>
      <c r="G354" s="3" t="s">
        <v>102</v>
      </c>
      <c r="H354" s="3">
        <v>602.47</v>
      </c>
      <c r="I354" s="3">
        <v>4</v>
      </c>
      <c r="J354" s="3">
        <v>10</v>
      </c>
      <c r="K354" s="9">
        <f t="shared" si="15"/>
        <v>2409.88</v>
      </c>
      <c r="L354" s="9">
        <f t="shared" si="16"/>
        <v>240.98800000000003</v>
      </c>
      <c r="M354" s="10">
        <f t="shared" si="17"/>
        <v>2168.8920000000003</v>
      </c>
      <c r="N354" s="3" t="s">
        <v>38</v>
      </c>
      <c r="O354" s="3" t="s">
        <v>27</v>
      </c>
      <c r="P354" s="3" t="s">
        <v>60</v>
      </c>
    </row>
    <row r="355" spans="1:16" x14ac:dyDescent="0.25">
      <c r="A355" s="2" t="s">
        <v>635</v>
      </c>
      <c r="B355" s="4">
        <v>45389</v>
      </c>
      <c r="C355" s="2" t="s">
        <v>12</v>
      </c>
      <c r="D355" s="2" t="s">
        <v>51</v>
      </c>
      <c r="E355" s="2" t="s">
        <v>14</v>
      </c>
      <c r="F355" s="2" t="s">
        <v>43</v>
      </c>
      <c r="G355" s="2" t="s">
        <v>127</v>
      </c>
      <c r="H355" s="2">
        <v>5954.78</v>
      </c>
      <c r="I355" s="2">
        <v>4</v>
      </c>
      <c r="J355" s="2">
        <v>0</v>
      </c>
      <c r="K355" s="9">
        <f t="shared" si="15"/>
        <v>23819.119999999999</v>
      </c>
      <c r="L355" s="9">
        <f t="shared" si="16"/>
        <v>0</v>
      </c>
      <c r="M355" s="10">
        <f t="shared" si="17"/>
        <v>23819.119999999999</v>
      </c>
      <c r="N355" s="2" t="s">
        <v>17</v>
      </c>
      <c r="O355" s="2" t="s">
        <v>39</v>
      </c>
      <c r="P355" s="2" t="s">
        <v>34</v>
      </c>
    </row>
    <row r="356" spans="1:16" x14ac:dyDescent="0.25">
      <c r="A356" s="3" t="s">
        <v>636</v>
      </c>
      <c r="B356" s="4">
        <v>45390</v>
      </c>
      <c r="C356" s="3" t="s">
        <v>637</v>
      </c>
      <c r="D356" s="3" t="s">
        <v>22</v>
      </c>
      <c r="E356" s="3" t="s">
        <v>23</v>
      </c>
      <c r="F356" s="3" t="s">
        <v>31</v>
      </c>
      <c r="G356" s="3" t="s">
        <v>242</v>
      </c>
      <c r="H356" s="3">
        <v>882.61</v>
      </c>
      <c r="I356" s="3">
        <v>5</v>
      </c>
      <c r="J356" s="3">
        <v>0</v>
      </c>
      <c r="K356" s="9">
        <f t="shared" si="15"/>
        <v>4413.05</v>
      </c>
      <c r="L356" s="9">
        <f t="shared" si="16"/>
        <v>0</v>
      </c>
      <c r="M356" s="10">
        <f t="shared" si="17"/>
        <v>4413.05</v>
      </c>
      <c r="N356" s="3" t="s">
        <v>68</v>
      </c>
      <c r="O356" s="3" t="s">
        <v>18</v>
      </c>
      <c r="P356" s="3" t="s">
        <v>53</v>
      </c>
    </row>
    <row r="357" spans="1:16" x14ac:dyDescent="0.25">
      <c r="A357" s="2" t="s">
        <v>638</v>
      </c>
      <c r="B357" s="4">
        <v>45391</v>
      </c>
      <c r="C357" s="2" t="s">
        <v>349</v>
      </c>
      <c r="D357" s="2" t="s">
        <v>13</v>
      </c>
      <c r="E357" s="2" t="s">
        <v>14</v>
      </c>
      <c r="F357" s="2" t="s">
        <v>43</v>
      </c>
      <c r="G357" s="2" t="s">
        <v>44</v>
      </c>
      <c r="H357" s="2">
        <v>3792.62</v>
      </c>
      <c r="I357" s="2">
        <v>2</v>
      </c>
      <c r="J357" s="2">
        <v>10</v>
      </c>
      <c r="K357" s="9">
        <f t="shared" si="15"/>
        <v>7585.24</v>
      </c>
      <c r="L357" s="9">
        <f t="shared" si="16"/>
        <v>758.52399999999989</v>
      </c>
      <c r="M357" s="10">
        <f t="shared" si="17"/>
        <v>6826.7160000000003</v>
      </c>
      <c r="N357" s="2" t="s">
        <v>38</v>
      </c>
      <c r="O357" s="2" t="s">
        <v>39</v>
      </c>
      <c r="P357" s="2" t="s">
        <v>60</v>
      </c>
    </row>
    <row r="358" spans="1:16" x14ac:dyDescent="0.25">
      <c r="A358" s="3" t="s">
        <v>639</v>
      </c>
      <c r="B358" s="4">
        <v>45392</v>
      </c>
      <c r="C358" s="3" t="s">
        <v>143</v>
      </c>
      <c r="D358" s="3" t="s">
        <v>22</v>
      </c>
      <c r="E358" s="3" t="s">
        <v>23</v>
      </c>
      <c r="F358" s="3" t="s">
        <v>15</v>
      </c>
      <c r="G358" s="3" t="s">
        <v>198</v>
      </c>
      <c r="H358" s="3">
        <v>758.71</v>
      </c>
      <c r="I358" s="3">
        <v>4</v>
      </c>
      <c r="J358" s="3">
        <v>10</v>
      </c>
      <c r="K358" s="9">
        <f t="shared" si="15"/>
        <v>3034.84</v>
      </c>
      <c r="L358" s="9">
        <f t="shared" si="16"/>
        <v>303.48400000000004</v>
      </c>
      <c r="M358" s="10">
        <f t="shared" si="17"/>
        <v>2731.3560000000002</v>
      </c>
      <c r="N358" s="3" t="s">
        <v>33</v>
      </c>
      <c r="O358" s="3" t="s">
        <v>18</v>
      </c>
      <c r="P358" s="3" t="s">
        <v>60</v>
      </c>
    </row>
    <row r="359" spans="1:16" x14ac:dyDescent="0.25">
      <c r="A359" s="2" t="s">
        <v>640</v>
      </c>
      <c r="B359" s="4">
        <v>45393</v>
      </c>
      <c r="C359" s="2" t="s">
        <v>641</v>
      </c>
      <c r="D359" s="2" t="s">
        <v>87</v>
      </c>
      <c r="E359" s="2" t="s">
        <v>88</v>
      </c>
      <c r="F359" s="2" t="s">
        <v>24</v>
      </c>
      <c r="G359" s="2" t="s">
        <v>108</v>
      </c>
      <c r="H359" s="2">
        <v>8398.34</v>
      </c>
      <c r="I359" s="2">
        <v>1</v>
      </c>
      <c r="J359" s="2">
        <v>0</v>
      </c>
      <c r="K359" s="9">
        <f t="shared" si="15"/>
        <v>8398.34</v>
      </c>
      <c r="L359" s="9">
        <f t="shared" si="16"/>
        <v>0</v>
      </c>
      <c r="M359" s="10">
        <f t="shared" si="17"/>
        <v>8398.34</v>
      </c>
      <c r="N359" s="2" t="s">
        <v>68</v>
      </c>
      <c r="O359" s="2" t="s">
        <v>18</v>
      </c>
      <c r="P359" s="2" t="s">
        <v>40</v>
      </c>
    </row>
    <row r="360" spans="1:16" x14ac:dyDescent="0.25">
      <c r="A360" s="3" t="s">
        <v>642</v>
      </c>
      <c r="B360" s="4">
        <v>45394</v>
      </c>
      <c r="C360" s="3" t="s">
        <v>643</v>
      </c>
      <c r="D360" s="3" t="s">
        <v>51</v>
      </c>
      <c r="E360" s="3" t="s">
        <v>14</v>
      </c>
      <c r="F360" s="3" t="s">
        <v>15</v>
      </c>
      <c r="G360" s="3" t="s">
        <v>163</v>
      </c>
      <c r="H360" s="3">
        <v>2588.85</v>
      </c>
      <c r="I360" s="3">
        <v>3</v>
      </c>
      <c r="J360" s="3">
        <v>15</v>
      </c>
      <c r="K360" s="9">
        <f t="shared" si="15"/>
        <v>7766.5499999999993</v>
      </c>
      <c r="L360" s="9">
        <f t="shared" si="16"/>
        <v>1164.9824999999998</v>
      </c>
      <c r="M360" s="10">
        <f t="shared" si="17"/>
        <v>6601.5674999999992</v>
      </c>
      <c r="N360" s="3" t="s">
        <v>33</v>
      </c>
      <c r="O360" s="3" t="s">
        <v>52</v>
      </c>
      <c r="P360" s="3" t="s">
        <v>40</v>
      </c>
    </row>
    <row r="361" spans="1:16" x14ac:dyDescent="0.25">
      <c r="A361" s="2" t="s">
        <v>644</v>
      </c>
      <c r="B361" s="4">
        <v>45395</v>
      </c>
      <c r="C361" s="2" t="s">
        <v>645</v>
      </c>
      <c r="D361" s="2" t="s">
        <v>100</v>
      </c>
      <c r="E361" s="2" t="s">
        <v>88</v>
      </c>
      <c r="F361" s="2" t="s">
        <v>15</v>
      </c>
      <c r="G361" s="2" t="s">
        <v>163</v>
      </c>
      <c r="H361" s="2">
        <v>2550.5700000000002</v>
      </c>
      <c r="I361" s="2">
        <v>1</v>
      </c>
      <c r="J361" s="2">
        <v>15</v>
      </c>
      <c r="K361" s="9">
        <f t="shared" si="15"/>
        <v>2550.5700000000002</v>
      </c>
      <c r="L361" s="9">
        <f t="shared" si="16"/>
        <v>382.58550000000002</v>
      </c>
      <c r="M361" s="10">
        <f t="shared" si="17"/>
        <v>2167.9845</v>
      </c>
      <c r="N361" s="2" t="s">
        <v>38</v>
      </c>
      <c r="O361" s="2" t="s">
        <v>52</v>
      </c>
      <c r="P361" s="2" t="s">
        <v>34</v>
      </c>
    </row>
    <row r="362" spans="1:16" x14ac:dyDescent="0.25">
      <c r="A362" s="3" t="s">
        <v>646</v>
      </c>
      <c r="B362" s="4">
        <v>45396</v>
      </c>
      <c r="C362" s="3" t="s">
        <v>647</v>
      </c>
      <c r="D362" s="3" t="s">
        <v>47</v>
      </c>
      <c r="E362" s="3" t="s">
        <v>48</v>
      </c>
      <c r="F362" s="3" t="s">
        <v>43</v>
      </c>
      <c r="G362" s="3" t="s">
        <v>145</v>
      </c>
      <c r="H362" s="3">
        <v>12843.81</v>
      </c>
      <c r="I362" s="3">
        <v>4</v>
      </c>
      <c r="J362" s="3">
        <v>15</v>
      </c>
      <c r="K362" s="9">
        <f t="shared" si="15"/>
        <v>51375.24</v>
      </c>
      <c r="L362" s="9">
        <f t="shared" si="16"/>
        <v>7706.2860000000001</v>
      </c>
      <c r="M362" s="10">
        <f t="shared" si="17"/>
        <v>43668.953999999998</v>
      </c>
      <c r="N362" s="3" t="s">
        <v>26</v>
      </c>
      <c r="O362" s="3" t="s">
        <v>18</v>
      </c>
      <c r="P362" s="3" t="s">
        <v>34</v>
      </c>
    </row>
    <row r="363" spans="1:16" x14ac:dyDescent="0.25">
      <c r="A363" s="2" t="s">
        <v>648</v>
      </c>
      <c r="B363" s="4">
        <v>45397</v>
      </c>
      <c r="C363" s="2" t="s">
        <v>228</v>
      </c>
      <c r="D363" s="2" t="s">
        <v>65</v>
      </c>
      <c r="E363" s="2" t="s">
        <v>66</v>
      </c>
      <c r="F363" s="2" t="s">
        <v>110</v>
      </c>
      <c r="G363" s="2" t="s">
        <v>207</v>
      </c>
      <c r="H363" s="2">
        <v>7662.49</v>
      </c>
      <c r="I363" s="2">
        <v>3</v>
      </c>
      <c r="J363" s="2">
        <v>0</v>
      </c>
      <c r="K363" s="9">
        <f t="shared" si="15"/>
        <v>22987.47</v>
      </c>
      <c r="L363" s="9">
        <f t="shared" si="16"/>
        <v>0</v>
      </c>
      <c r="M363" s="10">
        <f t="shared" si="17"/>
        <v>22987.47</v>
      </c>
      <c r="N363" s="2" t="s">
        <v>17</v>
      </c>
      <c r="O363" s="2" t="s">
        <v>52</v>
      </c>
      <c r="P363" s="2" t="s">
        <v>34</v>
      </c>
    </row>
    <row r="364" spans="1:16" x14ac:dyDescent="0.25">
      <c r="A364" s="3" t="s">
        <v>649</v>
      </c>
      <c r="B364" s="4">
        <v>45398</v>
      </c>
      <c r="C364" s="3" t="s">
        <v>621</v>
      </c>
      <c r="D364" s="3" t="s">
        <v>76</v>
      </c>
      <c r="E364" s="3" t="s">
        <v>77</v>
      </c>
      <c r="F364" s="3" t="s">
        <v>36</v>
      </c>
      <c r="G364" s="3" t="s">
        <v>338</v>
      </c>
      <c r="H364" s="3">
        <v>71348.69</v>
      </c>
      <c r="I364" s="3">
        <v>3</v>
      </c>
      <c r="J364" s="3">
        <v>0</v>
      </c>
      <c r="K364" s="9">
        <f t="shared" si="15"/>
        <v>214046.07</v>
      </c>
      <c r="L364" s="9">
        <f t="shared" si="16"/>
        <v>0</v>
      </c>
      <c r="M364" s="10">
        <f t="shared" si="17"/>
        <v>214046.07</v>
      </c>
      <c r="N364" s="3" t="s">
        <v>38</v>
      </c>
      <c r="O364" s="3" t="s">
        <v>27</v>
      </c>
      <c r="P364" s="3" t="s">
        <v>34</v>
      </c>
    </row>
    <row r="365" spans="1:16" x14ac:dyDescent="0.25">
      <c r="A365" s="2" t="s">
        <v>650</v>
      </c>
      <c r="B365" s="4">
        <v>45399</v>
      </c>
      <c r="C365" s="2" t="s">
        <v>651</v>
      </c>
      <c r="D365" s="2" t="s">
        <v>51</v>
      </c>
      <c r="E365" s="2" t="s">
        <v>14</v>
      </c>
      <c r="F365" s="2" t="s">
        <v>36</v>
      </c>
      <c r="G365" s="2" t="s">
        <v>113</v>
      </c>
      <c r="H365" s="2">
        <v>117698.36</v>
      </c>
      <c r="I365" s="2">
        <v>3</v>
      </c>
      <c r="J365" s="2">
        <v>15</v>
      </c>
      <c r="K365" s="9">
        <f t="shared" si="15"/>
        <v>353095.08</v>
      </c>
      <c r="L365" s="9">
        <f t="shared" si="16"/>
        <v>52964.262000000002</v>
      </c>
      <c r="M365" s="10">
        <f t="shared" si="17"/>
        <v>300130.81800000003</v>
      </c>
      <c r="N365" s="2" t="s">
        <v>26</v>
      </c>
      <c r="O365" s="2" t="s">
        <v>27</v>
      </c>
      <c r="P365" s="2" t="s">
        <v>40</v>
      </c>
    </row>
    <row r="366" spans="1:16" x14ac:dyDescent="0.25">
      <c r="A366" s="3" t="s">
        <v>652</v>
      </c>
      <c r="B366" s="4">
        <v>45400</v>
      </c>
      <c r="C366" s="3" t="s">
        <v>653</v>
      </c>
      <c r="D366" s="3" t="s">
        <v>47</v>
      </c>
      <c r="E366" s="3" t="s">
        <v>48</v>
      </c>
      <c r="F366" s="3" t="s">
        <v>43</v>
      </c>
      <c r="G366" s="3" t="s">
        <v>145</v>
      </c>
      <c r="H366" s="3">
        <v>11731.86</v>
      </c>
      <c r="I366" s="3">
        <v>1</v>
      </c>
      <c r="J366" s="3">
        <v>0</v>
      </c>
      <c r="K366" s="9">
        <f t="shared" si="15"/>
        <v>11731.86</v>
      </c>
      <c r="L366" s="9">
        <f t="shared" si="16"/>
        <v>0</v>
      </c>
      <c r="M366" s="10">
        <f t="shared" si="17"/>
        <v>11731.86</v>
      </c>
      <c r="N366" s="3" t="s">
        <v>17</v>
      </c>
      <c r="O366" s="3" t="s">
        <v>39</v>
      </c>
      <c r="P366" s="3" t="s">
        <v>53</v>
      </c>
    </row>
    <row r="367" spans="1:16" x14ac:dyDescent="0.25">
      <c r="A367" s="2" t="s">
        <v>654</v>
      </c>
      <c r="B367" s="4">
        <v>45401</v>
      </c>
      <c r="C367" s="2" t="s">
        <v>395</v>
      </c>
      <c r="D367" s="2" t="s">
        <v>51</v>
      </c>
      <c r="E367" s="2" t="s">
        <v>14</v>
      </c>
      <c r="F367" s="2" t="s">
        <v>15</v>
      </c>
      <c r="G367" s="2" t="s">
        <v>56</v>
      </c>
      <c r="H367" s="2">
        <v>1849.79</v>
      </c>
      <c r="I367" s="2">
        <v>4</v>
      </c>
      <c r="J367" s="2">
        <v>0</v>
      </c>
      <c r="K367" s="9">
        <f t="shared" si="15"/>
        <v>7399.16</v>
      </c>
      <c r="L367" s="9">
        <f t="shared" si="16"/>
        <v>0</v>
      </c>
      <c r="M367" s="10">
        <f t="shared" si="17"/>
        <v>7399.16</v>
      </c>
      <c r="N367" s="2" t="s">
        <v>38</v>
      </c>
      <c r="O367" s="2" t="s">
        <v>52</v>
      </c>
      <c r="P367" s="2" t="s">
        <v>34</v>
      </c>
    </row>
    <row r="368" spans="1:16" x14ac:dyDescent="0.25">
      <c r="A368" s="3" t="s">
        <v>655</v>
      </c>
      <c r="B368" s="4">
        <v>45402</v>
      </c>
      <c r="C368" s="3" t="s">
        <v>19</v>
      </c>
      <c r="D368" s="3" t="s">
        <v>100</v>
      </c>
      <c r="E368" s="3" t="s">
        <v>88</v>
      </c>
      <c r="F368" s="3" t="s">
        <v>31</v>
      </c>
      <c r="G368" s="3" t="s">
        <v>32</v>
      </c>
      <c r="H368" s="3">
        <v>2485.39</v>
      </c>
      <c r="I368" s="3">
        <v>3</v>
      </c>
      <c r="J368" s="3">
        <v>15</v>
      </c>
      <c r="K368" s="9">
        <f t="shared" si="15"/>
        <v>7456.17</v>
      </c>
      <c r="L368" s="9">
        <f t="shared" si="16"/>
        <v>1118.4255000000001</v>
      </c>
      <c r="M368" s="10">
        <f t="shared" si="17"/>
        <v>6337.7444999999998</v>
      </c>
      <c r="N368" s="3" t="s">
        <v>26</v>
      </c>
      <c r="O368" s="3" t="s">
        <v>27</v>
      </c>
      <c r="P368" s="3" t="s">
        <v>34</v>
      </c>
    </row>
    <row r="369" spans="1:16" x14ac:dyDescent="0.25">
      <c r="A369" s="2" t="s">
        <v>656</v>
      </c>
      <c r="B369" s="4">
        <v>45403</v>
      </c>
      <c r="C369" s="2" t="s">
        <v>547</v>
      </c>
      <c r="D369" s="2" t="s">
        <v>87</v>
      </c>
      <c r="E369" s="2" t="s">
        <v>88</v>
      </c>
      <c r="F369" s="2" t="s">
        <v>24</v>
      </c>
      <c r="G369" s="2" t="s">
        <v>170</v>
      </c>
      <c r="H369" s="2">
        <v>1289.1400000000001</v>
      </c>
      <c r="I369" s="2">
        <v>4</v>
      </c>
      <c r="J369" s="2">
        <v>0</v>
      </c>
      <c r="K369" s="9">
        <f t="shared" si="15"/>
        <v>5156.5600000000004</v>
      </c>
      <c r="L369" s="9">
        <f t="shared" si="16"/>
        <v>0</v>
      </c>
      <c r="M369" s="10">
        <f t="shared" si="17"/>
        <v>5156.5600000000004</v>
      </c>
      <c r="N369" s="2" t="s">
        <v>38</v>
      </c>
      <c r="O369" s="2" t="s">
        <v>18</v>
      </c>
      <c r="P369" s="2" t="s">
        <v>19</v>
      </c>
    </row>
    <row r="370" spans="1:16" x14ac:dyDescent="0.25">
      <c r="A370" s="3" t="s">
        <v>657</v>
      </c>
      <c r="B370" s="4">
        <v>45404</v>
      </c>
      <c r="C370" s="3" t="s">
        <v>263</v>
      </c>
      <c r="D370" s="3" t="s">
        <v>76</v>
      </c>
      <c r="E370" s="3" t="s">
        <v>77</v>
      </c>
      <c r="F370" s="3" t="s">
        <v>36</v>
      </c>
      <c r="G370" s="3" t="s">
        <v>121</v>
      </c>
      <c r="H370" s="3">
        <v>96587.92</v>
      </c>
      <c r="I370" s="3">
        <v>5</v>
      </c>
      <c r="J370" s="3">
        <v>0</v>
      </c>
      <c r="K370" s="9">
        <f t="shared" si="15"/>
        <v>482939.6</v>
      </c>
      <c r="L370" s="9">
        <f t="shared" si="16"/>
        <v>0</v>
      </c>
      <c r="M370" s="10">
        <f t="shared" si="17"/>
        <v>482939.6</v>
      </c>
      <c r="N370" s="3" t="s">
        <v>33</v>
      </c>
      <c r="O370" s="3" t="s">
        <v>18</v>
      </c>
      <c r="P370" s="3" t="s">
        <v>19</v>
      </c>
    </row>
    <row r="371" spans="1:16" x14ac:dyDescent="0.25">
      <c r="A371" s="2" t="s">
        <v>658</v>
      </c>
      <c r="B371" s="4">
        <v>45405</v>
      </c>
      <c r="C371" s="2" t="s">
        <v>446</v>
      </c>
      <c r="D371" s="2" t="s">
        <v>83</v>
      </c>
      <c r="E371" s="2" t="s">
        <v>84</v>
      </c>
      <c r="F371" s="2" t="s">
        <v>31</v>
      </c>
      <c r="G371" s="2" t="s">
        <v>70</v>
      </c>
      <c r="H371" s="2">
        <v>546.49</v>
      </c>
      <c r="I371" s="2">
        <v>2</v>
      </c>
      <c r="J371" s="2">
        <v>10</v>
      </c>
      <c r="K371" s="9">
        <f t="shared" si="15"/>
        <v>1092.98</v>
      </c>
      <c r="L371" s="9">
        <f t="shared" si="16"/>
        <v>109.29799999999999</v>
      </c>
      <c r="M371" s="10">
        <f t="shared" si="17"/>
        <v>983.68200000000002</v>
      </c>
      <c r="N371" s="2" t="s">
        <v>26</v>
      </c>
      <c r="O371" s="2" t="s">
        <v>18</v>
      </c>
      <c r="P371" s="2" t="s">
        <v>60</v>
      </c>
    </row>
    <row r="372" spans="1:16" x14ac:dyDescent="0.25">
      <c r="A372" s="3" t="s">
        <v>659</v>
      </c>
      <c r="B372" s="4">
        <v>45406</v>
      </c>
      <c r="C372" s="3" t="s">
        <v>660</v>
      </c>
      <c r="D372" s="3" t="s">
        <v>87</v>
      </c>
      <c r="E372" s="3" t="s">
        <v>88</v>
      </c>
      <c r="F372" s="3" t="s">
        <v>72</v>
      </c>
      <c r="G372" s="3" t="s">
        <v>102</v>
      </c>
      <c r="H372" s="3">
        <v>686.26</v>
      </c>
      <c r="I372" s="3">
        <v>4</v>
      </c>
      <c r="J372" s="3">
        <v>0</v>
      </c>
      <c r="K372" s="9">
        <f t="shared" si="15"/>
        <v>2745.04</v>
      </c>
      <c r="L372" s="9">
        <f t="shared" si="16"/>
        <v>0</v>
      </c>
      <c r="M372" s="10">
        <f t="shared" si="17"/>
        <v>2745.04</v>
      </c>
      <c r="N372" s="3" t="s">
        <v>26</v>
      </c>
      <c r="O372" s="3" t="s">
        <v>18</v>
      </c>
      <c r="P372" s="3" t="s">
        <v>40</v>
      </c>
    </row>
    <row r="373" spans="1:16" x14ac:dyDescent="0.25">
      <c r="A373" s="2" t="s">
        <v>661</v>
      </c>
      <c r="B373" s="4">
        <v>45407</v>
      </c>
      <c r="C373" s="2" t="s">
        <v>185</v>
      </c>
      <c r="D373" s="2" t="s">
        <v>51</v>
      </c>
      <c r="E373" s="2" t="s">
        <v>14</v>
      </c>
      <c r="F373" s="2" t="s">
        <v>72</v>
      </c>
      <c r="G373" s="2" t="s">
        <v>102</v>
      </c>
      <c r="H373" s="2">
        <v>659.92</v>
      </c>
      <c r="I373" s="2">
        <v>2</v>
      </c>
      <c r="J373" s="2">
        <v>5</v>
      </c>
      <c r="K373" s="9">
        <f t="shared" si="15"/>
        <v>1319.84</v>
      </c>
      <c r="L373" s="9">
        <f t="shared" si="16"/>
        <v>65.992000000000004</v>
      </c>
      <c r="M373" s="10">
        <f t="shared" si="17"/>
        <v>1253.848</v>
      </c>
      <c r="N373" s="2" t="s">
        <v>68</v>
      </c>
      <c r="O373" s="2" t="s">
        <v>18</v>
      </c>
      <c r="P373" s="2" t="s">
        <v>19</v>
      </c>
    </row>
    <row r="374" spans="1:16" x14ac:dyDescent="0.25">
      <c r="A374" s="3" t="s">
        <v>662</v>
      </c>
      <c r="B374" s="4">
        <v>45408</v>
      </c>
      <c r="C374" s="3" t="s">
        <v>663</v>
      </c>
      <c r="D374" s="3" t="s">
        <v>65</v>
      </c>
      <c r="E374" s="3" t="s">
        <v>66</v>
      </c>
      <c r="F374" s="3" t="s">
        <v>43</v>
      </c>
      <c r="G374" s="3" t="s">
        <v>145</v>
      </c>
      <c r="H374" s="3">
        <v>11719.96</v>
      </c>
      <c r="I374" s="3">
        <v>1</v>
      </c>
      <c r="J374" s="3">
        <v>0</v>
      </c>
      <c r="K374" s="9">
        <f t="shared" si="15"/>
        <v>11719.96</v>
      </c>
      <c r="L374" s="9">
        <f t="shared" si="16"/>
        <v>0</v>
      </c>
      <c r="M374" s="10">
        <f t="shared" si="17"/>
        <v>11719.96</v>
      </c>
      <c r="N374" s="3" t="s">
        <v>26</v>
      </c>
      <c r="O374" s="3" t="s">
        <v>27</v>
      </c>
      <c r="P374" s="3" t="s">
        <v>34</v>
      </c>
    </row>
    <row r="375" spans="1:16" x14ac:dyDescent="0.25">
      <c r="A375" s="2" t="s">
        <v>664</v>
      </c>
      <c r="B375" s="4">
        <v>45409</v>
      </c>
      <c r="C375" s="2" t="s">
        <v>665</v>
      </c>
      <c r="D375" s="2" t="s">
        <v>51</v>
      </c>
      <c r="E375" s="2" t="s">
        <v>14</v>
      </c>
      <c r="F375" s="2" t="s">
        <v>36</v>
      </c>
      <c r="G375" s="2" t="s">
        <v>121</v>
      </c>
      <c r="H375" s="2">
        <v>85578.35</v>
      </c>
      <c r="I375" s="2">
        <v>2</v>
      </c>
      <c r="J375" s="2">
        <v>0</v>
      </c>
      <c r="K375" s="9">
        <f t="shared" si="15"/>
        <v>171156.7</v>
      </c>
      <c r="L375" s="9">
        <f t="shared" si="16"/>
        <v>0</v>
      </c>
      <c r="M375" s="10">
        <f t="shared" si="17"/>
        <v>171156.7</v>
      </c>
      <c r="N375" s="2" t="s">
        <v>38</v>
      </c>
      <c r="O375" s="2" t="s">
        <v>18</v>
      </c>
      <c r="P375" s="2" t="s">
        <v>53</v>
      </c>
    </row>
    <row r="376" spans="1:16" x14ac:dyDescent="0.25">
      <c r="A376" s="3" t="s">
        <v>666</v>
      </c>
      <c r="B376" s="4">
        <v>45410</v>
      </c>
      <c r="C376" s="3" t="s">
        <v>334</v>
      </c>
      <c r="D376" s="3" t="s">
        <v>29</v>
      </c>
      <c r="E376" s="3" t="s">
        <v>30</v>
      </c>
      <c r="F376" s="3" t="s">
        <v>31</v>
      </c>
      <c r="G376" s="3" t="s">
        <v>186</v>
      </c>
      <c r="H376" s="3">
        <v>730.45</v>
      </c>
      <c r="I376" s="3">
        <v>1</v>
      </c>
      <c r="J376" s="3">
        <v>10</v>
      </c>
      <c r="K376" s="9">
        <f t="shared" si="15"/>
        <v>730.45</v>
      </c>
      <c r="L376" s="9">
        <f t="shared" si="16"/>
        <v>73.045000000000002</v>
      </c>
      <c r="M376" s="10">
        <f t="shared" si="17"/>
        <v>657.40500000000009</v>
      </c>
      <c r="N376" s="3" t="s">
        <v>38</v>
      </c>
      <c r="O376" s="3" t="s">
        <v>18</v>
      </c>
      <c r="P376" s="3" t="s">
        <v>19</v>
      </c>
    </row>
    <row r="377" spans="1:16" x14ac:dyDescent="0.25">
      <c r="A377" s="2" t="s">
        <v>667</v>
      </c>
      <c r="B377" s="4">
        <v>45411</v>
      </c>
      <c r="C377" s="2" t="s">
        <v>668</v>
      </c>
      <c r="D377" s="2" t="s">
        <v>65</v>
      </c>
      <c r="E377" s="2" t="s">
        <v>66</v>
      </c>
      <c r="F377" s="2" t="s">
        <v>15</v>
      </c>
      <c r="G377" s="2" t="s">
        <v>163</v>
      </c>
      <c r="H377" s="2">
        <v>2421.37</v>
      </c>
      <c r="I377" s="2">
        <v>4</v>
      </c>
      <c r="J377" s="2">
        <v>0</v>
      </c>
      <c r="K377" s="9">
        <f t="shared" si="15"/>
        <v>9685.48</v>
      </c>
      <c r="L377" s="9">
        <f t="shared" si="16"/>
        <v>0</v>
      </c>
      <c r="M377" s="10">
        <f t="shared" si="17"/>
        <v>9685.48</v>
      </c>
      <c r="N377" s="2" t="s">
        <v>26</v>
      </c>
      <c r="O377" s="2" t="s">
        <v>18</v>
      </c>
      <c r="P377" s="2" t="s">
        <v>60</v>
      </c>
    </row>
    <row r="378" spans="1:16" x14ac:dyDescent="0.25">
      <c r="A378" s="3" t="s">
        <v>669</v>
      </c>
      <c r="B378" s="4">
        <v>45412</v>
      </c>
      <c r="C378" s="3" t="s">
        <v>670</v>
      </c>
      <c r="D378" s="3" t="s">
        <v>100</v>
      </c>
      <c r="E378" s="3" t="s">
        <v>88</v>
      </c>
      <c r="F378" s="3" t="s">
        <v>24</v>
      </c>
      <c r="G378" s="3" t="s">
        <v>170</v>
      </c>
      <c r="H378" s="3">
        <v>1085.26</v>
      </c>
      <c r="I378" s="3">
        <v>5</v>
      </c>
      <c r="J378" s="3">
        <v>5</v>
      </c>
      <c r="K378" s="9">
        <f t="shared" si="15"/>
        <v>5426.3</v>
      </c>
      <c r="L378" s="9">
        <f t="shared" si="16"/>
        <v>271.315</v>
      </c>
      <c r="M378" s="10">
        <f t="shared" si="17"/>
        <v>5154.9850000000006</v>
      </c>
      <c r="N378" s="3" t="s">
        <v>68</v>
      </c>
      <c r="O378" s="3" t="s">
        <v>18</v>
      </c>
      <c r="P378" s="3" t="s">
        <v>40</v>
      </c>
    </row>
    <row r="379" spans="1:16" x14ac:dyDescent="0.25">
      <c r="A379" s="2" t="s">
        <v>671</v>
      </c>
      <c r="B379" s="4">
        <v>45413</v>
      </c>
      <c r="C379" s="2" t="s">
        <v>118</v>
      </c>
      <c r="D379" s="2" t="s">
        <v>83</v>
      </c>
      <c r="E379" s="2" t="s">
        <v>84</v>
      </c>
      <c r="F379" s="2" t="s">
        <v>110</v>
      </c>
      <c r="G379" s="2" t="s">
        <v>207</v>
      </c>
      <c r="H379" s="2">
        <v>8659.67</v>
      </c>
      <c r="I379" s="2">
        <v>1</v>
      </c>
      <c r="J379" s="2">
        <v>0</v>
      </c>
      <c r="K379" s="9">
        <f t="shared" si="15"/>
        <v>8659.67</v>
      </c>
      <c r="L379" s="9">
        <f t="shared" si="16"/>
        <v>0</v>
      </c>
      <c r="M379" s="10">
        <f t="shared" si="17"/>
        <v>8659.67</v>
      </c>
      <c r="N379" s="2" t="s">
        <v>68</v>
      </c>
      <c r="O379" s="2" t="s">
        <v>27</v>
      </c>
      <c r="P379" s="2" t="s">
        <v>40</v>
      </c>
    </row>
    <row r="380" spans="1:16" x14ac:dyDescent="0.25">
      <c r="A380" s="3" t="s">
        <v>672</v>
      </c>
      <c r="B380" s="4">
        <v>45414</v>
      </c>
      <c r="C380" s="3" t="s">
        <v>406</v>
      </c>
      <c r="D380" s="3" t="s">
        <v>65</v>
      </c>
      <c r="E380" s="3" t="s">
        <v>66</v>
      </c>
      <c r="F380" s="3" t="s">
        <v>43</v>
      </c>
      <c r="G380" s="3" t="s">
        <v>145</v>
      </c>
      <c r="H380" s="3">
        <v>11096.63</v>
      </c>
      <c r="I380" s="3">
        <v>3</v>
      </c>
      <c r="J380" s="3">
        <v>0</v>
      </c>
      <c r="K380" s="9">
        <f t="shared" si="15"/>
        <v>33289.89</v>
      </c>
      <c r="L380" s="9">
        <f t="shared" si="16"/>
        <v>0</v>
      </c>
      <c r="M380" s="10">
        <f t="shared" si="17"/>
        <v>33289.89</v>
      </c>
      <c r="N380" s="3" t="s">
        <v>26</v>
      </c>
      <c r="O380" s="3" t="s">
        <v>18</v>
      </c>
      <c r="P380" s="3" t="s">
        <v>40</v>
      </c>
    </row>
    <row r="381" spans="1:16" x14ac:dyDescent="0.25">
      <c r="A381" s="2" t="s">
        <v>673</v>
      </c>
      <c r="B381" s="4">
        <v>45415</v>
      </c>
      <c r="C381" s="2" t="s">
        <v>674</v>
      </c>
      <c r="D381" s="2" t="s">
        <v>22</v>
      </c>
      <c r="E381" s="2" t="s">
        <v>23</v>
      </c>
      <c r="F381" s="2" t="s">
        <v>15</v>
      </c>
      <c r="G381" s="2" t="s">
        <v>56</v>
      </c>
      <c r="H381" s="2">
        <v>1717.19</v>
      </c>
      <c r="I381" s="2">
        <v>5</v>
      </c>
      <c r="J381" s="2">
        <v>10</v>
      </c>
      <c r="K381" s="9">
        <f t="shared" si="15"/>
        <v>8585.9500000000007</v>
      </c>
      <c r="L381" s="9">
        <f t="shared" si="16"/>
        <v>858.59500000000003</v>
      </c>
      <c r="M381" s="10">
        <f t="shared" si="17"/>
        <v>7727.3550000000005</v>
      </c>
      <c r="N381" s="2" t="s">
        <v>26</v>
      </c>
      <c r="O381" s="2" t="s">
        <v>18</v>
      </c>
      <c r="P381" s="2" t="s">
        <v>40</v>
      </c>
    </row>
    <row r="382" spans="1:16" x14ac:dyDescent="0.25">
      <c r="A382" s="3" t="s">
        <v>675</v>
      </c>
      <c r="B382" s="4">
        <v>45416</v>
      </c>
      <c r="C382" s="3" t="s">
        <v>205</v>
      </c>
      <c r="D382" s="3" t="s">
        <v>22</v>
      </c>
      <c r="E382" s="3" t="s">
        <v>23</v>
      </c>
      <c r="F382" s="3" t="s">
        <v>31</v>
      </c>
      <c r="G382" s="3" t="s">
        <v>32</v>
      </c>
      <c r="H382" s="3">
        <v>2642.38</v>
      </c>
      <c r="I382" s="3">
        <v>4</v>
      </c>
      <c r="J382" s="3">
        <v>10</v>
      </c>
      <c r="K382" s="9">
        <f t="shared" si="15"/>
        <v>10569.52</v>
      </c>
      <c r="L382" s="9">
        <f t="shared" si="16"/>
        <v>1056.9520000000002</v>
      </c>
      <c r="M382" s="10">
        <f t="shared" si="17"/>
        <v>9512.5679999999993</v>
      </c>
      <c r="N382" s="3" t="s">
        <v>17</v>
      </c>
      <c r="O382" s="3" t="s">
        <v>18</v>
      </c>
      <c r="P382" s="3" t="s">
        <v>34</v>
      </c>
    </row>
    <row r="383" spans="1:16" x14ac:dyDescent="0.25">
      <c r="A383" s="2" t="s">
        <v>676</v>
      </c>
      <c r="B383" s="4">
        <v>45417</v>
      </c>
      <c r="C383" s="2" t="s">
        <v>323</v>
      </c>
      <c r="D383" s="2" t="s">
        <v>65</v>
      </c>
      <c r="E383" s="2" t="s">
        <v>66</v>
      </c>
      <c r="F383" s="2" t="s">
        <v>31</v>
      </c>
      <c r="G383" s="2" t="s">
        <v>186</v>
      </c>
      <c r="H383" s="2">
        <v>726.3</v>
      </c>
      <c r="I383" s="2">
        <v>4</v>
      </c>
      <c r="J383" s="2">
        <v>0</v>
      </c>
      <c r="K383" s="9">
        <f t="shared" si="15"/>
        <v>2905.2</v>
      </c>
      <c r="L383" s="9">
        <f t="shared" si="16"/>
        <v>0</v>
      </c>
      <c r="M383" s="10">
        <f t="shared" si="17"/>
        <v>2905.2</v>
      </c>
      <c r="N383" s="2" t="s">
        <v>33</v>
      </c>
      <c r="O383" s="2" t="s">
        <v>18</v>
      </c>
      <c r="P383" s="2" t="s">
        <v>53</v>
      </c>
    </row>
    <row r="384" spans="1:16" x14ac:dyDescent="0.25">
      <c r="A384" s="3" t="s">
        <v>677</v>
      </c>
      <c r="B384" s="4">
        <v>45418</v>
      </c>
      <c r="C384" s="3" t="s">
        <v>574</v>
      </c>
      <c r="D384" s="3" t="s">
        <v>22</v>
      </c>
      <c r="E384" s="3" t="s">
        <v>23</v>
      </c>
      <c r="F384" s="3" t="s">
        <v>36</v>
      </c>
      <c r="G384" s="3" t="s">
        <v>113</v>
      </c>
      <c r="H384" s="3">
        <v>124056.53</v>
      </c>
      <c r="I384" s="3">
        <v>2</v>
      </c>
      <c r="J384" s="3">
        <v>0</v>
      </c>
      <c r="K384" s="9">
        <f t="shared" si="15"/>
        <v>248113.06</v>
      </c>
      <c r="L384" s="9">
        <f t="shared" si="16"/>
        <v>0</v>
      </c>
      <c r="M384" s="10">
        <f t="shared" si="17"/>
        <v>248113.06</v>
      </c>
      <c r="N384" s="3" t="s">
        <v>17</v>
      </c>
      <c r="O384" s="3" t="s">
        <v>18</v>
      </c>
      <c r="P384" s="3" t="s">
        <v>40</v>
      </c>
    </row>
    <row r="385" spans="1:16" x14ac:dyDescent="0.25">
      <c r="A385" s="2" t="s">
        <v>678</v>
      </c>
      <c r="B385" s="4">
        <v>45419</v>
      </c>
      <c r="C385" s="2" t="s">
        <v>246</v>
      </c>
      <c r="D385" s="2" t="s">
        <v>76</v>
      </c>
      <c r="E385" s="2" t="s">
        <v>77</v>
      </c>
      <c r="F385" s="2" t="s">
        <v>31</v>
      </c>
      <c r="G385" s="2" t="s">
        <v>116</v>
      </c>
      <c r="H385" s="2">
        <v>1191.43</v>
      </c>
      <c r="I385" s="2">
        <v>1</v>
      </c>
      <c r="J385" s="2">
        <v>0</v>
      </c>
      <c r="K385" s="9">
        <f t="shared" si="15"/>
        <v>1191.43</v>
      </c>
      <c r="L385" s="9">
        <f t="shared" si="16"/>
        <v>0</v>
      </c>
      <c r="M385" s="10">
        <f t="shared" si="17"/>
        <v>1191.43</v>
      </c>
      <c r="N385" s="2" t="s">
        <v>68</v>
      </c>
      <c r="O385" s="2" t="s">
        <v>39</v>
      </c>
      <c r="P385" s="2" t="s">
        <v>34</v>
      </c>
    </row>
    <row r="386" spans="1:16" x14ac:dyDescent="0.25">
      <c r="A386" s="3" t="s">
        <v>679</v>
      </c>
      <c r="B386" s="4">
        <v>45420</v>
      </c>
      <c r="C386" s="3" t="s">
        <v>680</v>
      </c>
      <c r="D386" s="3" t="s">
        <v>65</v>
      </c>
      <c r="E386" s="3" t="s">
        <v>66</v>
      </c>
      <c r="F386" s="3" t="s">
        <v>15</v>
      </c>
      <c r="G386" s="3" t="s">
        <v>198</v>
      </c>
      <c r="H386" s="3">
        <v>735.2</v>
      </c>
      <c r="I386" s="3">
        <v>1</v>
      </c>
      <c r="J386" s="3">
        <v>0</v>
      </c>
      <c r="K386" s="9">
        <f t="shared" ref="K386:K449" si="18">I386*H386</f>
        <v>735.2</v>
      </c>
      <c r="L386" s="9">
        <f t="shared" ref="L386:L449" si="19">K386*J386/100</f>
        <v>0</v>
      </c>
      <c r="M386" s="10">
        <f t="shared" ref="M386:M449" si="20">K386-L386</f>
        <v>735.2</v>
      </c>
      <c r="N386" s="3" t="s">
        <v>26</v>
      </c>
      <c r="O386" s="3" t="s">
        <v>27</v>
      </c>
      <c r="P386" s="3" t="s">
        <v>53</v>
      </c>
    </row>
    <row r="387" spans="1:16" x14ac:dyDescent="0.25">
      <c r="A387" s="2" t="s">
        <v>681</v>
      </c>
      <c r="B387" s="4">
        <v>45421</v>
      </c>
      <c r="C387" s="2" t="s">
        <v>532</v>
      </c>
      <c r="D387" s="2" t="s">
        <v>29</v>
      </c>
      <c r="E387" s="2" t="s">
        <v>30</v>
      </c>
      <c r="F387" s="2" t="s">
        <v>31</v>
      </c>
      <c r="G387" s="2" t="s">
        <v>32</v>
      </c>
      <c r="H387" s="2">
        <v>2436.31</v>
      </c>
      <c r="I387" s="2">
        <v>3</v>
      </c>
      <c r="J387" s="2">
        <v>5</v>
      </c>
      <c r="K387" s="9">
        <f t="shared" si="18"/>
        <v>7308.93</v>
      </c>
      <c r="L387" s="9">
        <f t="shared" si="19"/>
        <v>365.44650000000001</v>
      </c>
      <c r="M387" s="10">
        <f t="shared" si="20"/>
        <v>6943.4835000000003</v>
      </c>
      <c r="N387" s="2" t="s">
        <v>68</v>
      </c>
      <c r="O387" s="2" t="s">
        <v>18</v>
      </c>
      <c r="P387" s="2" t="s">
        <v>60</v>
      </c>
    </row>
    <row r="388" spans="1:16" x14ac:dyDescent="0.25">
      <c r="A388" s="3" t="s">
        <v>682</v>
      </c>
      <c r="B388" s="4">
        <v>45422</v>
      </c>
      <c r="C388" s="3" t="s">
        <v>683</v>
      </c>
      <c r="D388" s="3" t="s">
        <v>76</v>
      </c>
      <c r="E388" s="3" t="s">
        <v>77</v>
      </c>
      <c r="F388" s="3" t="s">
        <v>72</v>
      </c>
      <c r="G388" s="3" t="s">
        <v>129</v>
      </c>
      <c r="H388" s="3">
        <v>1853.58</v>
      </c>
      <c r="I388" s="3">
        <v>2</v>
      </c>
      <c r="J388" s="3">
        <v>0</v>
      </c>
      <c r="K388" s="9">
        <f t="shared" si="18"/>
        <v>3707.16</v>
      </c>
      <c r="L388" s="9">
        <f t="shared" si="19"/>
        <v>0</v>
      </c>
      <c r="M388" s="10">
        <f t="shared" si="20"/>
        <v>3707.16</v>
      </c>
      <c r="N388" s="3" t="s">
        <v>26</v>
      </c>
      <c r="O388" s="3" t="s">
        <v>27</v>
      </c>
      <c r="P388" s="3" t="s">
        <v>40</v>
      </c>
    </row>
    <row r="389" spans="1:16" x14ac:dyDescent="0.25">
      <c r="A389" s="2" t="s">
        <v>684</v>
      </c>
      <c r="B389" s="4">
        <v>45423</v>
      </c>
      <c r="C389" s="2" t="s">
        <v>139</v>
      </c>
      <c r="D389" s="2" t="s">
        <v>29</v>
      </c>
      <c r="E389" s="2" t="s">
        <v>30</v>
      </c>
      <c r="F389" s="2" t="s">
        <v>43</v>
      </c>
      <c r="G389" s="2" t="s">
        <v>89</v>
      </c>
      <c r="H389" s="2">
        <v>4660.55</v>
      </c>
      <c r="I389" s="2">
        <v>2</v>
      </c>
      <c r="J389" s="2">
        <v>10</v>
      </c>
      <c r="K389" s="9">
        <f t="shared" si="18"/>
        <v>9321.1</v>
      </c>
      <c r="L389" s="9">
        <f t="shared" si="19"/>
        <v>932.11</v>
      </c>
      <c r="M389" s="10">
        <f t="shared" si="20"/>
        <v>8388.99</v>
      </c>
      <c r="N389" s="2" t="s">
        <v>33</v>
      </c>
      <c r="O389" s="2" t="s">
        <v>39</v>
      </c>
      <c r="P389" s="2" t="s">
        <v>34</v>
      </c>
    </row>
    <row r="390" spans="1:16" x14ac:dyDescent="0.25">
      <c r="A390" s="3" t="s">
        <v>685</v>
      </c>
      <c r="B390" s="4">
        <v>45424</v>
      </c>
      <c r="C390" s="3" t="s">
        <v>574</v>
      </c>
      <c r="D390" s="3" t="s">
        <v>100</v>
      </c>
      <c r="E390" s="3" t="s">
        <v>88</v>
      </c>
      <c r="F390" s="3" t="s">
        <v>43</v>
      </c>
      <c r="G390" s="3" t="s">
        <v>145</v>
      </c>
      <c r="H390" s="3">
        <v>11071.05</v>
      </c>
      <c r="I390" s="3">
        <v>4</v>
      </c>
      <c r="J390" s="3">
        <v>15</v>
      </c>
      <c r="K390" s="9">
        <f t="shared" si="18"/>
        <v>44284.2</v>
      </c>
      <c r="L390" s="9">
        <f t="shared" si="19"/>
        <v>6642.63</v>
      </c>
      <c r="M390" s="10">
        <f t="shared" si="20"/>
        <v>37641.57</v>
      </c>
      <c r="N390" s="3" t="s">
        <v>68</v>
      </c>
      <c r="O390" s="3" t="s">
        <v>18</v>
      </c>
      <c r="P390" s="3" t="s">
        <v>34</v>
      </c>
    </row>
    <row r="391" spans="1:16" x14ac:dyDescent="0.25">
      <c r="A391" s="2" t="s">
        <v>686</v>
      </c>
      <c r="B391" s="4">
        <v>45425</v>
      </c>
      <c r="C391" s="2" t="s">
        <v>687</v>
      </c>
      <c r="D391" s="2" t="s">
        <v>83</v>
      </c>
      <c r="E391" s="2" t="s">
        <v>84</v>
      </c>
      <c r="F391" s="2" t="s">
        <v>72</v>
      </c>
      <c r="G391" s="2" t="s">
        <v>73</v>
      </c>
      <c r="H391" s="2">
        <v>365.66</v>
      </c>
      <c r="I391" s="2">
        <v>2</v>
      </c>
      <c r="J391" s="2">
        <v>15</v>
      </c>
      <c r="K391" s="9">
        <f t="shared" si="18"/>
        <v>731.32</v>
      </c>
      <c r="L391" s="9">
        <f t="shared" si="19"/>
        <v>109.69800000000001</v>
      </c>
      <c r="M391" s="10">
        <f t="shared" si="20"/>
        <v>621.62200000000007</v>
      </c>
      <c r="N391" s="2" t="s">
        <v>38</v>
      </c>
      <c r="O391" s="2" t="s">
        <v>52</v>
      </c>
      <c r="P391" s="2" t="s">
        <v>19</v>
      </c>
    </row>
    <row r="392" spans="1:16" x14ac:dyDescent="0.25">
      <c r="A392" s="3" t="s">
        <v>688</v>
      </c>
      <c r="B392" s="4">
        <v>45426</v>
      </c>
      <c r="C392" s="3" t="s">
        <v>583</v>
      </c>
      <c r="D392" s="3" t="s">
        <v>22</v>
      </c>
      <c r="E392" s="3" t="s">
        <v>23</v>
      </c>
      <c r="F392" s="3" t="s">
        <v>43</v>
      </c>
      <c r="G392" s="3" t="s">
        <v>127</v>
      </c>
      <c r="H392" s="3">
        <v>5480.12</v>
      </c>
      <c r="I392" s="3">
        <v>4</v>
      </c>
      <c r="J392" s="3">
        <v>0</v>
      </c>
      <c r="K392" s="9">
        <f t="shared" si="18"/>
        <v>21920.48</v>
      </c>
      <c r="L392" s="9">
        <f t="shared" si="19"/>
        <v>0</v>
      </c>
      <c r="M392" s="10">
        <f t="shared" si="20"/>
        <v>21920.48</v>
      </c>
      <c r="N392" s="3" t="s">
        <v>17</v>
      </c>
      <c r="O392" s="3" t="s">
        <v>52</v>
      </c>
      <c r="P392" s="3" t="s">
        <v>40</v>
      </c>
    </row>
    <row r="393" spans="1:16" x14ac:dyDescent="0.25">
      <c r="A393" s="2" t="s">
        <v>689</v>
      </c>
      <c r="B393" s="4">
        <v>45427</v>
      </c>
      <c r="C393" s="2" t="s">
        <v>347</v>
      </c>
      <c r="D393" s="2" t="s">
        <v>83</v>
      </c>
      <c r="E393" s="2" t="s">
        <v>84</v>
      </c>
      <c r="F393" s="2" t="s">
        <v>72</v>
      </c>
      <c r="G393" s="2" t="s">
        <v>129</v>
      </c>
      <c r="H393" s="2">
        <v>1926.67</v>
      </c>
      <c r="I393" s="2">
        <v>2</v>
      </c>
      <c r="J393" s="2">
        <v>0</v>
      </c>
      <c r="K393" s="9">
        <f t="shared" si="18"/>
        <v>3853.34</v>
      </c>
      <c r="L393" s="9">
        <f t="shared" si="19"/>
        <v>0</v>
      </c>
      <c r="M393" s="10">
        <f t="shared" si="20"/>
        <v>3853.34</v>
      </c>
      <c r="N393" s="2" t="s">
        <v>33</v>
      </c>
      <c r="O393" s="2" t="s">
        <v>18</v>
      </c>
      <c r="P393" s="2" t="s">
        <v>53</v>
      </c>
    </row>
    <row r="394" spans="1:16" x14ac:dyDescent="0.25">
      <c r="A394" s="3" t="s">
        <v>690</v>
      </c>
      <c r="B394" s="4">
        <v>45428</v>
      </c>
      <c r="C394" s="3" t="s">
        <v>474</v>
      </c>
      <c r="D394" s="3" t="s">
        <v>83</v>
      </c>
      <c r="E394" s="3" t="s">
        <v>84</v>
      </c>
      <c r="F394" s="3" t="s">
        <v>24</v>
      </c>
      <c r="G394" s="3" t="s">
        <v>59</v>
      </c>
      <c r="H394" s="3">
        <v>5143.32</v>
      </c>
      <c r="I394" s="3">
        <v>4</v>
      </c>
      <c r="J394" s="3">
        <v>10</v>
      </c>
      <c r="K394" s="9">
        <f t="shared" si="18"/>
        <v>20573.28</v>
      </c>
      <c r="L394" s="9">
        <f t="shared" si="19"/>
        <v>2057.328</v>
      </c>
      <c r="M394" s="10">
        <f t="shared" si="20"/>
        <v>18515.951999999997</v>
      </c>
      <c r="N394" s="3" t="s">
        <v>68</v>
      </c>
      <c r="O394" s="3" t="s">
        <v>18</v>
      </c>
      <c r="P394" s="3" t="s">
        <v>60</v>
      </c>
    </row>
    <row r="395" spans="1:16" x14ac:dyDescent="0.25">
      <c r="A395" s="2" t="s">
        <v>691</v>
      </c>
      <c r="B395" s="4">
        <v>45429</v>
      </c>
      <c r="C395" s="2" t="s">
        <v>263</v>
      </c>
      <c r="D395" s="2" t="s">
        <v>76</v>
      </c>
      <c r="E395" s="2" t="s">
        <v>77</v>
      </c>
      <c r="F395" s="2" t="s">
        <v>43</v>
      </c>
      <c r="G395" s="2" t="s">
        <v>105</v>
      </c>
      <c r="H395" s="2">
        <v>2586.48</v>
      </c>
      <c r="I395" s="2">
        <v>4</v>
      </c>
      <c r="J395" s="2">
        <v>5</v>
      </c>
      <c r="K395" s="9">
        <f t="shared" si="18"/>
        <v>10345.92</v>
      </c>
      <c r="L395" s="9">
        <f t="shared" si="19"/>
        <v>517.29599999999994</v>
      </c>
      <c r="M395" s="10">
        <f t="shared" si="20"/>
        <v>9828.6239999999998</v>
      </c>
      <c r="N395" s="2" t="s">
        <v>68</v>
      </c>
      <c r="O395" s="2" t="s">
        <v>18</v>
      </c>
      <c r="P395" s="2" t="s">
        <v>60</v>
      </c>
    </row>
    <row r="396" spans="1:16" x14ac:dyDescent="0.25">
      <c r="A396" s="3" t="s">
        <v>692</v>
      </c>
      <c r="B396" s="4">
        <v>45430</v>
      </c>
      <c r="C396" s="3" t="s">
        <v>431</v>
      </c>
      <c r="D396" s="3" t="s">
        <v>83</v>
      </c>
      <c r="E396" s="3" t="s">
        <v>84</v>
      </c>
      <c r="F396" s="3" t="s">
        <v>36</v>
      </c>
      <c r="G396" s="3" t="s">
        <v>78</v>
      </c>
      <c r="H396" s="3">
        <v>89960.320000000007</v>
      </c>
      <c r="I396" s="3">
        <v>5</v>
      </c>
      <c r="J396" s="3">
        <v>0</v>
      </c>
      <c r="K396" s="9">
        <f t="shared" si="18"/>
        <v>449801.60000000003</v>
      </c>
      <c r="L396" s="9">
        <f t="shared" si="19"/>
        <v>0</v>
      </c>
      <c r="M396" s="10">
        <f t="shared" si="20"/>
        <v>449801.60000000003</v>
      </c>
      <c r="N396" s="3" t="s">
        <v>38</v>
      </c>
      <c r="O396" s="3" t="s">
        <v>52</v>
      </c>
      <c r="P396" s="3" t="s">
        <v>19</v>
      </c>
    </row>
    <row r="397" spans="1:16" x14ac:dyDescent="0.25">
      <c r="A397" s="2" t="s">
        <v>693</v>
      </c>
      <c r="B397" s="4">
        <v>45431</v>
      </c>
      <c r="C397" s="2" t="s">
        <v>97</v>
      </c>
      <c r="D397" s="2" t="s">
        <v>76</v>
      </c>
      <c r="E397" s="2" t="s">
        <v>77</v>
      </c>
      <c r="F397" s="2" t="s">
        <v>31</v>
      </c>
      <c r="G397" s="2" t="s">
        <v>116</v>
      </c>
      <c r="H397" s="2">
        <v>1278.07</v>
      </c>
      <c r="I397" s="2">
        <v>2</v>
      </c>
      <c r="J397" s="2">
        <v>10</v>
      </c>
      <c r="K397" s="9">
        <f t="shared" si="18"/>
        <v>2556.14</v>
      </c>
      <c r="L397" s="9">
        <f t="shared" si="19"/>
        <v>255.61399999999998</v>
      </c>
      <c r="M397" s="10">
        <f t="shared" si="20"/>
        <v>2300.5259999999998</v>
      </c>
      <c r="N397" s="2" t="s">
        <v>38</v>
      </c>
      <c r="O397" s="2" t="s">
        <v>52</v>
      </c>
      <c r="P397" s="2" t="s">
        <v>19</v>
      </c>
    </row>
    <row r="398" spans="1:16" x14ac:dyDescent="0.25">
      <c r="A398" s="3" t="s">
        <v>694</v>
      </c>
      <c r="B398" s="4">
        <v>45432</v>
      </c>
      <c r="C398" s="3" t="s">
        <v>353</v>
      </c>
      <c r="D398" s="3" t="s">
        <v>87</v>
      </c>
      <c r="E398" s="3" t="s">
        <v>88</v>
      </c>
      <c r="F398" s="3" t="s">
        <v>15</v>
      </c>
      <c r="G398" s="3" t="s">
        <v>95</v>
      </c>
      <c r="H398" s="3">
        <v>1107.3699999999999</v>
      </c>
      <c r="I398" s="3">
        <v>2</v>
      </c>
      <c r="J398" s="3">
        <v>10</v>
      </c>
      <c r="K398" s="9">
        <f t="shared" si="18"/>
        <v>2214.7399999999998</v>
      </c>
      <c r="L398" s="9">
        <f t="shared" si="19"/>
        <v>221.47399999999999</v>
      </c>
      <c r="M398" s="10">
        <f t="shared" si="20"/>
        <v>1993.2659999999998</v>
      </c>
      <c r="N398" s="3" t="s">
        <v>38</v>
      </c>
      <c r="O398" s="3" t="s">
        <v>18</v>
      </c>
      <c r="P398" s="3" t="s">
        <v>34</v>
      </c>
    </row>
    <row r="399" spans="1:16" x14ac:dyDescent="0.25">
      <c r="A399" s="2" t="s">
        <v>695</v>
      </c>
      <c r="B399" s="4">
        <v>45433</v>
      </c>
      <c r="C399" s="2" t="s">
        <v>668</v>
      </c>
      <c r="D399" s="2" t="s">
        <v>22</v>
      </c>
      <c r="E399" s="2" t="s">
        <v>23</v>
      </c>
      <c r="F399" s="2" t="s">
        <v>36</v>
      </c>
      <c r="G399" s="2" t="s">
        <v>49</v>
      </c>
      <c r="H399" s="2">
        <v>149772.66</v>
      </c>
      <c r="I399" s="2">
        <v>4</v>
      </c>
      <c r="J399" s="2">
        <v>0</v>
      </c>
      <c r="K399" s="9">
        <f t="shared" si="18"/>
        <v>599090.64</v>
      </c>
      <c r="L399" s="9">
        <f t="shared" si="19"/>
        <v>0</v>
      </c>
      <c r="M399" s="10">
        <f t="shared" si="20"/>
        <v>599090.64</v>
      </c>
      <c r="N399" s="2" t="s">
        <v>38</v>
      </c>
      <c r="O399" s="2" t="s">
        <v>52</v>
      </c>
      <c r="P399" s="2" t="s">
        <v>53</v>
      </c>
    </row>
    <row r="400" spans="1:16" x14ac:dyDescent="0.25">
      <c r="A400" s="3" t="s">
        <v>696</v>
      </c>
      <c r="B400" s="4">
        <v>45434</v>
      </c>
      <c r="C400" s="3" t="s">
        <v>139</v>
      </c>
      <c r="D400" s="3" t="s">
        <v>51</v>
      </c>
      <c r="E400" s="3" t="s">
        <v>14</v>
      </c>
      <c r="F400" s="3" t="s">
        <v>43</v>
      </c>
      <c r="G400" s="3" t="s">
        <v>127</v>
      </c>
      <c r="H400" s="3">
        <v>5738.47</v>
      </c>
      <c r="I400" s="3">
        <v>1</v>
      </c>
      <c r="J400" s="3">
        <v>0</v>
      </c>
      <c r="K400" s="9">
        <f t="shared" si="18"/>
        <v>5738.47</v>
      </c>
      <c r="L400" s="9">
        <f t="shared" si="19"/>
        <v>0</v>
      </c>
      <c r="M400" s="10">
        <f t="shared" si="20"/>
        <v>5738.47</v>
      </c>
      <c r="N400" s="3" t="s">
        <v>68</v>
      </c>
      <c r="O400" s="3" t="s">
        <v>27</v>
      </c>
      <c r="P400" s="3" t="s">
        <v>19</v>
      </c>
    </row>
    <row r="401" spans="1:16" x14ac:dyDescent="0.25">
      <c r="A401" s="2" t="s">
        <v>697</v>
      </c>
      <c r="B401" s="4">
        <v>45435</v>
      </c>
      <c r="C401" s="2" t="s">
        <v>698</v>
      </c>
      <c r="D401" s="2" t="s">
        <v>29</v>
      </c>
      <c r="E401" s="2" t="s">
        <v>30</v>
      </c>
      <c r="F401" s="2" t="s">
        <v>110</v>
      </c>
      <c r="G401" s="2" t="s">
        <v>153</v>
      </c>
      <c r="H401" s="2">
        <v>3824.7</v>
      </c>
      <c r="I401" s="2">
        <v>1</v>
      </c>
      <c r="J401" s="2">
        <v>10</v>
      </c>
      <c r="K401" s="9">
        <f t="shared" si="18"/>
        <v>3824.7</v>
      </c>
      <c r="L401" s="9">
        <f t="shared" si="19"/>
        <v>382.47</v>
      </c>
      <c r="M401" s="10">
        <f t="shared" si="20"/>
        <v>3442.2299999999996</v>
      </c>
      <c r="N401" s="2" t="s">
        <v>68</v>
      </c>
      <c r="O401" s="2" t="s">
        <v>52</v>
      </c>
      <c r="P401" s="2" t="s">
        <v>60</v>
      </c>
    </row>
    <row r="402" spans="1:16" x14ac:dyDescent="0.25">
      <c r="A402" s="3" t="s">
        <v>699</v>
      </c>
      <c r="B402" s="4">
        <v>45436</v>
      </c>
      <c r="C402" s="3" t="s">
        <v>700</v>
      </c>
      <c r="D402" s="3" t="s">
        <v>100</v>
      </c>
      <c r="E402" s="3" t="s">
        <v>88</v>
      </c>
      <c r="F402" s="3" t="s">
        <v>15</v>
      </c>
      <c r="G402" s="3" t="s">
        <v>56</v>
      </c>
      <c r="H402" s="3">
        <v>1682.51</v>
      </c>
      <c r="I402" s="3">
        <v>2</v>
      </c>
      <c r="J402" s="3">
        <v>10</v>
      </c>
      <c r="K402" s="9">
        <f t="shared" si="18"/>
        <v>3365.02</v>
      </c>
      <c r="L402" s="9">
        <f t="shared" si="19"/>
        <v>336.50199999999995</v>
      </c>
      <c r="M402" s="10">
        <f t="shared" si="20"/>
        <v>3028.518</v>
      </c>
      <c r="N402" s="3" t="s">
        <v>33</v>
      </c>
      <c r="O402" s="3" t="s">
        <v>27</v>
      </c>
      <c r="P402" s="3" t="s">
        <v>19</v>
      </c>
    </row>
    <row r="403" spans="1:16" x14ac:dyDescent="0.25">
      <c r="A403" s="2" t="s">
        <v>701</v>
      </c>
      <c r="B403" s="4">
        <v>45437</v>
      </c>
      <c r="C403" s="2" t="s">
        <v>665</v>
      </c>
      <c r="D403" s="2" t="s">
        <v>65</v>
      </c>
      <c r="E403" s="2" t="s">
        <v>66</v>
      </c>
      <c r="F403" s="2" t="s">
        <v>43</v>
      </c>
      <c r="G403" s="2" t="s">
        <v>89</v>
      </c>
      <c r="H403" s="2">
        <v>4874.32</v>
      </c>
      <c r="I403" s="2">
        <v>2</v>
      </c>
      <c r="J403" s="2">
        <v>5</v>
      </c>
      <c r="K403" s="9">
        <f t="shared" si="18"/>
        <v>9748.64</v>
      </c>
      <c r="L403" s="9">
        <f t="shared" si="19"/>
        <v>487.43199999999996</v>
      </c>
      <c r="M403" s="10">
        <f t="shared" si="20"/>
        <v>9261.2079999999987</v>
      </c>
      <c r="N403" s="2" t="s">
        <v>33</v>
      </c>
      <c r="O403" s="2" t="s">
        <v>18</v>
      </c>
      <c r="P403" s="2" t="s">
        <v>34</v>
      </c>
    </row>
    <row r="404" spans="1:16" x14ac:dyDescent="0.25">
      <c r="A404" s="3" t="s">
        <v>702</v>
      </c>
      <c r="B404" s="4">
        <v>45438</v>
      </c>
      <c r="C404" s="3" t="s">
        <v>703</v>
      </c>
      <c r="D404" s="3" t="s">
        <v>65</v>
      </c>
      <c r="E404" s="3" t="s">
        <v>66</v>
      </c>
      <c r="F404" s="3" t="s">
        <v>110</v>
      </c>
      <c r="G404" s="3" t="s">
        <v>111</v>
      </c>
      <c r="H404" s="3">
        <v>9117.93</v>
      </c>
      <c r="I404" s="3">
        <v>5</v>
      </c>
      <c r="J404" s="3">
        <v>0</v>
      </c>
      <c r="K404" s="9">
        <f t="shared" si="18"/>
        <v>45589.65</v>
      </c>
      <c r="L404" s="9">
        <f t="shared" si="19"/>
        <v>0</v>
      </c>
      <c r="M404" s="10">
        <f t="shared" si="20"/>
        <v>45589.65</v>
      </c>
      <c r="N404" s="3" t="s">
        <v>17</v>
      </c>
      <c r="O404" s="3" t="s">
        <v>27</v>
      </c>
      <c r="P404" s="3" t="s">
        <v>53</v>
      </c>
    </row>
    <row r="405" spans="1:16" x14ac:dyDescent="0.25">
      <c r="A405" s="2" t="s">
        <v>704</v>
      </c>
      <c r="B405" s="4">
        <v>45439</v>
      </c>
      <c r="C405" s="2" t="s">
        <v>453</v>
      </c>
      <c r="D405" s="2" t="s">
        <v>47</v>
      </c>
      <c r="E405" s="2" t="s">
        <v>48</v>
      </c>
      <c r="F405" s="2" t="s">
        <v>15</v>
      </c>
      <c r="G405" s="2" t="s">
        <v>16</v>
      </c>
      <c r="H405" s="2">
        <v>1626.36</v>
      </c>
      <c r="I405" s="2">
        <v>2</v>
      </c>
      <c r="J405" s="2">
        <v>15</v>
      </c>
      <c r="K405" s="9">
        <f t="shared" si="18"/>
        <v>3252.72</v>
      </c>
      <c r="L405" s="9">
        <f t="shared" si="19"/>
        <v>487.90799999999996</v>
      </c>
      <c r="M405" s="10">
        <f t="shared" si="20"/>
        <v>2764.8119999999999</v>
      </c>
      <c r="N405" s="2" t="s">
        <v>26</v>
      </c>
      <c r="O405" s="2" t="s">
        <v>52</v>
      </c>
      <c r="P405" s="2" t="s">
        <v>19</v>
      </c>
    </row>
    <row r="406" spans="1:16" x14ac:dyDescent="0.25">
      <c r="A406" s="3" t="s">
        <v>705</v>
      </c>
      <c r="B406" s="4">
        <v>45440</v>
      </c>
      <c r="C406" s="3" t="s">
        <v>336</v>
      </c>
      <c r="D406" s="3" t="s">
        <v>22</v>
      </c>
      <c r="E406" s="3" t="s">
        <v>23</v>
      </c>
      <c r="F406" s="3" t="s">
        <v>72</v>
      </c>
      <c r="G406" s="3" t="s">
        <v>137</v>
      </c>
      <c r="H406" s="3">
        <v>2227.4</v>
      </c>
      <c r="I406" s="3">
        <v>5</v>
      </c>
      <c r="J406" s="3">
        <v>0</v>
      </c>
      <c r="K406" s="9">
        <f t="shared" si="18"/>
        <v>11137</v>
      </c>
      <c r="L406" s="9">
        <f t="shared" si="19"/>
        <v>0</v>
      </c>
      <c r="M406" s="10">
        <f t="shared" si="20"/>
        <v>11137</v>
      </c>
      <c r="N406" s="3" t="s">
        <v>33</v>
      </c>
      <c r="O406" s="3" t="s">
        <v>27</v>
      </c>
      <c r="P406" s="3" t="s">
        <v>19</v>
      </c>
    </row>
    <row r="407" spans="1:16" x14ac:dyDescent="0.25">
      <c r="A407" s="2" t="s">
        <v>706</v>
      </c>
      <c r="B407" s="4">
        <v>45441</v>
      </c>
      <c r="C407" s="2" t="s">
        <v>214</v>
      </c>
      <c r="D407" s="2" t="s">
        <v>83</v>
      </c>
      <c r="E407" s="2" t="s">
        <v>84</v>
      </c>
      <c r="F407" s="2" t="s">
        <v>36</v>
      </c>
      <c r="G407" s="2" t="s">
        <v>78</v>
      </c>
      <c r="H407" s="2">
        <v>82974.8</v>
      </c>
      <c r="I407" s="2">
        <v>1</v>
      </c>
      <c r="J407" s="2">
        <v>0</v>
      </c>
      <c r="K407" s="9">
        <f t="shared" si="18"/>
        <v>82974.8</v>
      </c>
      <c r="L407" s="9">
        <f t="shared" si="19"/>
        <v>0</v>
      </c>
      <c r="M407" s="10">
        <f t="shared" si="20"/>
        <v>82974.8</v>
      </c>
      <c r="N407" s="2" t="s">
        <v>68</v>
      </c>
      <c r="O407" s="2" t="s">
        <v>18</v>
      </c>
      <c r="P407" s="2" t="s">
        <v>34</v>
      </c>
    </row>
    <row r="408" spans="1:16" x14ac:dyDescent="0.25">
      <c r="A408" s="3" t="s">
        <v>707</v>
      </c>
      <c r="B408" s="4">
        <v>45442</v>
      </c>
      <c r="C408" s="3" t="s">
        <v>708</v>
      </c>
      <c r="D408" s="3" t="s">
        <v>47</v>
      </c>
      <c r="E408" s="3" t="s">
        <v>48</v>
      </c>
      <c r="F408" s="3" t="s">
        <v>24</v>
      </c>
      <c r="G408" s="3" t="s">
        <v>92</v>
      </c>
      <c r="H408" s="3">
        <v>1557.18</v>
      </c>
      <c r="I408" s="3">
        <v>3</v>
      </c>
      <c r="J408" s="3">
        <v>5</v>
      </c>
      <c r="K408" s="9">
        <f t="shared" si="18"/>
        <v>4671.54</v>
      </c>
      <c r="L408" s="9">
        <f t="shared" si="19"/>
        <v>233.577</v>
      </c>
      <c r="M408" s="10">
        <f t="shared" si="20"/>
        <v>4437.9629999999997</v>
      </c>
      <c r="N408" s="3" t="s">
        <v>17</v>
      </c>
      <c r="O408" s="3" t="s">
        <v>18</v>
      </c>
      <c r="P408" s="3" t="s">
        <v>34</v>
      </c>
    </row>
    <row r="409" spans="1:16" x14ac:dyDescent="0.25">
      <c r="A409" s="2" t="s">
        <v>709</v>
      </c>
      <c r="B409" s="4">
        <v>45443</v>
      </c>
      <c r="C409" s="2" t="s">
        <v>628</v>
      </c>
      <c r="D409" s="2" t="s">
        <v>83</v>
      </c>
      <c r="E409" s="2" t="s">
        <v>84</v>
      </c>
      <c r="F409" s="2" t="s">
        <v>72</v>
      </c>
      <c r="G409" s="2" t="s">
        <v>102</v>
      </c>
      <c r="H409" s="2">
        <v>681.51</v>
      </c>
      <c r="I409" s="2">
        <v>5</v>
      </c>
      <c r="J409" s="2">
        <v>15</v>
      </c>
      <c r="K409" s="9">
        <f t="shared" si="18"/>
        <v>3407.55</v>
      </c>
      <c r="L409" s="9">
        <f t="shared" si="19"/>
        <v>511.13249999999999</v>
      </c>
      <c r="M409" s="10">
        <f t="shared" si="20"/>
        <v>2896.4175</v>
      </c>
      <c r="N409" s="2" t="s">
        <v>26</v>
      </c>
      <c r="O409" s="2" t="s">
        <v>52</v>
      </c>
      <c r="P409" s="2" t="s">
        <v>34</v>
      </c>
    </row>
    <row r="410" spans="1:16" x14ac:dyDescent="0.25">
      <c r="A410" s="3" t="s">
        <v>710</v>
      </c>
      <c r="B410" s="4">
        <v>45444</v>
      </c>
      <c r="C410" s="3" t="s">
        <v>194</v>
      </c>
      <c r="D410" s="3" t="s">
        <v>65</v>
      </c>
      <c r="E410" s="3" t="s">
        <v>66</v>
      </c>
      <c r="F410" s="3" t="s">
        <v>43</v>
      </c>
      <c r="G410" s="3" t="s">
        <v>145</v>
      </c>
      <c r="H410" s="3">
        <v>13096.08</v>
      </c>
      <c r="I410" s="3">
        <v>3</v>
      </c>
      <c r="J410" s="3">
        <v>0</v>
      </c>
      <c r="K410" s="9">
        <f t="shared" si="18"/>
        <v>39288.239999999998</v>
      </c>
      <c r="L410" s="9">
        <f t="shared" si="19"/>
        <v>0</v>
      </c>
      <c r="M410" s="10">
        <f t="shared" si="20"/>
        <v>39288.239999999998</v>
      </c>
      <c r="N410" s="3" t="s">
        <v>68</v>
      </c>
      <c r="O410" s="3" t="s">
        <v>18</v>
      </c>
      <c r="P410" s="3" t="s">
        <v>34</v>
      </c>
    </row>
    <row r="411" spans="1:16" x14ac:dyDescent="0.25">
      <c r="A411" s="2" t="s">
        <v>711</v>
      </c>
      <c r="B411" s="4">
        <v>45445</v>
      </c>
      <c r="C411" s="2" t="s">
        <v>630</v>
      </c>
      <c r="D411" s="2" t="s">
        <v>51</v>
      </c>
      <c r="E411" s="2" t="s">
        <v>14</v>
      </c>
      <c r="F411" s="2" t="s">
        <v>15</v>
      </c>
      <c r="G411" s="2" t="s">
        <v>16</v>
      </c>
      <c r="H411" s="2">
        <v>1576.53</v>
      </c>
      <c r="I411" s="2">
        <v>5</v>
      </c>
      <c r="J411" s="2">
        <v>0</v>
      </c>
      <c r="K411" s="9">
        <f t="shared" si="18"/>
        <v>7882.65</v>
      </c>
      <c r="L411" s="9">
        <f t="shared" si="19"/>
        <v>0</v>
      </c>
      <c r="M411" s="10">
        <f t="shared" si="20"/>
        <v>7882.65</v>
      </c>
      <c r="N411" s="2" t="s">
        <v>26</v>
      </c>
      <c r="O411" s="2" t="s">
        <v>39</v>
      </c>
      <c r="P411" s="2" t="s">
        <v>53</v>
      </c>
    </row>
    <row r="412" spans="1:16" x14ac:dyDescent="0.25">
      <c r="A412" s="3" t="s">
        <v>712</v>
      </c>
      <c r="B412" s="4">
        <v>45446</v>
      </c>
      <c r="C412" s="3" t="s">
        <v>660</v>
      </c>
      <c r="D412" s="3" t="s">
        <v>22</v>
      </c>
      <c r="E412" s="3" t="s">
        <v>23</v>
      </c>
      <c r="F412" s="3" t="s">
        <v>24</v>
      </c>
      <c r="G412" s="3" t="s">
        <v>25</v>
      </c>
      <c r="H412" s="3">
        <v>4711.57</v>
      </c>
      <c r="I412" s="3">
        <v>1</v>
      </c>
      <c r="J412" s="3">
        <v>10</v>
      </c>
      <c r="K412" s="9">
        <f t="shared" si="18"/>
        <v>4711.57</v>
      </c>
      <c r="L412" s="9">
        <f t="shared" si="19"/>
        <v>471.15699999999998</v>
      </c>
      <c r="M412" s="10">
        <f t="shared" si="20"/>
        <v>4240.4129999999996</v>
      </c>
      <c r="N412" s="3" t="s">
        <v>68</v>
      </c>
      <c r="O412" s="3" t="s">
        <v>18</v>
      </c>
      <c r="P412" s="3" t="s">
        <v>34</v>
      </c>
    </row>
    <row r="413" spans="1:16" x14ac:dyDescent="0.25">
      <c r="A413" s="2" t="s">
        <v>713</v>
      </c>
      <c r="B413" s="4">
        <v>45447</v>
      </c>
      <c r="C413" s="2" t="s">
        <v>62</v>
      </c>
      <c r="D413" s="2" t="s">
        <v>100</v>
      </c>
      <c r="E413" s="2" t="s">
        <v>88</v>
      </c>
      <c r="F413" s="2" t="s">
        <v>110</v>
      </c>
      <c r="G413" s="2" t="s">
        <v>215</v>
      </c>
      <c r="H413" s="2">
        <v>2252.8200000000002</v>
      </c>
      <c r="I413" s="2">
        <v>4</v>
      </c>
      <c r="J413" s="2">
        <v>0</v>
      </c>
      <c r="K413" s="9">
        <f t="shared" si="18"/>
        <v>9011.2800000000007</v>
      </c>
      <c r="L413" s="9">
        <f t="shared" si="19"/>
        <v>0</v>
      </c>
      <c r="M413" s="10">
        <f t="shared" si="20"/>
        <v>9011.2800000000007</v>
      </c>
      <c r="N413" s="2" t="s">
        <v>26</v>
      </c>
      <c r="O413" s="2" t="s">
        <v>18</v>
      </c>
      <c r="P413" s="2" t="s">
        <v>53</v>
      </c>
    </row>
    <row r="414" spans="1:16" x14ac:dyDescent="0.25">
      <c r="A414" s="3" t="s">
        <v>714</v>
      </c>
      <c r="B414" s="4">
        <v>45448</v>
      </c>
      <c r="C414" s="3" t="s">
        <v>197</v>
      </c>
      <c r="D414" s="3" t="s">
        <v>29</v>
      </c>
      <c r="E414" s="3" t="s">
        <v>30</v>
      </c>
      <c r="F414" s="3" t="s">
        <v>72</v>
      </c>
      <c r="G414" s="3" t="s">
        <v>137</v>
      </c>
      <c r="H414" s="3">
        <v>2195.84</v>
      </c>
      <c r="I414" s="3">
        <v>5</v>
      </c>
      <c r="J414" s="3">
        <v>10</v>
      </c>
      <c r="K414" s="9">
        <f t="shared" si="18"/>
        <v>10979.2</v>
      </c>
      <c r="L414" s="9">
        <f t="shared" si="19"/>
        <v>1097.92</v>
      </c>
      <c r="M414" s="10">
        <f t="shared" si="20"/>
        <v>9881.2800000000007</v>
      </c>
      <c r="N414" s="3" t="s">
        <v>38</v>
      </c>
      <c r="O414" s="3" t="s">
        <v>18</v>
      </c>
      <c r="P414" s="3" t="s">
        <v>34</v>
      </c>
    </row>
    <row r="415" spans="1:16" x14ac:dyDescent="0.25">
      <c r="A415" s="2" t="s">
        <v>715</v>
      </c>
      <c r="B415" s="4">
        <v>45449</v>
      </c>
      <c r="C415" s="2" t="s">
        <v>200</v>
      </c>
      <c r="D415" s="2" t="s">
        <v>83</v>
      </c>
      <c r="E415" s="2" t="s">
        <v>84</v>
      </c>
      <c r="F415" s="2" t="s">
        <v>36</v>
      </c>
      <c r="G415" s="2" t="s">
        <v>113</v>
      </c>
      <c r="H415" s="2">
        <v>111824.89</v>
      </c>
      <c r="I415" s="2">
        <v>5</v>
      </c>
      <c r="J415" s="2">
        <v>0</v>
      </c>
      <c r="K415" s="9">
        <f t="shared" si="18"/>
        <v>559124.44999999995</v>
      </c>
      <c r="L415" s="9">
        <f t="shared" si="19"/>
        <v>0</v>
      </c>
      <c r="M415" s="10">
        <f t="shared" si="20"/>
        <v>559124.44999999995</v>
      </c>
      <c r="N415" s="2" t="s">
        <v>33</v>
      </c>
      <c r="O415" s="2" t="s">
        <v>18</v>
      </c>
      <c r="P415" s="2" t="s">
        <v>34</v>
      </c>
    </row>
    <row r="416" spans="1:16" x14ac:dyDescent="0.25">
      <c r="A416" s="3" t="s">
        <v>716</v>
      </c>
      <c r="B416" s="4">
        <v>45450</v>
      </c>
      <c r="C416" s="3" t="s">
        <v>717</v>
      </c>
      <c r="D416" s="3" t="s">
        <v>87</v>
      </c>
      <c r="E416" s="3" t="s">
        <v>88</v>
      </c>
      <c r="F416" s="3" t="s">
        <v>31</v>
      </c>
      <c r="G416" s="3" t="s">
        <v>116</v>
      </c>
      <c r="H416" s="3">
        <v>1150.46</v>
      </c>
      <c r="I416" s="3">
        <v>5</v>
      </c>
      <c r="J416" s="3">
        <v>0</v>
      </c>
      <c r="K416" s="9">
        <f t="shared" si="18"/>
        <v>5752.3</v>
      </c>
      <c r="L416" s="9">
        <f t="shared" si="19"/>
        <v>0</v>
      </c>
      <c r="M416" s="10">
        <f t="shared" si="20"/>
        <v>5752.3</v>
      </c>
      <c r="N416" s="3" t="s">
        <v>33</v>
      </c>
      <c r="O416" s="3" t="s">
        <v>52</v>
      </c>
      <c r="P416" s="3" t="s">
        <v>40</v>
      </c>
    </row>
    <row r="417" spans="1:16" x14ac:dyDescent="0.25">
      <c r="A417" s="2" t="s">
        <v>718</v>
      </c>
      <c r="B417" s="4">
        <v>45451</v>
      </c>
      <c r="C417" s="2" t="s">
        <v>680</v>
      </c>
      <c r="D417" s="2" t="s">
        <v>76</v>
      </c>
      <c r="E417" s="2" t="s">
        <v>77</v>
      </c>
      <c r="F417" s="2" t="s">
        <v>24</v>
      </c>
      <c r="G417" s="2" t="s">
        <v>170</v>
      </c>
      <c r="H417" s="2">
        <v>1227.29</v>
      </c>
      <c r="I417" s="2">
        <v>5</v>
      </c>
      <c r="J417" s="2">
        <v>5</v>
      </c>
      <c r="K417" s="9">
        <f t="shared" si="18"/>
        <v>6136.45</v>
      </c>
      <c r="L417" s="9">
        <f t="shared" si="19"/>
        <v>306.82249999999999</v>
      </c>
      <c r="M417" s="10">
        <f t="shared" si="20"/>
        <v>5829.6274999999996</v>
      </c>
      <c r="N417" s="2" t="s">
        <v>68</v>
      </c>
      <c r="O417" s="2" t="s">
        <v>27</v>
      </c>
      <c r="P417" s="2" t="s">
        <v>34</v>
      </c>
    </row>
    <row r="418" spans="1:16" x14ac:dyDescent="0.25">
      <c r="A418" s="3" t="s">
        <v>719</v>
      </c>
      <c r="B418" s="4">
        <v>45452</v>
      </c>
      <c r="C418" s="3" t="s">
        <v>139</v>
      </c>
      <c r="D418" s="3" t="s">
        <v>47</v>
      </c>
      <c r="E418" s="3" t="s">
        <v>48</v>
      </c>
      <c r="F418" s="3" t="s">
        <v>110</v>
      </c>
      <c r="G418" s="3" t="s">
        <v>215</v>
      </c>
      <c r="H418" s="3">
        <v>2262.35</v>
      </c>
      <c r="I418" s="3">
        <v>5</v>
      </c>
      <c r="J418" s="3">
        <v>5</v>
      </c>
      <c r="K418" s="9">
        <f t="shared" si="18"/>
        <v>11311.75</v>
      </c>
      <c r="L418" s="9">
        <f t="shared" si="19"/>
        <v>565.58749999999998</v>
      </c>
      <c r="M418" s="10">
        <f t="shared" si="20"/>
        <v>10746.1625</v>
      </c>
      <c r="N418" s="3" t="s">
        <v>17</v>
      </c>
      <c r="O418" s="3" t="s">
        <v>39</v>
      </c>
      <c r="P418" s="3" t="s">
        <v>19</v>
      </c>
    </row>
    <row r="419" spans="1:16" x14ac:dyDescent="0.25">
      <c r="A419" s="2" t="s">
        <v>720</v>
      </c>
      <c r="B419" s="4">
        <v>45453</v>
      </c>
      <c r="C419" s="2" t="s">
        <v>721</v>
      </c>
      <c r="D419" s="2" t="s">
        <v>47</v>
      </c>
      <c r="E419" s="2" t="s">
        <v>48</v>
      </c>
      <c r="F419" s="2" t="s">
        <v>15</v>
      </c>
      <c r="G419" s="2" t="s">
        <v>163</v>
      </c>
      <c r="H419" s="2">
        <v>2410.16</v>
      </c>
      <c r="I419" s="2">
        <v>1</v>
      </c>
      <c r="J419" s="2">
        <v>10</v>
      </c>
      <c r="K419" s="9">
        <f t="shared" si="18"/>
        <v>2410.16</v>
      </c>
      <c r="L419" s="9">
        <f t="shared" si="19"/>
        <v>241.01599999999999</v>
      </c>
      <c r="M419" s="10">
        <f t="shared" si="20"/>
        <v>2169.1439999999998</v>
      </c>
      <c r="N419" s="2" t="s">
        <v>26</v>
      </c>
      <c r="O419" s="2" t="s">
        <v>39</v>
      </c>
      <c r="P419" s="2" t="s">
        <v>19</v>
      </c>
    </row>
    <row r="420" spans="1:16" x14ac:dyDescent="0.25">
      <c r="A420" s="3" t="s">
        <v>722</v>
      </c>
      <c r="B420" s="4">
        <v>45454</v>
      </c>
      <c r="C420" s="3" t="s">
        <v>574</v>
      </c>
      <c r="D420" s="3" t="s">
        <v>22</v>
      </c>
      <c r="E420" s="3" t="s">
        <v>23</v>
      </c>
      <c r="F420" s="3" t="s">
        <v>24</v>
      </c>
      <c r="G420" s="3" t="s">
        <v>170</v>
      </c>
      <c r="H420" s="3">
        <v>1231.08</v>
      </c>
      <c r="I420" s="3">
        <v>2</v>
      </c>
      <c r="J420" s="3">
        <v>0</v>
      </c>
      <c r="K420" s="9">
        <f t="shared" si="18"/>
        <v>2462.16</v>
      </c>
      <c r="L420" s="9">
        <f t="shared" si="19"/>
        <v>0</v>
      </c>
      <c r="M420" s="10">
        <f t="shared" si="20"/>
        <v>2462.16</v>
      </c>
      <c r="N420" s="3" t="s">
        <v>33</v>
      </c>
      <c r="O420" s="3" t="s">
        <v>39</v>
      </c>
      <c r="P420" s="3" t="s">
        <v>40</v>
      </c>
    </row>
    <row r="421" spans="1:16" x14ac:dyDescent="0.25">
      <c r="A421" s="2" t="s">
        <v>723</v>
      </c>
      <c r="B421" s="4">
        <v>45455</v>
      </c>
      <c r="C421" s="2" t="s">
        <v>161</v>
      </c>
      <c r="D421" s="2" t="s">
        <v>65</v>
      </c>
      <c r="E421" s="2" t="s">
        <v>66</v>
      </c>
      <c r="F421" s="2" t="s">
        <v>15</v>
      </c>
      <c r="G421" s="2" t="s">
        <v>198</v>
      </c>
      <c r="H421" s="2">
        <v>839.5</v>
      </c>
      <c r="I421" s="2">
        <v>2</v>
      </c>
      <c r="J421" s="2">
        <v>0</v>
      </c>
      <c r="K421" s="9">
        <f t="shared" si="18"/>
        <v>1679</v>
      </c>
      <c r="L421" s="9">
        <f t="shared" si="19"/>
        <v>0</v>
      </c>
      <c r="M421" s="10">
        <f t="shared" si="20"/>
        <v>1679</v>
      </c>
      <c r="N421" s="2" t="s">
        <v>33</v>
      </c>
      <c r="O421" s="2" t="s">
        <v>27</v>
      </c>
      <c r="P421" s="2" t="s">
        <v>34</v>
      </c>
    </row>
    <row r="422" spans="1:16" x14ac:dyDescent="0.25">
      <c r="A422" s="3" t="s">
        <v>724</v>
      </c>
      <c r="B422" s="4">
        <v>45456</v>
      </c>
      <c r="C422" s="3" t="s">
        <v>725</v>
      </c>
      <c r="D422" s="3" t="s">
        <v>13</v>
      </c>
      <c r="E422" s="3" t="s">
        <v>14</v>
      </c>
      <c r="F422" s="3" t="s">
        <v>24</v>
      </c>
      <c r="G422" s="3" t="s">
        <v>108</v>
      </c>
      <c r="H422" s="3">
        <v>8092.93</v>
      </c>
      <c r="I422" s="3">
        <v>5</v>
      </c>
      <c r="J422" s="3">
        <v>5</v>
      </c>
      <c r="K422" s="9">
        <f t="shared" si="18"/>
        <v>40464.65</v>
      </c>
      <c r="L422" s="9">
        <f t="shared" si="19"/>
        <v>2023.2325000000001</v>
      </c>
      <c r="M422" s="10">
        <f t="shared" si="20"/>
        <v>38441.417500000003</v>
      </c>
      <c r="N422" s="3" t="s">
        <v>38</v>
      </c>
      <c r="O422" s="3" t="s">
        <v>18</v>
      </c>
      <c r="P422" s="3" t="s">
        <v>60</v>
      </c>
    </row>
    <row r="423" spans="1:16" x14ac:dyDescent="0.25">
      <c r="A423" s="2" t="s">
        <v>726</v>
      </c>
      <c r="B423" s="4">
        <v>45457</v>
      </c>
      <c r="C423" s="2" t="s">
        <v>663</v>
      </c>
      <c r="D423" s="2" t="s">
        <v>65</v>
      </c>
      <c r="E423" s="2" t="s">
        <v>66</v>
      </c>
      <c r="F423" s="2" t="s">
        <v>31</v>
      </c>
      <c r="G423" s="2" t="s">
        <v>32</v>
      </c>
      <c r="H423" s="2">
        <v>2444.75</v>
      </c>
      <c r="I423" s="2">
        <v>1</v>
      </c>
      <c r="J423" s="2">
        <v>0</v>
      </c>
      <c r="K423" s="9">
        <f t="shared" si="18"/>
        <v>2444.75</v>
      </c>
      <c r="L423" s="9">
        <f t="shared" si="19"/>
        <v>0</v>
      </c>
      <c r="M423" s="10">
        <f t="shared" si="20"/>
        <v>2444.75</v>
      </c>
      <c r="N423" s="2" t="s">
        <v>68</v>
      </c>
      <c r="O423" s="2" t="s">
        <v>27</v>
      </c>
      <c r="P423" s="2" t="s">
        <v>19</v>
      </c>
    </row>
    <row r="424" spans="1:16" x14ac:dyDescent="0.25">
      <c r="A424" s="3" t="s">
        <v>727</v>
      </c>
      <c r="B424" s="4">
        <v>45458</v>
      </c>
      <c r="C424" s="3" t="s">
        <v>205</v>
      </c>
      <c r="D424" s="3" t="s">
        <v>13</v>
      </c>
      <c r="E424" s="3" t="s">
        <v>14</v>
      </c>
      <c r="F424" s="3" t="s">
        <v>15</v>
      </c>
      <c r="G424" s="3" t="s">
        <v>198</v>
      </c>
      <c r="H424" s="3">
        <v>777.23</v>
      </c>
      <c r="I424" s="3">
        <v>5</v>
      </c>
      <c r="J424" s="3">
        <v>10</v>
      </c>
      <c r="K424" s="9">
        <f t="shared" si="18"/>
        <v>3886.15</v>
      </c>
      <c r="L424" s="9">
        <f t="shared" si="19"/>
        <v>388.61500000000001</v>
      </c>
      <c r="M424" s="10">
        <f t="shared" si="20"/>
        <v>3497.5349999999999</v>
      </c>
      <c r="N424" s="3" t="s">
        <v>38</v>
      </c>
      <c r="O424" s="3" t="s">
        <v>39</v>
      </c>
      <c r="P424" s="3" t="s">
        <v>34</v>
      </c>
    </row>
    <row r="425" spans="1:16" x14ac:dyDescent="0.25">
      <c r="A425" s="2" t="s">
        <v>728</v>
      </c>
      <c r="B425" s="4">
        <v>45459</v>
      </c>
      <c r="C425" s="2" t="s">
        <v>369</v>
      </c>
      <c r="D425" s="2" t="s">
        <v>76</v>
      </c>
      <c r="E425" s="2" t="s">
        <v>77</v>
      </c>
      <c r="F425" s="2" t="s">
        <v>43</v>
      </c>
      <c r="G425" s="2" t="s">
        <v>145</v>
      </c>
      <c r="H425" s="2">
        <v>12773.09</v>
      </c>
      <c r="I425" s="2">
        <v>1</v>
      </c>
      <c r="J425" s="2">
        <v>0</v>
      </c>
      <c r="K425" s="9">
        <f t="shared" si="18"/>
        <v>12773.09</v>
      </c>
      <c r="L425" s="9">
        <f t="shared" si="19"/>
        <v>0</v>
      </c>
      <c r="M425" s="10">
        <f t="shared" si="20"/>
        <v>12773.09</v>
      </c>
      <c r="N425" s="2" t="s">
        <v>26</v>
      </c>
      <c r="O425" s="2" t="s">
        <v>52</v>
      </c>
      <c r="P425" s="2" t="s">
        <v>53</v>
      </c>
    </row>
    <row r="426" spans="1:16" x14ac:dyDescent="0.25">
      <c r="A426" s="3" t="s">
        <v>729</v>
      </c>
      <c r="B426" s="4">
        <v>45460</v>
      </c>
      <c r="C426" s="3" t="s">
        <v>730</v>
      </c>
      <c r="D426" s="3" t="s">
        <v>83</v>
      </c>
      <c r="E426" s="3" t="s">
        <v>84</v>
      </c>
      <c r="F426" s="3" t="s">
        <v>31</v>
      </c>
      <c r="G426" s="3" t="s">
        <v>186</v>
      </c>
      <c r="H426" s="3">
        <v>767.69</v>
      </c>
      <c r="I426" s="3">
        <v>3</v>
      </c>
      <c r="J426" s="3">
        <v>0</v>
      </c>
      <c r="K426" s="9">
        <f t="shared" si="18"/>
        <v>2303.0700000000002</v>
      </c>
      <c r="L426" s="9">
        <f t="shared" si="19"/>
        <v>0</v>
      </c>
      <c r="M426" s="10">
        <f t="shared" si="20"/>
        <v>2303.0700000000002</v>
      </c>
      <c r="N426" s="3" t="s">
        <v>17</v>
      </c>
      <c r="O426" s="3" t="s">
        <v>39</v>
      </c>
      <c r="P426" s="3" t="s">
        <v>19</v>
      </c>
    </row>
    <row r="427" spans="1:16" x14ac:dyDescent="0.25">
      <c r="A427" s="2" t="s">
        <v>731</v>
      </c>
      <c r="B427" s="4">
        <v>45461</v>
      </c>
      <c r="C427" s="2" t="s">
        <v>562</v>
      </c>
      <c r="D427" s="2" t="s">
        <v>13</v>
      </c>
      <c r="E427" s="2" t="s">
        <v>14</v>
      </c>
      <c r="F427" s="2" t="s">
        <v>110</v>
      </c>
      <c r="G427" s="2" t="s">
        <v>111</v>
      </c>
      <c r="H427" s="2">
        <v>9298.76</v>
      </c>
      <c r="I427" s="2">
        <v>5</v>
      </c>
      <c r="J427" s="2">
        <v>0</v>
      </c>
      <c r="K427" s="9">
        <f t="shared" si="18"/>
        <v>46493.8</v>
      </c>
      <c r="L427" s="9">
        <f t="shared" si="19"/>
        <v>0</v>
      </c>
      <c r="M427" s="10">
        <f t="shared" si="20"/>
        <v>46493.8</v>
      </c>
      <c r="N427" s="2" t="s">
        <v>38</v>
      </c>
      <c r="O427" s="2" t="s">
        <v>18</v>
      </c>
      <c r="P427" s="2" t="s">
        <v>34</v>
      </c>
    </row>
    <row r="428" spans="1:16" x14ac:dyDescent="0.25">
      <c r="A428" s="3" t="s">
        <v>732</v>
      </c>
      <c r="B428" s="4">
        <v>45462</v>
      </c>
      <c r="C428" s="3" t="s">
        <v>674</v>
      </c>
      <c r="D428" s="3" t="s">
        <v>83</v>
      </c>
      <c r="E428" s="3" t="s">
        <v>84</v>
      </c>
      <c r="F428" s="3" t="s">
        <v>24</v>
      </c>
      <c r="G428" s="3" t="s">
        <v>25</v>
      </c>
      <c r="H428" s="3">
        <v>4215.59</v>
      </c>
      <c r="I428" s="3">
        <v>5</v>
      </c>
      <c r="J428" s="3">
        <v>15</v>
      </c>
      <c r="K428" s="9">
        <f t="shared" si="18"/>
        <v>21077.95</v>
      </c>
      <c r="L428" s="9">
        <f t="shared" si="19"/>
        <v>3161.6925000000001</v>
      </c>
      <c r="M428" s="10">
        <f t="shared" si="20"/>
        <v>17916.2575</v>
      </c>
      <c r="N428" s="3" t="s">
        <v>26</v>
      </c>
      <c r="O428" s="3" t="s">
        <v>18</v>
      </c>
      <c r="P428" s="3" t="s">
        <v>53</v>
      </c>
    </row>
    <row r="429" spans="1:16" x14ac:dyDescent="0.25">
      <c r="A429" s="2" t="s">
        <v>733</v>
      </c>
      <c r="B429" s="4">
        <v>45463</v>
      </c>
      <c r="C429" s="2" t="s">
        <v>734</v>
      </c>
      <c r="D429" s="2" t="s">
        <v>83</v>
      </c>
      <c r="E429" s="2" t="s">
        <v>84</v>
      </c>
      <c r="F429" s="2" t="s">
        <v>43</v>
      </c>
      <c r="G429" s="2" t="s">
        <v>89</v>
      </c>
      <c r="H429" s="2">
        <v>4115.83</v>
      </c>
      <c r="I429" s="2">
        <v>1</v>
      </c>
      <c r="J429" s="2">
        <v>5</v>
      </c>
      <c r="K429" s="9">
        <f t="shared" si="18"/>
        <v>4115.83</v>
      </c>
      <c r="L429" s="9">
        <f t="shared" si="19"/>
        <v>205.79150000000001</v>
      </c>
      <c r="M429" s="10">
        <f t="shared" si="20"/>
        <v>3910.0385000000001</v>
      </c>
      <c r="N429" s="2" t="s">
        <v>68</v>
      </c>
      <c r="O429" s="2" t="s">
        <v>18</v>
      </c>
      <c r="P429" s="2" t="s">
        <v>19</v>
      </c>
    </row>
    <row r="430" spans="1:16" x14ac:dyDescent="0.25">
      <c r="A430" s="3" t="s">
        <v>735</v>
      </c>
      <c r="B430" s="4">
        <v>45464</v>
      </c>
      <c r="C430" s="3" t="s">
        <v>736</v>
      </c>
      <c r="D430" s="3" t="s">
        <v>100</v>
      </c>
      <c r="E430" s="3" t="s">
        <v>88</v>
      </c>
      <c r="F430" s="3" t="s">
        <v>15</v>
      </c>
      <c r="G430" s="3" t="s">
        <v>163</v>
      </c>
      <c r="H430" s="3">
        <v>2300.02</v>
      </c>
      <c r="I430" s="3">
        <v>5</v>
      </c>
      <c r="J430" s="3">
        <v>5</v>
      </c>
      <c r="K430" s="9">
        <f t="shared" si="18"/>
        <v>11500.1</v>
      </c>
      <c r="L430" s="9">
        <f t="shared" si="19"/>
        <v>575.005</v>
      </c>
      <c r="M430" s="10">
        <f t="shared" si="20"/>
        <v>10925.095000000001</v>
      </c>
      <c r="N430" s="3" t="s">
        <v>26</v>
      </c>
      <c r="O430" s="3" t="s">
        <v>18</v>
      </c>
      <c r="P430" s="3" t="s">
        <v>60</v>
      </c>
    </row>
    <row r="431" spans="1:16" x14ac:dyDescent="0.25">
      <c r="A431" s="2" t="s">
        <v>737</v>
      </c>
      <c r="B431" s="4">
        <v>45465</v>
      </c>
      <c r="C431" s="2" t="s">
        <v>738</v>
      </c>
      <c r="D431" s="2" t="s">
        <v>47</v>
      </c>
      <c r="E431" s="2" t="s">
        <v>48</v>
      </c>
      <c r="F431" s="2" t="s">
        <v>15</v>
      </c>
      <c r="G431" s="2" t="s">
        <v>56</v>
      </c>
      <c r="H431" s="2">
        <v>1674.86</v>
      </c>
      <c r="I431" s="2">
        <v>5</v>
      </c>
      <c r="J431" s="2">
        <v>0</v>
      </c>
      <c r="K431" s="9">
        <f t="shared" si="18"/>
        <v>8374.2999999999993</v>
      </c>
      <c r="L431" s="9">
        <f t="shared" si="19"/>
        <v>0</v>
      </c>
      <c r="M431" s="10">
        <f t="shared" si="20"/>
        <v>8374.2999999999993</v>
      </c>
      <c r="N431" s="2" t="s">
        <v>38</v>
      </c>
      <c r="O431" s="2" t="s">
        <v>18</v>
      </c>
      <c r="P431" s="2" t="s">
        <v>53</v>
      </c>
    </row>
    <row r="432" spans="1:16" x14ac:dyDescent="0.25">
      <c r="A432" s="3" t="s">
        <v>739</v>
      </c>
      <c r="B432" s="4">
        <v>45466</v>
      </c>
      <c r="C432" s="3" t="s">
        <v>613</v>
      </c>
      <c r="D432" s="3" t="s">
        <v>51</v>
      </c>
      <c r="E432" s="3" t="s">
        <v>14</v>
      </c>
      <c r="F432" s="3" t="s">
        <v>15</v>
      </c>
      <c r="G432" s="3" t="s">
        <v>95</v>
      </c>
      <c r="H432" s="3">
        <v>1146.4000000000001</v>
      </c>
      <c r="I432" s="3">
        <v>3</v>
      </c>
      <c r="J432" s="3">
        <v>5</v>
      </c>
      <c r="K432" s="9">
        <f t="shared" si="18"/>
        <v>3439.2000000000003</v>
      </c>
      <c r="L432" s="9">
        <f t="shared" si="19"/>
        <v>171.96</v>
      </c>
      <c r="M432" s="10">
        <f t="shared" si="20"/>
        <v>3267.2400000000002</v>
      </c>
      <c r="N432" s="3" t="s">
        <v>38</v>
      </c>
      <c r="O432" s="3" t="s">
        <v>18</v>
      </c>
      <c r="P432" s="3" t="s">
        <v>60</v>
      </c>
    </row>
    <row r="433" spans="1:16" x14ac:dyDescent="0.25">
      <c r="A433" s="2" t="s">
        <v>740</v>
      </c>
      <c r="B433" s="4">
        <v>45467</v>
      </c>
      <c r="C433" s="2" t="s">
        <v>311</v>
      </c>
      <c r="D433" s="2" t="s">
        <v>76</v>
      </c>
      <c r="E433" s="2" t="s">
        <v>77</v>
      </c>
      <c r="F433" s="2" t="s">
        <v>110</v>
      </c>
      <c r="G433" s="2" t="s">
        <v>207</v>
      </c>
      <c r="H433" s="2">
        <v>7948.81</v>
      </c>
      <c r="I433" s="2">
        <v>5</v>
      </c>
      <c r="J433" s="2">
        <v>10</v>
      </c>
      <c r="K433" s="9">
        <f t="shared" si="18"/>
        <v>39744.050000000003</v>
      </c>
      <c r="L433" s="9">
        <f t="shared" si="19"/>
        <v>3974.4050000000002</v>
      </c>
      <c r="M433" s="10">
        <f t="shared" si="20"/>
        <v>35769.645000000004</v>
      </c>
      <c r="N433" s="2" t="s">
        <v>38</v>
      </c>
      <c r="O433" s="2" t="s">
        <v>39</v>
      </c>
      <c r="P433" s="2" t="s">
        <v>53</v>
      </c>
    </row>
    <row r="434" spans="1:16" x14ac:dyDescent="0.25">
      <c r="A434" s="3" t="s">
        <v>741</v>
      </c>
      <c r="B434" s="4">
        <v>45468</v>
      </c>
      <c r="C434" s="3" t="s">
        <v>297</v>
      </c>
      <c r="D434" s="3" t="s">
        <v>22</v>
      </c>
      <c r="E434" s="3" t="s">
        <v>23</v>
      </c>
      <c r="F434" s="3" t="s">
        <v>15</v>
      </c>
      <c r="G434" s="3" t="s">
        <v>198</v>
      </c>
      <c r="H434" s="3">
        <v>862.74</v>
      </c>
      <c r="I434" s="3">
        <v>5</v>
      </c>
      <c r="J434" s="3">
        <v>10</v>
      </c>
      <c r="K434" s="9">
        <f t="shared" si="18"/>
        <v>4313.7</v>
      </c>
      <c r="L434" s="9">
        <f t="shared" si="19"/>
        <v>431.37</v>
      </c>
      <c r="M434" s="10">
        <f t="shared" si="20"/>
        <v>3882.33</v>
      </c>
      <c r="N434" s="3" t="s">
        <v>68</v>
      </c>
      <c r="O434" s="3" t="s">
        <v>39</v>
      </c>
      <c r="P434" s="3" t="s">
        <v>19</v>
      </c>
    </row>
    <row r="435" spans="1:16" x14ac:dyDescent="0.25">
      <c r="A435" s="2" t="s">
        <v>742</v>
      </c>
      <c r="B435" s="4">
        <v>45469</v>
      </c>
      <c r="C435" s="2" t="s">
        <v>159</v>
      </c>
      <c r="D435" s="2" t="s">
        <v>51</v>
      </c>
      <c r="E435" s="2" t="s">
        <v>14</v>
      </c>
      <c r="F435" s="2" t="s">
        <v>36</v>
      </c>
      <c r="G435" s="2" t="s">
        <v>113</v>
      </c>
      <c r="H435" s="2">
        <v>114254.79</v>
      </c>
      <c r="I435" s="2">
        <v>5</v>
      </c>
      <c r="J435" s="2">
        <v>0</v>
      </c>
      <c r="K435" s="9">
        <f t="shared" si="18"/>
        <v>571273.94999999995</v>
      </c>
      <c r="L435" s="9">
        <f t="shared" si="19"/>
        <v>0</v>
      </c>
      <c r="M435" s="10">
        <f t="shared" si="20"/>
        <v>571273.94999999995</v>
      </c>
      <c r="N435" s="2" t="s">
        <v>26</v>
      </c>
      <c r="O435" s="2" t="s">
        <v>18</v>
      </c>
      <c r="P435" s="2" t="s">
        <v>60</v>
      </c>
    </row>
    <row r="436" spans="1:16" x14ac:dyDescent="0.25">
      <c r="A436" s="3" t="s">
        <v>743</v>
      </c>
      <c r="B436" s="4">
        <v>45470</v>
      </c>
      <c r="C436" s="3" t="s">
        <v>504</v>
      </c>
      <c r="D436" s="3" t="s">
        <v>47</v>
      </c>
      <c r="E436" s="3" t="s">
        <v>48</v>
      </c>
      <c r="F436" s="3" t="s">
        <v>24</v>
      </c>
      <c r="G436" s="3" t="s">
        <v>134</v>
      </c>
      <c r="H436" s="3">
        <v>2500.56</v>
      </c>
      <c r="I436" s="3">
        <v>1</v>
      </c>
      <c r="J436" s="3">
        <v>15</v>
      </c>
      <c r="K436" s="9">
        <f t="shared" si="18"/>
        <v>2500.56</v>
      </c>
      <c r="L436" s="9">
        <f t="shared" si="19"/>
        <v>375.084</v>
      </c>
      <c r="M436" s="10">
        <f t="shared" si="20"/>
        <v>2125.4760000000001</v>
      </c>
      <c r="N436" s="3" t="s">
        <v>38</v>
      </c>
      <c r="O436" s="3" t="s">
        <v>52</v>
      </c>
      <c r="P436" s="3" t="s">
        <v>40</v>
      </c>
    </row>
    <row r="437" spans="1:16" x14ac:dyDescent="0.25">
      <c r="A437" s="2" t="s">
        <v>744</v>
      </c>
      <c r="B437" s="4">
        <v>45471</v>
      </c>
      <c r="C437" s="2" t="s">
        <v>268</v>
      </c>
      <c r="D437" s="2" t="s">
        <v>100</v>
      </c>
      <c r="E437" s="2" t="s">
        <v>88</v>
      </c>
      <c r="F437" s="2" t="s">
        <v>72</v>
      </c>
      <c r="G437" s="2" t="s">
        <v>73</v>
      </c>
      <c r="H437" s="2">
        <v>324.83</v>
      </c>
      <c r="I437" s="2">
        <v>2</v>
      </c>
      <c r="J437" s="2">
        <v>15</v>
      </c>
      <c r="K437" s="9">
        <f t="shared" si="18"/>
        <v>649.66</v>
      </c>
      <c r="L437" s="9">
        <f t="shared" si="19"/>
        <v>97.448999999999998</v>
      </c>
      <c r="M437" s="10">
        <f t="shared" si="20"/>
        <v>552.21100000000001</v>
      </c>
      <c r="N437" s="2" t="s">
        <v>17</v>
      </c>
      <c r="O437" s="2" t="s">
        <v>52</v>
      </c>
      <c r="P437" s="2" t="s">
        <v>53</v>
      </c>
    </row>
    <row r="438" spans="1:16" x14ac:dyDescent="0.25">
      <c r="A438" s="3" t="s">
        <v>745</v>
      </c>
      <c r="B438" s="4">
        <v>45472</v>
      </c>
      <c r="C438" s="3" t="s">
        <v>746</v>
      </c>
      <c r="D438" s="3" t="s">
        <v>87</v>
      </c>
      <c r="E438" s="3" t="s">
        <v>88</v>
      </c>
      <c r="F438" s="3" t="s">
        <v>36</v>
      </c>
      <c r="G438" s="3" t="s">
        <v>49</v>
      </c>
      <c r="H438" s="3">
        <v>157844.17000000001</v>
      </c>
      <c r="I438" s="3">
        <v>2</v>
      </c>
      <c r="J438" s="3">
        <v>0</v>
      </c>
      <c r="K438" s="9">
        <f t="shared" si="18"/>
        <v>315688.34000000003</v>
      </c>
      <c r="L438" s="9">
        <f t="shared" si="19"/>
        <v>0</v>
      </c>
      <c r="M438" s="10">
        <f t="shared" si="20"/>
        <v>315688.34000000003</v>
      </c>
      <c r="N438" s="3" t="s">
        <v>38</v>
      </c>
      <c r="O438" s="3" t="s">
        <v>18</v>
      </c>
      <c r="P438" s="3" t="s">
        <v>53</v>
      </c>
    </row>
    <row r="439" spans="1:16" x14ac:dyDescent="0.25">
      <c r="A439" s="2" t="s">
        <v>747</v>
      </c>
      <c r="B439" s="4">
        <v>45473</v>
      </c>
      <c r="C439" s="2" t="s">
        <v>46</v>
      </c>
      <c r="D439" s="2" t="s">
        <v>83</v>
      </c>
      <c r="E439" s="2" t="s">
        <v>84</v>
      </c>
      <c r="F439" s="2" t="s">
        <v>72</v>
      </c>
      <c r="G439" s="2" t="s">
        <v>137</v>
      </c>
      <c r="H439" s="2">
        <v>2150.7600000000002</v>
      </c>
      <c r="I439" s="2">
        <v>4</v>
      </c>
      <c r="J439" s="2">
        <v>0</v>
      </c>
      <c r="K439" s="9">
        <f t="shared" si="18"/>
        <v>8603.0400000000009</v>
      </c>
      <c r="L439" s="9">
        <f t="shared" si="19"/>
        <v>0</v>
      </c>
      <c r="M439" s="10">
        <f t="shared" si="20"/>
        <v>8603.0400000000009</v>
      </c>
      <c r="N439" s="2" t="s">
        <v>68</v>
      </c>
      <c r="O439" s="2" t="s">
        <v>27</v>
      </c>
      <c r="P439" s="2" t="s">
        <v>34</v>
      </c>
    </row>
    <row r="440" spans="1:16" x14ac:dyDescent="0.25">
      <c r="A440" s="3" t="s">
        <v>748</v>
      </c>
      <c r="B440" s="4">
        <v>45474</v>
      </c>
      <c r="C440" s="3" t="s">
        <v>500</v>
      </c>
      <c r="D440" s="3" t="s">
        <v>47</v>
      </c>
      <c r="E440" s="3" t="s">
        <v>48</v>
      </c>
      <c r="F440" s="3" t="s">
        <v>72</v>
      </c>
      <c r="G440" s="3" t="s">
        <v>137</v>
      </c>
      <c r="H440" s="3">
        <v>2234.6</v>
      </c>
      <c r="I440" s="3">
        <v>5</v>
      </c>
      <c r="J440" s="3">
        <v>0</v>
      </c>
      <c r="K440" s="9">
        <f t="shared" si="18"/>
        <v>11173</v>
      </c>
      <c r="L440" s="9">
        <f t="shared" si="19"/>
        <v>0</v>
      </c>
      <c r="M440" s="10">
        <f t="shared" si="20"/>
        <v>11173</v>
      </c>
      <c r="N440" s="3" t="s">
        <v>33</v>
      </c>
      <c r="O440" s="3" t="s">
        <v>27</v>
      </c>
      <c r="P440" s="3" t="s">
        <v>60</v>
      </c>
    </row>
    <row r="441" spans="1:16" x14ac:dyDescent="0.25">
      <c r="A441" s="2" t="s">
        <v>749</v>
      </c>
      <c r="B441" s="4">
        <v>45475</v>
      </c>
      <c r="C441" s="2" t="s">
        <v>165</v>
      </c>
      <c r="D441" s="2" t="s">
        <v>22</v>
      </c>
      <c r="E441" s="2" t="s">
        <v>23</v>
      </c>
      <c r="F441" s="2" t="s">
        <v>110</v>
      </c>
      <c r="G441" s="2" t="s">
        <v>215</v>
      </c>
      <c r="H441" s="2">
        <v>2438.16</v>
      </c>
      <c r="I441" s="2">
        <v>2</v>
      </c>
      <c r="J441" s="2">
        <v>5</v>
      </c>
      <c r="K441" s="9">
        <f t="shared" si="18"/>
        <v>4876.32</v>
      </c>
      <c r="L441" s="9">
        <f t="shared" si="19"/>
        <v>243.81599999999997</v>
      </c>
      <c r="M441" s="10">
        <f t="shared" si="20"/>
        <v>4632.5039999999999</v>
      </c>
      <c r="N441" s="2" t="s">
        <v>33</v>
      </c>
      <c r="O441" s="2" t="s">
        <v>18</v>
      </c>
      <c r="P441" s="2" t="s">
        <v>34</v>
      </c>
    </row>
    <row r="442" spans="1:16" x14ac:dyDescent="0.25">
      <c r="A442" s="3" t="s">
        <v>750</v>
      </c>
      <c r="B442" s="4">
        <v>45476</v>
      </c>
      <c r="C442" s="3" t="s">
        <v>751</v>
      </c>
      <c r="D442" s="3" t="s">
        <v>13</v>
      </c>
      <c r="E442" s="3" t="s">
        <v>14</v>
      </c>
      <c r="F442" s="3" t="s">
        <v>110</v>
      </c>
      <c r="G442" s="3" t="s">
        <v>153</v>
      </c>
      <c r="H442" s="3">
        <v>3457.93</v>
      </c>
      <c r="I442" s="3">
        <v>2</v>
      </c>
      <c r="J442" s="3">
        <v>0</v>
      </c>
      <c r="K442" s="9">
        <f t="shared" si="18"/>
        <v>6915.86</v>
      </c>
      <c r="L442" s="9">
        <f t="shared" si="19"/>
        <v>0</v>
      </c>
      <c r="M442" s="10">
        <f t="shared" si="20"/>
        <v>6915.86</v>
      </c>
      <c r="N442" s="3" t="s">
        <v>17</v>
      </c>
      <c r="O442" s="3" t="s">
        <v>27</v>
      </c>
      <c r="P442" s="3" t="s">
        <v>34</v>
      </c>
    </row>
    <row r="443" spans="1:16" x14ac:dyDescent="0.25">
      <c r="A443" s="2" t="s">
        <v>752</v>
      </c>
      <c r="B443" s="4">
        <v>45477</v>
      </c>
      <c r="C443" s="2" t="s">
        <v>703</v>
      </c>
      <c r="D443" s="2" t="s">
        <v>100</v>
      </c>
      <c r="E443" s="2" t="s">
        <v>88</v>
      </c>
      <c r="F443" s="2" t="s">
        <v>31</v>
      </c>
      <c r="G443" s="2" t="s">
        <v>242</v>
      </c>
      <c r="H443" s="2">
        <v>939.11</v>
      </c>
      <c r="I443" s="2">
        <v>1</v>
      </c>
      <c r="J443" s="2">
        <v>15</v>
      </c>
      <c r="K443" s="9">
        <f t="shared" si="18"/>
        <v>939.11</v>
      </c>
      <c r="L443" s="9">
        <f t="shared" si="19"/>
        <v>140.8665</v>
      </c>
      <c r="M443" s="10">
        <f t="shared" si="20"/>
        <v>798.24350000000004</v>
      </c>
      <c r="N443" s="2" t="s">
        <v>26</v>
      </c>
      <c r="O443" s="2" t="s">
        <v>18</v>
      </c>
      <c r="P443" s="2" t="s">
        <v>34</v>
      </c>
    </row>
    <row r="444" spans="1:16" x14ac:dyDescent="0.25">
      <c r="A444" s="3" t="s">
        <v>753</v>
      </c>
      <c r="B444" s="4">
        <v>45478</v>
      </c>
      <c r="C444" s="3" t="s">
        <v>559</v>
      </c>
      <c r="D444" s="3" t="s">
        <v>76</v>
      </c>
      <c r="E444" s="3" t="s">
        <v>77</v>
      </c>
      <c r="F444" s="3" t="s">
        <v>43</v>
      </c>
      <c r="G444" s="3" t="s">
        <v>127</v>
      </c>
      <c r="H444" s="3">
        <v>5599.87</v>
      </c>
      <c r="I444" s="3">
        <v>4</v>
      </c>
      <c r="J444" s="3">
        <v>10</v>
      </c>
      <c r="K444" s="9">
        <f t="shared" si="18"/>
        <v>22399.48</v>
      </c>
      <c r="L444" s="9">
        <f t="shared" si="19"/>
        <v>2239.9479999999999</v>
      </c>
      <c r="M444" s="10">
        <f t="shared" si="20"/>
        <v>20159.531999999999</v>
      </c>
      <c r="N444" s="3" t="s">
        <v>26</v>
      </c>
      <c r="O444" s="3" t="s">
        <v>18</v>
      </c>
      <c r="P444" s="3" t="s">
        <v>53</v>
      </c>
    </row>
    <row r="445" spans="1:16" x14ac:dyDescent="0.25">
      <c r="A445" s="2" t="s">
        <v>754</v>
      </c>
      <c r="B445" s="4">
        <v>45479</v>
      </c>
      <c r="C445" s="2" t="s">
        <v>596</v>
      </c>
      <c r="D445" s="2" t="s">
        <v>100</v>
      </c>
      <c r="E445" s="2" t="s">
        <v>88</v>
      </c>
      <c r="F445" s="2" t="s">
        <v>15</v>
      </c>
      <c r="G445" s="2" t="s">
        <v>56</v>
      </c>
      <c r="H445" s="2">
        <v>1634.11</v>
      </c>
      <c r="I445" s="2">
        <v>5</v>
      </c>
      <c r="J445" s="2">
        <v>0</v>
      </c>
      <c r="K445" s="9">
        <f t="shared" si="18"/>
        <v>8170.5499999999993</v>
      </c>
      <c r="L445" s="9">
        <f t="shared" si="19"/>
        <v>0</v>
      </c>
      <c r="M445" s="10">
        <f t="shared" si="20"/>
        <v>8170.5499999999993</v>
      </c>
      <c r="N445" s="2" t="s">
        <v>68</v>
      </c>
      <c r="O445" s="2" t="s">
        <v>18</v>
      </c>
      <c r="P445" s="2" t="s">
        <v>34</v>
      </c>
    </row>
    <row r="446" spans="1:16" x14ac:dyDescent="0.25">
      <c r="A446" s="3" t="s">
        <v>755</v>
      </c>
      <c r="B446" s="4">
        <v>45480</v>
      </c>
      <c r="C446" s="3" t="s">
        <v>485</v>
      </c>
      <c r="D446" s="3" t="s">
        <v>29</v>
      </c>
      <c r="E446" s="3" t="s">
        <v>30</v>
      </c>
      <c r="F446" s="3" t="s">
        <v>110</v>
      </c>
      <c r="G446" s="3" t="s">
        <v>207</v>
      </c>
      <c r="H446" s="3">
        <v>9143.4699999999993</v>
      </c>
      <c r="I446" s="3">
        <v>3</v>
      </c>
      <c r="J446" s="3">
        <v>5</v>
      </c>
      <c r="K446" s="9">
        <f t="shared" si="18"/>
        <v>27430.409999999996</v>
      </c>
      <c r="L446" s="9">
        <f t="shared" si="19"/>
        <v>1371.5204999999999</v>
      </c>
      <c r="M446" s="10">
        <f t="shared" si="20"/>
        <v>26058.889499999997</v>
      </c>
      <c r="N446" s="3" t="s">
        <v>26</v>
      </c>
      <c r="O446" s="3" t="s">
        <v>18</v>
      </c>
      <c r="P446" s="3" t="s">
        <v>19</v>
      </c>
    </row>
    <row r="447" spans="1:16" x14ac:dyDescent="0.25">
      <c r="A447" s="2" t="s">
        <v>756</v>
      </c>
      <c r="B447" s="4">
        <v>45481</v>
      </c>
      <c r="C447" s="2" t="s">
        <v>397</v>
      </c>
      <c r="D447" s="2" t="s">
        <v>51</v>
      </c>
      <c r="E447" s="2" t="s">
        <v>14</v>
      </c>
      <c r="F447" s="2" t="s">
        <v>72</v>
      </c>
      <c r="G447" s="2" t="s">
        <v>129</v>
      </c>
      <c r="H447" s="2">
        <v>1836.3</v>
      </c>
      <c r="I447" s="2">
        <v>5</v>
      </c>
      <c r="J447" s="2">
        <v>0</v>
      </c>
      <c r="K447" s="9">
        <f t="shared" si="18"/>
        <v>9181.5</v>
      </c>
      <c r="L447" s="9">
        <f t="shared" si="19"/>
        <v>0</v>
      </c>
      <c r="M447" s="10">
        <f t="shared" si="20"/>
        <v>9181.5</v>
      </c>
      <c r="N447" s="2" t="s">
        <v>17</v>
      </c>
      <c r="O447" s="2" t="s">
        <v>27</v>
      </c>
      <c r="P447" s="2" t="s">
        <v>19</v>
      </c>
    </row>
    <row r="448" spans="1:16" x14ac:dyDescent="0.25">
      <c r="A448" s="3" t="s">
        <v>757</v>
      </c>
      <c r="B448" s="4">
        <v>45482</v>
      </c>
      <c r="C448" s="3" t="s">
        <v>326</v>
      </c>
      <c r="D448" s="3" t="s">
        <v>87</v>
      </c>
      <c r="E448" s="3" t="s">
        <v>88</v>
      </c>
      <c r="F448" s="3" t="s">
        <v>43</v>
      </c>
      <c r="G448" s="3" t="s">
        <v>89</v>
      </c>
      <c r="H448" s="3">
        <v>4581.54</v>
      </c>
      <c r="I448" s="3">
        <v>2</v>
      </c>
      <c r="J448" s="3">
        <v>0</v>
      </c>
      <c r="K448" s="9">
        <f t="shared" si="18"/>
        <v>9163.08</v>
      </c>
      <c r="L448" s="9">
        <f t="shared" si="19"/>
        <v>0</v>
      </c>
      <c r="M448" s="10">
        <f t="shared" si="20"/>
        <v>9163.08</v>
      </c>
      <c r="N448" s="3" t="s">
        <v>33</v>
      </c>
      <c r="O448" s="3" t="s">
        <v>18</v>
      </c>
      <c r="P448" s="3" t="s">
        <v>40</v>
      </c>
    </row>
    <row r="449" spans="1:16" x14ac:dyDescent="0.25">
      <c r="A449" s="2" t="s">
        <v>758</v>
      </c>
      <c r="B449" s="4">
        <v>45483</v>
      </c>
      <c r="C449" s="2" t="s">
        <v>759</v>
      </c>
      <c r="D449" s="2" t="s">
        <v>83</v>
      </c>
      <c r="E449" s="2" t="s">
        <v>84</v>
      </c>
      <c r="F449" s="2" t="s">
        <v>15</v>
      </c>
      <c r="G449" s="2" t="s">
        <v>95</v>
      </c>
      <c r="H449" s="2">
        <v>1278.3599999999999</v>
      </c>
      <c r="I449" s="2">
        <v>5</v>
      </c>
      <c r="J449" s="2">
        <v>10</v>
      </c>
      <c r="K449" s="9">
        <f t="shared" si="18"/>
        <v>6391.7999999999993</v>
      </c>
      <c r="L449" s="9">
        <f t="shared" si="19"/>
        <v>639.17999999999995</v>
      </c>
      <c r="M449" s="10">
        <f t="shared" si="20"/>
        <v>5752.619999999999</v>
      </c>
      <c r="N449" s="2" t="s">
        <v>26</v>
      </c>
      <c r="O449" s="2" t="s">
        <v>18</v>
      </c>
      <c r="P449" s="2" t="s">
        <v>19</v>
      </c>
    </row>
    <row r="450" spans="1:16" x14ac:dyDescent="0.25">
      <c r="A450" s="3" t="s">
        <v>760</v>
      </c>
      <c r="B450" s="4">
        <v>45484</v>
      </c>
      <c r="C450" s="3" t="s">
        <v>431</v>
      </c>
      <c r="D450" s="3" t="s">
        <v>83</v>
      </c>
      <c r="E450" s="3" t="s">
        <v>84</v>
      </c>
      <c r="F450" s="3" t="s">
        <v>72</v>
      </c>
      <c r="G450" s="3" t="s">
        <v>81</v>
      </c>
      <c r="H450" s="3">
        <v>1377.96</v>
      </c>
      <c r="I450" s="3">
        <v>2</v>
      </c>
      <c r="J450" s="3">
        <v>15</v>
      </c>
      <c r="K450" s="9">
        <f t="shared" ref="K450:K513" si="21">I450*H450</f>
        <v>2755.92</v>
      </c>
      <c r="L450" s="9">
        <f t="shared" ref="L450:L513" si="22">K450*J450/100</f>
        <v>413.38800000000003</v>
      </c>
      <c r="M450" s="10">
        <f t="shared" ref="M450:M513" si="23">K450-L450</f>
        <v>2342.5320000000002</v>
      </c>
      <c r="N450" s="3" t="s">
        <v>17</v>
      </c>
      <c r="O450" s="3" t="s">
        <v>39</v>
      </c>
      <c r="P450" s="3" t="s">
        <v>40</v>
      </c>
    </row>
    <row r="451" spans="1:16" x14ac:dyDescent="0.25">
      <c r="A451" s="2" t="s">
        <v>761</v>
      </c>
      <c r="B451" s="4">
        <v>45485</v>
      </c>
      <c r="C451" s="2" t="s">
        <v>663</v>
      </c>
      <c r="D451" s="2" t="s">
        <v>83</v>
      </c>
      <c r="E451" s="2" t="s">
        <v>84</v>
      </c>
      <c r="F451" s="2" t="s">
        <v>43</v>
      </c>
      <c r="G451" s="2" t="s">
        <v>105</v>
      </c>
      <c r="H451" s="2">
        <v>3009.9</v>
      </c>
      <c r="I451" s="2">
        <v>5</v>
      </c>
      <c r="J451" s="2">
        <v>5</v>
      </c>
      <c r="K451" s="9">
        <f t="shared" si="21"/>
        <v>15049.5</v>
      </c>
      <c r="L451" s="9">
        <f t="shared" si="22"/>
        <v>752.47500000000002</v>
      </c>
      <c r="M451" s="10">
        <f t="shared" si="23"/>
        <v>14297.025</v>
      </c>
      <c r="N451" s="2" t="s">
        <v>26</v>
      </c>
      <c r="O451" s="2" t="s">
        <v>39</v>
      </c>
      <c r="P451" s="2" t="s">
        <v>60</v>
      </c>
    </row>
    <row r="452" spans="1:16" x14ac:dyDescent="0.25">
      <c r="A452" s="3" t="s">
        <v>762</v>
      </c>
      <c r="B452" s="4">
        <v>45486</v>
      </c>
      <c r="C452" s="3" t="s">
        <v>239</v>
      </c>
      <c r="D452" s="3" t="s">
        <v>29</v>
      </c>
      <c r="E452" s="3" t="s">
        <v>30</v>
      </c>
      <c r="F452" s="3" t="s">
        <v>36</v>
      </c>
      <c r="G452" s="3" t="s">
        <v>37</v>
      </c>
      <c r="H452" s="3">
        <v>11121.32</v>
      </c>
      <c r="I452" s="3">
        <v>4</v>
      </c>
      <c r="J452" s="3">
        <v>10</v>
      </c>
      <c r="K452" s="9">
        <f t="shared" si="21"/>
        <v>44485.279999999999</v>
      </c>
      <c r="L452" s="9">
        <f t="shared" si="22"/>
        <v>4448.5280000000002</v>
      </c>
      <c r="M452" s="10">
        <f t="shared" si="23"/>
        <v>40036.752</v>
      </c>
      <c r="N452" s="3" t="s">
        <v>68</v>
      </c>
      <c r="O452" s="3" t="s">
        <v>18</v>
      </c>
      <c r="P452" s="3" t="s">
        <v>19</v>
      </c>
    </row>
    <row r="453" spans="1:16" x14ac:dyDescent="0.25">
      <c r="A453" s="2" t="s">
        <v>763</v>
      </c>
      <c r="B453" s="4">
        <v>45487</v>
      </c>
      <c r="C453" s="2" t="s">
        <v>764</v>
      </c>
      <c r="D453" s="2" t="s">
        <v>51</v>
      </c>
      <c r="E453" s="2" t="s">
        <v>14</v>
      </c>
      <c r="F453" s="2" t="s">
        <v>36</v>
      </c>
      <c r="G453" s="2" t="s">
        <v>121</v>
      </c>
      <c r="H453" s="2">
        <v>99629.27</v>
      </c>
      <c r="I453" s="2">
        <v>1</v>
      </c>
      <c r="J453" s="2">
        <v>0</v>
      </c>
      <c r="K453" s="9">
        <f t="shared" si="21"/>
        <v>99629.27</v>
      </c>
      <c r="L453" s="9">
        <f t="shared" si="22"/>
        <v>0</v>
      </c>
      <c r="M453" s="10">
        <f t="shared" si="23"/>
        <v>99629.27</v>
      </c>
      <c r="N453" s="2" t="s">
        <v>17</v>
      </c>
      <c r="O453" s="2" t="s">
        <v>18</v>
      </c>
      <c r="P453" s="2" t="s">
        <v>19</v>
      </c>
    </row>
    <row r="454" spans="1:16" x14ac:dyDescent="0.25">
      <c r="A454" s="3" t="s">
        <v>765</v>
      </c>
      <c r="B454" s="4">
        <v>45488</v>
      </c>
      <c r="C454" s="3" t="s">
        <v>143</v>
      </c>
      <c r="D454" s="3" t="s">
        <v>51</v>
      </c>
      <c r="E454" s="3" t="s">
        <v>14</v>
      </c>
      <c r="F454" s="3" t="s">
        <v>15</v>
      </c>
      <c r="G454" s="3" t="s">
        <v>16</v>
      </c>
      <c r="H454" s="3">
        <v>1472.65</v>
      </c>
      <c r="I454" s="3">
        <v>1</v>
      </c>
      <c r="J454" s="3">
        <v>0</v>
      </c>
      <c r="K454" s="9">
        <f t="shared" si="21"/>
        <v>1472.65</v>
      </c>
      <c r="L454" s="9">
        <f t="shared" si="22"/>
        <v>0</v>
      </c>
      <c r="M454" s="10">
        <f t="shared" si="23"/>
        <v>1472.65</v>
      </c>
      <c r="N454" s="3" t="s">
        <v>33</v>
      </c>
      <c r="O454" s="3" t="s">
        <v>27</v>
      </c>
      <c r="P454" s="3" t="s">
        <v>19</v>
      </c>
    </row>
    <row r="455" spans="1:16" x14ac:dyDescent="0.25">
      <c r="A455" s="2" t="s">
        <v>766</v>
      </c>
      <c r="B455" s="4">
        <v>45489</v>
      </c>
      <c r="C455" s="2" t="s">
        <v>217</v>
      </c>
      <c r="D455" s="2" t="s">
        <v>65</v>
      </c>
      <c r="E455" s="2" t="s">
        <v>66</v>
      </c>
      <c r="F455" s="2" t="s">
        <v>110</v>
      </c>
      <c r="G455" s="2" t="s">
        <v>215</v>
      </c>
      <c r="H455" s="2">
        <v>2555.94</v>
      </c>
      <c r="I455" s="2">
        <v>4</v>
      </c>
      <c r="J455" s="2">
        <v>5</v>
      </c>
      <c r="K455" s="9">
        <f t="shared" si="21"/>
        <v>10223.76</v>
      </c>
      <c r="L455" s="9">
        <f t="shared" si="22"/>
        <v>511.18800000000005</v>
      </c>
      <c r="M455" s="10">
        <f t="shared" si="23"/>
        <v>9712.5720000000001</v>
      </c>
      <c r="N455" s="2" t="s">
        <v>33</v>
      </c>
      <c r="O455" s="2" t="s">
        <v>52</v>
      </c>
      <c r="P455" s="2" t="s">
        <v>19</v>
      </c>
    </row>
    <row r="456" spans="1:16" x14ac:dyDescent="0.25">
      <c r="A456" s="3" t="s">
        <v>767</v>
      </c>
      <c r="B456" s="4">
        <v>45490</v>
      </c>
      <c r="C456" s="3" t="s">
        <v>768</v>
      </c>
      <c r="D456" s="3" t="s">
        <v>83</v>
      </c>
      <c r="E456" s="3" t="s">
        <v>84</v>
      </c>
      <c r="F456" s="3" t="s">
        <v>110</v>
      </c>
      <c r="G456" s="3" t="s">
        <v>67</v>
      </c>
      <c r="H456" s="3">
        <v>4278.3999999999996</v>
      </c>
      <c r="I456" s="3">
        <v>3</v>
      </c>
      <c r="J456" s="3">
        <v>15</v>
      </c>
      <c r="K456" s="9">
        <f t="shared" si="21"/>
        <v>12835.199999999999</v>
      </c>
      <c r="L456" s="9">
        <f t="shared" si="22"/>
        <v>1925.2799999999997</v>
      </c>
      <c r="M456" s="10">
        <f t="shared" si="23"/>
        <v>10909.919999999998</v>
      </c>
      <c r="N456" s="3" t="s">
        <v>38</v>
      </c>
      <c r="O456" s="3" t="s">
        <v>39</v>
      </c>
      <c r="P456" s="3" t="s">
        <v>60</v>
      </c>
    </row>
    <row r="457" spans="1:16" x14ac:dyDescent="0.25">
      <c r="A457" s="2" t="s">
        <v>769</v>
      </c>
      <c r="B457" s="4">
        <v>45491</v>
      </c>
      <c r="C457" s="2" t="s">
        <v>361</v>
      </c>
      <c r="D457" s="2" t="s">
        <v>22</v>
      </c>
      <c r="E457" s="2" t="s">
        <v>23</v>
      </c>
      <c r="F457" s="2" t="s">
        <v>15</v>
      </c>
      <c r="G457" s="2" t="s">
        <v>163</v>
      </c>
      <c r="H457" s="2">
        <v>2473.3000000000002</v>
      </c>
      <c r="I457" s="2">
        <v>2</v>
      </c>
      <c r="J457" s="2">
        <v>0</v>
      </c>
      <c r="K457" s="9">
        <f t="shared" si="21"/>
        <v>4946.6000000000004</v>
      </c>
      <c r="L457" s="9">
        <f t="shared" si="22"/>
        <v>0</v>
      </c>
      <c r="M457" s="10">
        <f t="shared" si="23"/>
        <v>4946.6000000000004</v>
      </c>
      <c r="N457" s="2" t="s">
        <v>26</v>
      </c>
      <c r="O457" s="2" t="s">
        <v>52</v>
      </c>
      <c r="P457" s="2" t="s">
        <v>60</v>
      </c>
    </row>
    <row r="458" spans="1:16" x14ac:dyDescent="0.25">
      <c r="A458" s="3" t="s">
        <v>770</v>
      </c>
      <c r="B458" s="4">
        <v>45492</v>
      </c>
      <c r="C458" s="3" t="s">
        <v>771</v>
      </c>
      <c r="D458" s="3" t="s">
        <v>13</v>
      </c>
      <c r="E458" s="3" t="s">
        <v>14</v>
      </c>
      <c r="F458" s="3" t="s">
        <v>24</v>
      </c>
      <c r="G458" s="3" t="s">
        <v>134</v>
      </c>
      <c r="H458" s="3">
        <v>2732.29</v>
      </c>
      <c r="I458" s="3">
        <v>1</v>
      </c>
      <c r="J458" s="3">
        <v>5</v>
      </c>
      <c r="K458" s="9">
        <f t="shared" si="21"/>
        <v>2732.29</v>
      </c>
      <c r="L458" s="9">
        <f t="shared" si="22"/>
        <v>136.61450000000002</v>
      </c>
      <c r="M458" s="10">
        <f t="shared" si="23"/>
        <v>2595.6754999999998</v>
      </c>
      <c r="N458" s="3" t="s">
        <v>26</v>
      </c>
      <c r="O458" s="3" t="s">
        <v>18</v>
      </c>
      <c r="P458" s="3" t="s">
        <v>19</v>
      </c>
    </row>
    <row r="459" spans="1:16" x14ac:dyDescent="0.25">
      <c r="A459" s="2" t="s">
        <v>772</v>
      </c>
      <c r="B459" s="4">
        <v>45493</v>
      </c>
      <c r="C459" s="2" t="s">
        <v>725</v>
      </c>
      <c r="D459" s="2" t="s">
        <v>47</v>
      </c>
      <c r="E459" s="2" t="s">
        <v>48</v>
      </c>
      <c r="F459" s="2" t="s">
        <v>24</v>
      </c>
      <c r="G459" s="2" t="s">
        <v>108</v>
      </c>
      <c r="H459" s="2">
        <v>7328.06</v>
      </c>
      <c r="I459" s="2">
        <v>1</v>
      </c>
      <c r="J459" s="2">
        <v>0</v>
      </c>
      <c r="K459" s="9">
        <f t="shared" si="21"/>
        <v>7328.06</v>
      </c>
      <c r="L459" s="9">
        <f t="shared" si="22"/>
        <v>0</v>
      </c>
      <c r="M459" s="10">
        <f t="shared" si="23"/>
        <v>7328.06</v>
      </c>
      <c r="N459" s="2" t="s">
        <v>33</v>
      </c>
      <c r="O459" s="2" t="s">
        <v>52</v>
      </c>
      <c r="P459" s="2" t="s">
        <v>19</v>
      </c>
    </row>
    <row r="460" spans="1:16" x14ac:dyDescent="0.25">
      <c r="A460" s="3" t="s">
        <v>773</v>
      </c>
      <c r="B460" s="4">
        <v>45494</v>
      </c>
      <c r="C460" s="3" t="s">
        <v>583</v>
      </c>
      <c r="D460" s="3" t="s">
        <v>13</v>
      </c>
      <c r="E460" s="3" t="s">
        <v>14</v>
      </c>
      <c r="F460" s="3" t="s">
        <v>72</v>
      </c>
      <c r="G460" s="3" t="s">
        <v>102</v>
      </c>
      <c r="H460" s="3">
        <v>668.24</v>
      </c>
      <c r="I460" s="3">
        <v>4</v>
      </c>
      <c r="J460" s="3">
        <v>0</v>
      </c>
      <c r="K460" s="9">
        <f t="shared" si="21"/>
        <v>2672.96</v>
      </c>
      <c r="L460" s="9">
        <f t="shared" si="22"/>
        <v>0</v>
      </c>
      <c r="M460" s="10">
        <f t="shared" si="23"/>
        <v>2672.96</v>
      </c>
      <c r="N460" s="3" t="s">
        <v>26</v>
      </c>
      <c r="O460" s="3" t="s">
        <v>39</v>
      </c>
      <c r="P460" s="3" t="s">
        <v>19</v>
      </c>
    </row>
    <row r="461" spans="1:16" x14ac:dyDescent="0.25">
      <c r="A461" s="2" t="s">
        <v>774</v>
      </c>
      <c r="B461" s="4">
        <v>45495</v>
      </c>
      <c r="C461" s="2" t="s">
        <v>553</v>
      </c>
      <c r="D461" s="2" t="s">
        <v>29</v>
      </c>
      <c r="E461" s="2" t="s">
        <v>30</v>
      </c>
      <c r="F461" s="2" t="s">
        <v>110</v>
      </c>
      <c r="G461" s="2" t="s">
        <v>111</v>
      </c>
      <c r="H461" s="2">
        <v>9877.0499999999993</v>
      </c>
      <c r="I461" s="2">
        <v>5</v>
      </c>
      <c r="J461" s="2">
        <v>15</v>
      </c>
      <c r="K461" s="9">
        <f t="shared" si="21"/>
        <v>49385.25</v>
      </c>
      <c r="L461" s="9">
        <f t="shared" si="22"/>
        <v>7407.7875000000004</v>
      </c>
      <c r="M461" s="10">
        <f t="shared" si="23"/>
        <v>41977.462500000001</v>
      </c>
      <c r="N461" s="2" t="s">
        <v>68</v>
      </c>
      <c r="O461" s="2" t="s">
        <v>18</v>
      </c>
      <c r="P461" s="2" t="s">
        <v>53</v>
      </c>
    </row>
    <row r="462" spans="1:16" x14ac:dyDescent="0.25">
      <c r="A462" s="3" t="s">
        <v>775</v>
      </c>
      <c r="B462" s="4">
        <v>45496</v>
      </c>
      <c r="C462" s="3" t="s">
        <v>131</v>
      </c>
      <c r="D462" s="3" t="s">
        <v>22</v>
      </c>
      <c r="E462" s="3" t="s">
        <v>23</v>
      </c>
      <c r="F462" s="3" t="s">
        <v>31</v>
      </c>
      <c r="G462" s="3" t="s">
        <v>70</v>
      </c>
      <c r="H462" s="3">
        <v>582.38</v>
      </c>
      <c r="I462" s="3">
        <v>4</v>
      </c>
      <c r="J462" s="3">
        <v>0</v>
      </c>
      <c r="K462" s="9">
        <f t="shared" si="21"/>
        <v>2329.52</v>
      </c>
      <c r="L462" s="9">
        <f t="shared" si="22"/>
        <v>0</v>
      </c>
      <c r="M462" s="10">
        <f t="shared" si="23"/>
        <v>2329.52</v>
      </c>
      <c r="N462" s="3" t="s">
        <v>17</v>
      </c>
      <c r="O462" s="3" t="s">
        <v>18</v>
      </c>
      <c r="P462" s="3" t="s">
        <v>19</v>
      </c>
    </row>
    <row r="463" spans="1:16" x14ac:dyDescent="0.25">
      <c r="A463" s="2" t="s">
        <v>776</v>
      </c>
      <c r="B463" s="4">
        <v>45497</v>
      </c>
      <c r="C463" s="2" t="s">
        <v>395</v>
      </c>
      <c r="D463" s="2" t="s">
        <v>22</v>
      </c>
      <c r="E463" s="2" t="s">
        <v>23</v>
      </c>
      <c r="F463" s="2" t="s">
        <v>36</v>
      </c>
      <c r="G463" s="2" t="s">
        <v>113</v>
      </c>
      <c r="H463" s="2">
        <v>114827.85</v>
      </c>
      <c r="I463" s="2">
        <v>5</v>
      </c>
      <c r="J463" s="2">
        <v>0</v>
      </c>
      <c r="K463" s="9">
        <f t="shared" si="21"/>
        <v>574139.25</v>
      </c>
      <c r="L463" s="9">
        <f t="shared" si="22"/>
        <v>0</v>
      </c>
      <c r="M463" s="10">
        <f t="shared" si="23"/>
        <v>574139.25</v>
      </c>
      <c r="N463" s="2" t="s">
        <v>38</v>
      </c>
      <c r="O463" s="2" t="s">
        <v>18</v>
      </c>
      <c r="P463" s="2" t="s">
        <v>34</v>
      </c>
    </row>
    <row r="464" spans="1:16" x14ac:dyDescent="0.25">
      <c r="A464" s="3" t="s">
        <v>777</v>
      </c>
      <c r="B464" s="4">
        <v>45498</v>
      </c>
      <c r="C464" s="3" t="s">
        <v>598</v>
      </c>
      <c r="D464" s="3" t="s">
        <v>76</v>
      </c>
      <c r="E464" s="3" t="s">
        <v>77</v>
      </c>
      <c r="F464" s="3" t="s">
        <v>43</v>
      </c>
      <c r="G464" s="3" t="s">
        <v>89</v>
      </c>
      <c r="H464" s="3">
        <v>4054.19</v>
      </c>
      <c r="I464" s="3">
        <v>2</v>
      </c>
      <c r="J464" s="3">
        <v>0</v>
      </c>
      <c r="K464" s="9">
        <f t="shared" si="21"/>
        <v>8108.38</v>
      </c>
      <c r="L464" s="9">
        <f t="shared" si="22"/>
        <v>0</v>
      </c>
      <c r="M464" s="10">
        <f t="shared" si="23"/>
        <v>8108.38</v>
      </c>
      <c r="N464" s="3" t="s">
        <v>17</v>
      </c>
      <c r="O464" s="3" t="s">
        <v>18</v>
      </c>
      <c r="P464" s="3" t="s">
        <v>19</v>
      </c>
    </row>
    <row r="465" spans="1:16" x14ac:dyDescent="0.25">
      <c r="A465" s="2" t="s">
        <v>778</v>
      </c>
      <c r="B465" s="4">
        <v>45499</v>
      </c>
      <c r="C465" s="2" t="s">
        <v>779</v>
      </c>
      <c r="D465" s="2" t="s">
        <v>87</v>
      </c>
      <c r="E465" s="2" t="s">
        <v>88</v>
      </c>
      <c r="F465" s="2" t="s">
        <v>36</v>
      </c>
      <c r="G465" s="2" t="s">
        <v>113</v>
      </c>
      <c r="H465" s="2">
        <v>130961.02</v>
      </c>
      <c r="I465" s="2">
        <v>5</v>
      </c>
      <c r="J465" s="2">
        <v>5</v>
      </c>
      <c r="K465" s="9">
        <f t="shared" si="21"/>
        <v>654805.1</v>
      </c>
      <c r="L465" s="9">
        <f t="shared" si="22"/>
        <v>32740.255000000001</v>
      </c>
      <c r="M465" s="10">
        <f t="shared" si="23"/>
        <v>622064.84499999997</v>
      </c>
      <c r="N465" s="2" t="s">
        <v>38</v>
      </c>
      <c r="O465" s="2" t="s">
        <v>27</v>
      </c>
      <c r="P465" s="2" t="s">
        <v>60</v>
      </c>
    </row>
    <row r="466" spans="1:16" x14ac:dyDescent="0.25">
      <c r="A466" s="3" t="s">
        <v>780</v>
      </c>
      <c r="B466" s="4">
        <v>45500</v>
      </c>
      <c r="C466" s="3" t="s">
        <v>429</v>
      </c>
      <c r="D466" s="3" t="s">
        <v>51</v>
      </c>
      <c r="E466" s="3" t="s">
        <v>14</v>
      </c>
      <c r="F466" s="3" t="s">
        <v>72</v>
      </c>
      <c r="G466" s="3" t="s">
        <v>137</v>
      </c>
      <c r="H466" s="3">
        <v>2402.9499999999998</v>
      </c>
      <c r="I466" s="3">
        <v>4</v>
      </c>
      <c r="J466" s="3">
        <v>5</v>
      </c>
      <c r="K466" s="9">
        <f t="shared" si="21"/>
        <v>9611.7999999999993</v>
      </c>
      <c r="L466" s="9">
        <f t="shared" si="22"/>
        <v>480.59</v>
      </c>
      <c r="M466" s="10">
        <f t="shared" si="23"/>
        <v>9131.2099999999991</v>
      </c>
      <c r="N466" s="3" t="s">
        <v>33</v>
      </c>
      <c r="O466" s="3" t="s">
        <v>52</v>
      </c>
      <c r="P466" s="3" t="s">
        <v>40</v>
      </c>
    </row>
    <row r="467" spans="1:16" x14ac:dyDescent="0.25">
      <c r="A467" s="2" t="s">
        <v>781</v>
      </c>
      <c r="B467" s="4">
        <v>45501</v>
      </c>
      <c r="C467" s="2" t="s">
        <v>295</v>
      </c>
      <c r="D467" s="2" t="s">
        <v>22</v>
      </c>
      <c r="E467" s="2" t="s">
        <v>23</v>
      </c>
      <c r="F467" s="2" t="s">
        <v>43</v>
      </c>
      <c r="G467" s="2" t="s">
        <v>127</v>
      </c>
      <c r="H467" s="2">
        <v>5694.6</v>
      </c>
      <c r="I467" s="2">
        <v>2</v>
      </c>
      <c r="J467" s="2">
        <v>10</v>
      </c>
      <c r="K467" s="9">
        <f t="shared" si="21"/>
        <v>11389.2</v>
      </c>
      <c r="L467" s="9">
        <f t="shared" si="22"/>
        <v>1138.92</v>
      </c>
      <c r="M467" s="10">
        <f t="shared" si="23"/>
        <v>10250.280000000001</v>
      </c>
      <c r="N467" s="2" t="s">
        <v>33</v>
      </c>
      <c r="O467" s="2" t="s">
        <v>18</v>
      </c>
      <c r="P467" s="2" t="s">
        <v>19</v>
      </c>
    </row>
    <row r="468" spans="1:16" x14ac:dyDescent="0.25">
      <c r="A468" s="3" t="s">
        <v>782</v>
      </c>
      <c r="B468" s="4">
        <v>45502</v>
      </c>
      <c r="C468" s="3" t="s">
        <v>511</v>
      </c>
      <c r="D468" s="3" t="s">
        <v>47</v>
      </c>
      <c r="E468" s="3" t="s">
        <v>48</v>
      </c>
      <c r="F468" s="3" t="s">
        <v>24</v>
      </c>
      <c r="G468" s="3" t="s">
        <v>108</v>
      </c>
      <c r="H468" s="3">
        <v>7348.82</v>
      </c>
      <c r="I468" s="3">
        <v>3</v>
      </c>
      <c r="J468" s="3">
        <v>0</v>
      </c>
      <c r="K468" s="9">
        <f t="shared" si="21"/>
        <v>22046.46</v>
      </c>
      <c r="L468" s="9">
        <f t="shared" si="22"/>
        <v>0</v>
      </c>
      <c r="M468" s="10">
        <f t="shared" si="23"/>
        <v>22046.46</v>
      </c>
      <c r="N468" s="3" t="s">
        <v>17</v>
      </c>
      <c r="O468" s="3" t="s">
        <v>18</v>
      </c>
      <c r="P468" s="3" t="s">
        <v>60</v>
      </c>
    </row>
    <row r="469" spans="1:16" x14ac:dyDescent="0.25">
      <c r="A469" s="2" t="s">
        <v>783</v>
      </c>
      <c r="B469" s="4">
        <v>45503</v>
      </c>
      <c r="C469" s="2" t="s">
        <v>570</v>
      </c>
      <c r="D469" s="2" t="s">
        <v>29</v>
      </c>
      <c r="E469" s="2" t="s">
        <v>30</v>
      </c>
      <c r="F469" s="2" t="s">
        <v>31</v>
      </c>
      <c r="G469" s="2" t="s">
        <v>186</v>
      </c>
      <c r="H469" s="2">
        <v>871.54</v>
      </c>
      <c r="I469" s="2">
        <v>2</v>
      </c>
      <c r="J469" s="2">
        <v>0</v>
      </c>
      <c r="K469" s="9">
        <f t="shared" si="21"/>
        <v>1743.08</v>
      </c>
      <c r="L469" s="9">
        <f t="shared" si="22"/>
        <v>0</v>
      </c>
      <c r="M469" s="10">
        <f t="shared" si="23"/>
        <v>1743.08</v>
      </c>
      <c r="N469" s="2" t="s">
        <v>26</v>
      </c>
      <c r="O469" s="2" t="s">
        <v>18</v>
      </c>
      <c r="P469" s="2" t="s">
        <v>53</v>
      </c>
    </row>
    <row r="470" spans="1:16" x14ac:dyDescent="0.25">
      <c r="A470" s="3" t="s">
        <v>784</v>
      </c>
      <c r="B470" s="4">
        <v>45504</v>
      </c>
      <c r="C470" s="3" t="s">
        <v>525</v>
      </c>
      <c r="D470" s="3" t="s">
        <v>51</v>
      </c>
      <c r="E470" s="3" t="s">
        <v>14</v>
      </c>
      <c r="F470" s="3" t="s">
        <v>72</v>
      </c>
      <c r="G470" s="3" t="s">
        <v>102</v>
      </c>
      <c r="H470" s="3">
        <v>693.72</v>
      </c>
      <c r="I470" s="3">
        <v>3</v>
      </c>
      <c r="J470" s="3">
        <v>15</v>
      </c>
      <c r="K470" s="9">
        <f t="shared" si="21"/>
        <v>2081.16</v>
      </c>
      <c r="L470" s="9">
        <f t="shared" si="22"/>
        <v>312.17399999999998</v>
      </c>
      <c r="M470" s="10">
        <f t="shared" si="23"/>
        <v>1768.9859999999999</v>
      </c>
      <c r="N470" s="3" t="s">
        <v>68</v>
      </c>
      <c r="O470" s="3" t="s">
        <v>18</v>
      </c>
      <c r="P470" s="3" t="s">
        <v>40</v>
      </c>
    </row>
    <row r="471" spans="1:16" x14ac:dyDescent="0.25">
      <c r="A471" s="2" t="s">
        <v>785</v>
      </c>
      <c r="B471" s="4">
        <v>45505</v>
      </c>
      <c r="C471" s="2" t="s">
        <v>786</v>
      </c>
      <c r="D471" s="2" t="s">
        <v>29</v>
      </c>
      <c r="E471" s="2" t="s">
        <v>30</v>
      </c>
      <c r="F471" s="2" t="s">
        <v>36</v>
      </c>
      <c r="G471" s="2" t="s">
        <v>113</v>
      </c>
      <c r="H471" s="2">
        <v>130991.83</v>
      </c>
      <c r="I471" s="2">
        <v>4</v>
      </c>
      <c r="J471" s="2">
        <v>10</v>
      </c>
      <c r="K471" s="9">
        <f t="shared" si="21"/>
        <v>523967.32</v>
      </c>
      <c r="L471" s="9">
        <f t="shared" si="22"/>
        <v>52396.732000000004</v>
      </c>
      <c r="M471" s="10">
        <f t="shared" si="23"/>
        <v>471570.58799999999</v>
      </c>
      <c r="N471" s="2" t="s">
        <v>17</v>
      </c>
      <c r="O471" s="2" t="s">
        <v>18</v>
      </c>
      <c r="P471" s="2" t="s">
        <v>60</v>
      </c>
    </row>
    <row r="472" spans="1:16" x14ac:dyDescent="0.25">
      <c r="A472" s="3" t="s">
        <v>787</v>
      </c>
      <c r="B472" s="4">
        <v>45506</v>
      </c>
      <c r="C472" s="3" t="s">
        <v>634</v>
      </c>
      <c r="D472" s="3" t="s">
        <v>100</v>
      </c>
      <c r="E472" s="3" t="s">
        <v>88</v>
      </c>
      <c r="F472" s="3" t="s">
        <v>72</v>
      </c>
      <c r="G472" s="3" t="s">
        <v>73</v>
      </c>
      <c r="H472" s="3">
        <v>334.62</v>
      </c>
      <c r="I472" s="3">
        <v>2</v>
      </c>
      <c r="J472" s="3">
        <v>5</v>
      </c>
      <c r="K472" s="9">
        <f t="shared" si="21"/>
        <v>669.24</v>
      </c>
      <c r="L472" s="9">
        <f t="shared" si="22"/>
        <v>33.461999999999996</v>
      </c>
      <c r="M472" s="10">
        <f t="shared" si="23"/>
        <v>635.77800000000002</v>
      </c>
      <c r="N472" s="3" t="s">
        <v>26</v>
      </c>
      <c r="O472" s="3" t="s">
        <v>18</v>
      </c>
      <c r="P472" s="3" t="s">
        <v>19</v>
      </c>
    </row>
    <row r="473" spans="1:16" x14ac:dyDescent="0.25">
      <c r="A473" s="2" t="s">
        <v>788</v>
      </c>
      <c r="B473" s="4">
        <v>45507</v>
      </c>
      <c r="C473" s="2" t="s">
        <v>700</v>
      </c>
      <c r="D473" s="2" t="s">
        <v>13</v>
      </c>
      <c r="E473" s="2" t="s">
        <v>14</v>
      </c>
      <c r="F473" s="2" t="s">
        <v>110</v>
      </c>
      <c r="G473" s="2" t="s">
        <v>215</v>
      </c>
      <c r="H473" s="2">
        <v>2446.86</v>
      </c>
      <c r="I473" s="2">
        <v>2</v>
      </c>
      <c r="J473" s="2">
        <v>5</v>
      </c>
      <c r="K473" s="9">
        <f t="shared" si="21"/>
        <v>4893.72</v>
      </c>
      <c r="L473" s="9">
        <f t="shared" si="22"/>
        <v>244.68600000000004</v>
      </c>
      <c r="M473" s="10">
        <f t="shared" si="23"/>
        <v>4649.0340000000006</v>
      </c>
      <c r="N473" s="2" t="s">
        <v>68</v>
      </c>
      <c r="O473" s="2" t="s">
        <v>27</v>
      </c>
      <c r="P473" s="2" t="s">
        <v>19</v>
      </c>
    </row>
    <row r="474" spans="1:16" x14ac:dyDescent="0.25">
      <c r="A474" s="3" t="s">
        <v>789</v>
      </c>
      <c r="B474" s="4">
        <v>45508</v>
      </c>
      <c r="C474" s="3" t="s">
        <v>314</v>
      </c>
      <c r="D474" s="3" t="s">
        <v>13</v>
      </c>
      <c r="E474" s="3" t="s">
        <v>14</v>
      </c>
      <c r="F474" s="3" t="s">
        <v>36</v>
      </c>
      <c r="G474" s="3" t="s">
        <v>121</v>
      </c>
      <c r="H474" s="3">
        <v>89504.3</v>
      </c>
      <c r="I474" s="3">
        <v>5</v>
      </c>
      <c r="J474" s="3">
        <v>0</v>
      </c>
      <c r="K474" s="9">
        <f t="shared" si="21"/>
        <v>447521.5</v>
      </c>
      <c r="L474" s="9">
        <f t="shared" si="22"/>
        <v>0</v>
      </c>
      <c r="M474" s="10">
        <f t="shared" si="23"/>
        <v>447521.5</v>
      </c>
      <c r="N474" s="3" t="s">
        <v>38</v>
      </c>
      <c r="O474" s="3" t="s">
        <v>18</v>
      </c>
      <c r="P474" s="3" t="s">
        <v>19</v>
      </c>
    </row>
    <row r="475" spans="1:16" x14ac:dyDescent="0.25">
      <c r="A475" s="2" t="s">
        <v>790</v>
      </c>
      <c r="B475" s="4">
        <v>45509</v>
      </c>
      <c r="C475" s="2" t="s">
        <v>791</v>
      </c>
      <c r="D475" s="2" t="s">
        <v>47</v>
      </c>
      <c r="E475" s="2" t="s">
        <v>48</v>
      </c>
      <c r="F475" s="2" t="s">
        <v>24</v>
      </c>
      <c r="G475" s="2" t="s">
        <v>108</v>
      </c>
      <c r="H475" s="2">
        <v>7954.15</v>
      </c>
      <c r="I475" s="2">
        <v>5</v>
      </c>
      <c r="J475" s="2">
        <v>5</v>
      </c>
      <c r="K475" s="9">
        <f t="shared" si="21"/>
        <v>39770.75</v>
      </c>
      <c r="L475" s="9">
        <f t="shared" si="22"/>
        <v>1988.5374999999999</v>
      </c>
      <c r="M475" s="10">
        <f t="shared" si="23"/>
        <v>37782.212500000001</v>
      </c>
      <c r="N475" s="2" t="s">
        <v>38</v>
      </c>
      <c r="O475" s="2" t="s">
        <v>18</v>
      </c>
      <c r="P475" s="2" t="s">
        <v>60</v>
      </c>
    </row>
    <row r="476" spans="1:16" x14ac:dyDescent="0.25">
      <c r="A476" s="3" t="s">
        <v>792</v>
      </c>
      <c r="B476" s="4">
        <v>45510</v>
      </c>
      <c r="C476" s="3" t="s">
        <v>277</v>
      </c>
      <c r="D476" s="3" t="s">
        <v>87</v>
      </c>
      <c r="E476" s="3" t="s">
        <v>88</v>
      </c>
      <c r="F476" s="3" t="s">
        <v>31</v>
      </c>
      <c r="G476" s="3" t="s">
        <v>70</v>
      </c>
      <c r="H476" s="3">
        <v>573.55999999999995</v>
      </c>
      <c r="I476" s="3">
        <v>2</v>
      </c>
      <c r="J476" s="3">
        <v>0</v>
      </c>
      <c r="K476" s="9">
        <f t="shared" si="21"/>
        <v>1147.1199999999999</v>
      </c>
      <c r="L476" s="9">
        <f t="shared" si="22"/>
        <v>0</v>
      </c>
      <c r="M476" s="10">
        <f t="shared" si="23"/>
        <v>1147.1199999999999</v>
      </c>
      <c r="N476" s="3" t="s">
        <v>26</v>
      </c>
      <c r="O476" s="3" t="s">
        <v>52</v>
      </c>
      <c r="P476" s="3" t="s">
        <v>53</v>
      </c>
    </row>
    <row r="477" spans="1:16" x14ac:dyDescent="0.25">
      <c r="A477" s="2" t="s">
        <v>793</v>
      </c>
      <c r="B477" s="4">
        <v>45511</v>
      </c>
      <c r="C477" s="2" t="s">
        <v>794</v>
      </c>
      <c r="D477" s="2" t="s">
        <v>51</v>
      </c>
      <c r="E477" s="2" t="s">
        <v>14</v>
      </c>
      <c r="F477" s="2" t="s">
        <v>110</v>
      </c>
      <c r="G477" s="2" t="s">
        <v>67</v>
      </c>
      <c r="H477" s="2">
        <v>4820.68</v>
      </c>
      <c r="I477" s="2">
        <v>2</v>
      </c>
      <c r="J477" s="2">
        <v>0</v>
      </c>
      <c r="K477" s="9">
        <f t="shared" si="21"/>
        <v>9641.36</v>
      </c>
      <c r="L477" s="9">
        <f t="shared" si="22"/>
        <v>0</v>
      </c>
      <c r="M477" s="10">
        <f t="shared" si="23"/>
        <v>9641.36</v>
      </c>
      <c r="N477" s="2" t="s">
        <v>26</v>
      </c>
      <c r="O477" s="2" t="s">
        <v>18</v>
      </c>
      <c r="P477" s="2" t="s">
        <v>40</v>
      </c>
    </row>
    <row r="478" spans="1:16" x14ac:dyDescent="0.25">
      <c r="A478" s="3" t="s">
        <v>795</v>
      </c>
      <c r="B478" s="4">
        <v>45512</v>
      </c>
      <c r="C478" s="3" t="s">
        <v>796</v>
      </c>
      <c r="D478" s="3" t="s">
        <v>100</v>
      </c>
      <c r="E478" s="3" t="s">
        <v>88</v>
      </c>
      <c r="F478" s="3" t="s">
        <v>72</v>
      </c>
      <c r="G478" s="3" t="s">
        <v>73</v>
      </c>
      <c r="H478" s="3">
        <v>352.38</v>
      </c>
      <c r="I478" s="3">
        <v>3</v>
      </c>
      <c r="J478" s="3">
        <v>10</v>
      </c>
      <c r="K478" s="9">
        <f t="shared" si="21"/>
        <v>1057.1399999999999</v>
      </c>
      <c r="L478" s="9">
        <f t="shared" si="22"/>
        <v>105.71399999999998</v>
      </c>
      <c r="M478" s="10">
        <f t="shared" si="23"/>
        <v>951.42599999999993</v>
      </c>
      <c r="N478" s="3" t="s">
        <v>38</v>
      </c>
      <c r="O478" s="3" t="s">
        <v>18</v>
      </c>
      <c r="P478" s="3" t="s">
        <v>19</v>
      </c>
    </row>
    <row r="479" spans="1:16" x14ac:dyDescent="0.25">
      <c r="A479" s="2" t="s">
        <v>797</v>
      </c>
      <c r="B479" s="4">
        <v>45513</v>
      </c>
      <c r="C479" s="2" t="s">
        <v>301</v>
      </c>
      <c r="D479" s="2" t="s">
        <v>22</v>
      </c>
      <c r="E479" s="2" t="s">
        <v>23</v>
      </c>
      <c r="F479" s="2" t="s">
        <v>15</v>
      </c>
      <c r="G479" s="2" t="s">
        <v>163</v>
      </c>
      <c r="H479" s="2">
        <v>2280.02</v>
      </c>
      <c r="I479" s="2">
        <v>3</v>
      </c>
      <c r="J479" s="2">
        <v>0</v>
      </c>
      <c r="K479" s="9">
        <f t="shared" si="21"/>
        <v>6840.0599999999995</v>
      </c>
      <c r="L479" s="9">
        <f t="shared" si="22"/>
        <v>0</v>
      </c>
      <c r="M479" s="10">
        <f t="shared" si="23"/>
        <v>6840.0599999999995</v>
      </c>
      <c r="N479" s="2" t="s">
        <v>68</v>
      </c>
      <c r="O479" s="2" t="s">
        <v>18</v>
      </c>
      <c r="P479" s="2" t="s">
        <v>34</v>
      </c>
    </row>
    <row r="480" spans="1:16" x14ac:dyDescent="0.25">
      <c r="A480" s="3" t="s">
        <v>798</v>
      </c>
      <c r="B480" s="4">
        <v>45514</v>
      </c>
      <c r="C480" s="3" t="s">
        <v>316</v>
      </c>
      <c r="D480" s="3" t="s">
        <v>83</v>
      </c>
      <c r="E480" s="3" t="s">
        <v>84</v>
      </c>
      <c r="F480" s="3" t="s">
        <v>110</v>
      </c>
      <c r="G480" s="3" t="s">
        <v>215</v>
      </c>
      <c r="H480" s="3">
        <v>2422.0700000000002</v>
      </c>
      <c r="I480" s="3">
        <v>4</v>
      </c>
      <c r="J480" s="3">
        <v>0</v>
      </c>
      <c r="K480" s="9">
        <f t="shared" si="21"/>
        <v>9688.2800000000007</v>
      </c>
      <c r="L480" s="9">
        <f t="shared" si="22"/>
        <v>0</v>
      </c>
      <c r="M480" s="10">
        <f t="shared" si="23"/>
        <v>9688.2800000000007</v>
      </c>
      <c r="N480" s="3" t="s">
        <v>38</v>
      </c>
      <c r="O480" s="3" t="s">
        <v>39</v>
      </c>
      <c r="P480" s="3" t="s">
        <v>19</v>
      </c>
    </row>
    <row r="481" spans="1:16" x14ac:dyDescent="0.25">
      <c r="A481" s="2" t="s">
        <v>799</v>
      </c>
      <c r="B481" s="4">
        <v>45515</v>
      </c>
      <c r="C481" s="2" t="s">
        <v>115</v>
      </c>
      <c r="D481" s="2" t="s">
        <v>83</v>
      </c>
      <c r="E481" s="2" t="s">
        <v>84</v>
      </c>
      <c r="F481" s="2" t="s">
        <v>24</v>
      </c>
      <c r="G481" s="2" t="s">
        <v>108</v>
      </c>
      <c r="H481" s="2">
        <v>7768.17</v>
      </c>
      <c r="I481" s="2">
        <v>5</v>
      </c>
      <c r="J481" s="2">
        <v>10</v>
      </c>
      <c r="K481" s="9">
        <f t="shared" si="21"/>
        <v>38840.85</v>
      </c>
      <c r="L481" s="9">
        <f t="shared" si="22"/>
        <v>3884.085</v>
      </c>
      <c r="M481" s="10">
        <f t="shared" si="23"/>
        <v>34956.764999999999</v>
      </c>
      <c r="N481" s="2" t="s">
        <v>33</v>
      </c>
      <c r="O481" s="2" t="s">
        <v>18</v>
      </c>
      <c r="P481" s="2" t="s">
        <v>60</v>
      </c>
    </row>
    <row r="482" spans="1:16" x14ac:dyDescent="0.25">
      <c r="A482" s="3" t="s">
        <v>800</v>
      </c>
      <c r="B482" s="4">
        <v>45516</v>
      </c>
      <c r="C482" s="3" t="s">
        <v>490</v>
      </c>
      <c r="D482" s="3" t="s">
        <v>100</v>
      </c>
      <c r="E482" s="3" t="s">
        <v>88</v>
      </c>
      <c r="F482" s="3" t="s">
        <v>72</v>
      </c>
      <c r="G482" s="3" t="s">
        <v>102</v>
      </c>
      <c r="H482" s="3">
        <v>668.28</v>
      </c>
      <c r="I482" s="3">
        <v>3</v>
      </c>
      <c r="J482" s="3">
        <v>0</v>
      </c>
      <c r="K482" s="9">
        <f t="shared" si="21"/>
        <v>2004.84</v>
      </c>
      <c r="L482" s="9">
        <f t="shared" si="22"/>
        <v>0</v>
      </c>
      <c r="M482" s="10">
        <f t="shared" si="23"/>
        <v>2004.84</v>
      </c>
      <c r="N482" s="3" t="s">
        <v>17</v>
      </c>
      <c r="O482" s="3" t="s">
        <v>52</v>
      </c>
      <c r="P482" s="3" t="s">
        <v>60</v>
      </c>
    </row>
    <row r="483" spans="1:16" x14ac:dyDescent="0.25">
      <c r="A483" s="2" t="s">
        <v>801</v>
      </c>
      <c r="B483" s="4">
        <v>45517</v>
      </c>
      <c r="C483" s="2" t="s">
        <v>252</v>
      </c>
      <c r="D483" s="2" t="s">
        <v>87</v>
      </c>
      <c r="E483" s="2" t="s">
        <v>88</v>
      </c>
      <c r="F483" s="2" t="s">
        <v>24</v>
      </c>
      <c r="G483" s="2" t="s">
        <v>108</v>
      </c>
      <c r="H483" s="2">
        <v>7707.01</v>
      </c>
      <c r="I483" s="2">
        <v>3</v>
      </c>
      <c r="J483" s="2">
        <v>0</v>
      </c>
      <c r="K483" s="9">
        <f t="shared" si="21"/>
        <v>23121.03</v>
      </c>
      <c r="L483" s="9">
        <f t="shared" si="22"/>
        <v>0</v>
      </c>
      <c r="M483" s="10">
        <f t="shared" si="23"/>
        <v>23121.03</v>
      </c>
      <c r="N483" s="2" t="s">
        <v>38</v>
      </c>
      <c r="O483" s="2" t="s">
        <v>52</v>
      </c>
      <c r="P483" s="2" t="s">
        <v>60</v>
      </c>
    </row>
    <row r="484" spans="1:16" x14ac:dyDescent="0.25">
      <c r="A484" s="3" t="s">
        <v>802</v>
      </c>
      <c r="B484" s="4">
        <v>45518</v>
      </c>
      <c r="C484" s="3" t="s">
        <v>270</v>
      </c>
      <c r="D484" s="3" t="s">
        <v>29</v>
      </c>
      <c r="E484" s="3" t="s">
        <v>30</v>
      </c>
      <c r="F484" s="3" t="s">
        <v>110</v>
      </c>
      <c r="G484" s="3" t="s">
        <v>67</v>
      </c>
      <c r="H484" s="3">
        <v>4422.59</v>
      </c>
      <c r="I484" s="3">
        <v>2</v>
      </c>
      <c r="J484" s="3">
        <v>15</v>
      </c>
      <c r="K484" s="9">
        <f t="shared" si="21"/>
        <v>8845.18</v>
      </c>
      <c r="L484" s="9">
        <f t="shared" si="22"/>
        <v>1326.777</v>
      </c>
      <c r="M484" s="10">
        <f t="shared" si="23"/>
        <v>7518.4030000000002</v>
      </c>
      <c r="N484" s="3" t="s">
        <v>26</v>
      </c>
      <c r="O484" s="3" t="s">
        <v>27</v>
      </c>
      <c r="P484" s="3" t="s">
        <v>53</v>
      </c>
    </row>
    <row r="485" spans="1:16" x14ac:dyDescent="0.25">
      <c r="A485" s="2" t="s">
        <v>803</v>
      </c>
      <c r="B485" s="4">
        <v>45519</v>
      </c>
      <c r="C485" s="2" t="s">
        <v>416</v>
      </c>
      <c r="D485" s="2" t="s">
        <v>22</v>
      </c>
      <c r="E485" s="2" t="s">
        <v>23</v>
      </c>
      <c r="F485" s="2" t="s">
        <v>24</v>
      </c>
      <c r="G485" s="2" t="s">
        <v>25</v>
      </c>
      <c r="H485" s="2">
        <v>4407.34</v>
      </c>
      <c r="I485" s="2">
        <v>1</v>
      </c>
      <c r="J485" s="2">
        <v>0</v>
      </c>
      <c r="K485" s="9">
        <f t="shared" si="21"/>
        <v>4407.34</v>
      </c>
      <c r="L485" s="9">
        <f t="shared" si="22"/>
        <v>0</v>
      </c>
      <c r="M485" s="10">
        <f t="shared" si="23"/>
        <v>4407.34</v>
      </c>
      <c r="N485" s="2" t="s">
        <v>33</v>
      </c>
      <c r="O485" s="2" t="s">
        <v>52</v>
      </c>
      <c r="P485" s="2" t="s">
        <v>40</v>
      </c>
    </row>
    <row r="486" spans="1:16" x14ac:dyDescent="0.25">
      <c r="A486" s="3" t="s">
        <v>804</v>
      </c>
      <c r="B486" s="4">
        <v>45520</v>
      </c>
      <c r="C486" s="3" t="s">
        <v>334</v>
      </c>
      <c r="D486" s="3" t="s">
        <v>22</v>
      </c>
      <c r="E486" s="3" t="s">
        <v>23</v>
      </c>
      <c r="F486" s="3" t="s">
        <v>36</v>
      </c>
      <c r="G486" s="3" t="s">
        <v>338</v>
      </c>
      <c r="H486" s="3">
        <v>66535.33</v>
      </c>
      <c r="I486" s="3">
        <v>1</v>
      </c>
      <c r="J486" s="3">
        <v>0</v>
      </c>
      <c r="K486" s="9">
        <f t="shared" si="21"/>
        <v>66535.33</v>
      </c>
      <c r="L486" s="9">
        <f t="shared" si="22"/>
        <v>0</v>
      </c>
      <c r="M486" s="10">
        <f t="shared" si="23"/>
        <v>66535.33</v>
      </c>
      <c r="N486" s="3" t="s">
        <v>33</v>
      </c>
      <c r="O486" s="3" t="s">
        <v>18</v>
      </c>
      <c r="P486" s="3" t="s">
        <v>53</v>
      </c>
    </row>
    <row r="487" spans="1:16" x14ac:dyDescent="0.25">
      <c r="A487" s="2" t="s">
        <v>805</v>
      </c>
      <c r="B487" s="4">
        <v>45521</v>
      </c>
      <c r="C487" s="2" t="s">
        <v>794</v>
      </c>
      <c r="D487" s="2" t="s">
        <v>76</v>
      </c>
      <c r="E487" s="2" t="s">
        <v>77</v>
      </c>
      <c r="F487" s="2" t="s">
        <v>15</v>
      </c>
      <c r="G487" s="2" t="s">
        <v>163</v>
      </c>
      <c r="H487" s="2">
        <v>2315.64</v>
      </c>
      <c r="I487" s="2">
        <v>2</v>
      </c>
      <c r="J487" s="2">
        <v>0</v>
      </c>
      <c r="K487" s="9">
        <f t="shared" si="21"/>
        <v>4631.28</v>
      </c>
      <c r="L487" s="9">
        <f t="shared" si="22"/>
        <v>0</v>
      </c>
      <c r="M487" s="10">
        <f t="shared" si="23"/>
        <v>4631.28</v>
      </c>
      <c r="N487" s="2" t="s">
        <v>68</v>
      </c>
      <c r="O487" s="2" t="s">
        <v>27</v>
      </c>
      <c r="P487" s="2" t="s">
        <v>34</v>
      </c>
    </row>
    <row r="488" spans="1:16" x14ac:dyDescent="0.25">
      <c r="A488" s="3" t="s">
        <v>806</v>
      </c>
      <c r="B488" s="4">
        <v>45522</v>
      </c>
      <c r="C488" s="3" t="s">
        <v>155</v>
      </c>
      <c r="D488" s="3" t="s">
        <v>83</v>
      </c>
      <c r="E488" s="3" t="s">
        <v>84</v>
      </c>
      <c r="F488" s="3" t="s">
        <v>31</v>
      </c>
      <c r="G488" s="3" t="s">
        <v>242</v>
      </c>
      <c r="H488" s="3">
        <v>890.07</v>
      </c>
      <c r="I488" s="3">
        <v>5</v>
      </c>
      <c r="J488" s="3">
        <v>15</v>
      </c>
      <c r="K488" s="9">
        <f t="shared" si="21"/>
        <v>4450.3500000000004</v>
      </c>
      <c r="L488" s="9">
        <f t="shared" si="22"/>
        <v>667.55250000000001</v>
      </c>
      <c r="M488" s="10">
        <f t="shared" si="23"/>
        <v>3782.7975000000006</v>
      </c>
      <c r="N488" s="3" t="s">
        <v>17</v>
      </c>
      <c r="O488" s="3" t="s">
        <v>52</v>
      </c>
      <c r="P488" s="3" t="s">
        <v>60</v>
      </c>
    </row>
    <row r="489" spans="1:16" x14ac:dyDescent="0.25">
      <c r="A489" s="2" t="s">
        <v>807</v>
      </c>
      <c r="B489" s="4">
        <v>45523</v>
      </c>
      <c r="C489" s="2" t="s">
        <v>808</v>
      </c>
      <c r="D489" s="2" t="s">
        <v>29</v>
      </c>
      <c r="E489" s="2" t="s">
        <v>30</v>
      </c>
      <c r="F489" s="2" t="s">
        <v>43</v>
      </c>
      <c r="G489" s="2" t="s">
        <v>89</v>
      </c>
      <c r="H489" s="2">
        <v>4625.8100000000004</v>
      </c>
      <c r="I489" s="2">
        <v>5</v>
      </c>
      <c r="J489" s="2">
        <v>0</v>
      </c>
      <c r="K489" s="9">
        <f t="shared" si="21"/>
        <v>23129.050000000003</v>
      </c>
      <c r="L489" s="9">
        <f t="shared" si="22"/>
        <v>0</v>
      </c>
      <c r="M489" s="10">
        <f t="shared" si="23"/>
        <v>23129.050000000003</v>
      </c>
      <c r="N489" s="2" t="s">
        <v>38</v>
      </c>
      <c r="O489" s="2" t="s">
        <v>18</v>
      </c>
      <c r="P489" s="2" t="s">
        <v>19</v>
      </c>
    </row>
    <row r="490" spans="1:16" x14ac:dyDescent="0.25">
      <c r="A490" s="3" t="s">
        <v>809</v>
      </c>
      <c r="B490" s="4">
        <v>45524</v>
      </c>
      <c r="C490" s="3" t="s">
        <v>371</v>
      </c>
      <c r="D490" s="3" t="s">
        <v>47</v>
      </c>
      <c r="E490" s="3" t="s">
        <v>48</v>
      </c>
      <c r="F490" s="3" t="s">
        <v>31</v>
      </c>
      <c r="G490" s="3" t="s">
        <v>70</v>
      </c>
      <c r="H490" s="3">
        <v>571.17999999999995</v>
      </c>
      <c r="I490" s="3">
        <v>3</v>
      </c>
      <c r="J490" s="3">
        <v>0</v>
      </c>
      <c r="K490" s="9">
        <f t="shared" si="21"/>
        <v>1713.54</v>
      </c>
      <c r="L490" s="9">
        <f t="shared" si="22"/>
        <v>0</v>
      </c>
      <c r="M490" s="10">
        <f t="shared" si="23"/>
        <v>1713.54</v>
      </c>
      <c r="N490" s="3" t="s">
        <v>68</v>
      </c>
      <c r="O490" s="3" t="s">
        <v>52</v>
      </c>
      <c r="P490" s="3" t="s">
        <v>53</v>
      </c>
    </row>
    <row r="491" spans="1:16" x14ac:dyDescent="0.25">
      <c r="A491" s="2" t="s">
        <v>810</v>
      </c>
      <c r="B491" s="4">
        <v>45525</v>
      </c>
      <c r="C491" s="2" t="s">
        <v>490</v>
      </c>
      <c r="D491" s="2" t="s">
        <v>83</v>
      </c>
      <c r="E491" s="2" t="s">
        <v>84</v>
      </c>
      <c r="F491" s="2" t="s">
        <v>36</v>
      </c>
      <c r="G491" s="2" t="s">
        <v>121</v>
      </c>
      <c r="H491" s="2">
        <v>103019.68</v>
      </c>
      <c r="I491" s="2">
        <v>4</v>
      </c>
      <c r="J491" s="2">
        <v>0</v>
      </c>
      <c r="K491" s="9">
        <f t="shared" si="21"/>
        <v>412078.72</v>
      </c>
      <c r="L491" s="9">
        <f t="shared" si="22"/>
        <v>0</v>
      </c>
      <c r="M491" s="10">
        <f t="shared" si="23"/>
        <v>412078.72</v>
      </c>
      <c r="N491" s="2" t="s">
        <v>68</v>
      </c>
      <c r="O491" s="2" t="s">
        <v>39</v>
      </c>
      <c r="P491" s="2" t="s">
        <v>60</v>
      </c>
    </row>
    <row r="492" spans="1:16" x14ac:dyDescent="0.25">
      <c r="A492" s="3" t="s">
        <v>811</v>
      </c>
      <c r="B492" s="4">
        <v>45526</v>
      </c>
      <c r="C492" s="3" t="s">
        <v>598</v>
      </c>
      <c r="D492" s="3" t="s">
        <v>13</v>
      </c>
      <c r="E492" s="3" t="s">
        <v>14</v>
      </c>
      <c r="F492" s="3" t="s">
        <v>110</v>
      </c>
      <c r="G492" s="3" t="s">
        <v>215</v>
      </c>
      <c r="H492" s="3">
        <v>2344.29</v>
      </c>
      <c r="I492" s="3">
        <v>5</v>
      </c>
      <c r="J492" s="3">
        <v>15</v>
      </c>
      <c r="K492" s="9">
        <f t="shared" si="21"/>
        <v>11721.45</v>
      </c>
      <c r="L492" s="9">
        <f t="shared" si="22"/>
        <v>1758.2175</v>
      </c>
      <c r="M492" s="10">
        <f t="shared" si="23"/>
        <v>9963.2325000000001</v>
      </c>
      <c r="N492" s="3" t="s">
        <v>33</v>
      </c>
      <c r="O492" s="3" t="s">
        <v>18</v>
      </c>
      <c r="P492" s="3" t="s">
        <v>53</v>
      </c>
    </row>
    <row r="493" spans="1:16" x14ac:dyDescent="0.25">
      <c r="A493" s="2" t="s">
        <v>812</v>
      </c>
      <c r="B493" s="4">
        <v>45527</v>
      </c>
      <c r="C493" s="2" t="s">
        <v>808</v>
      </c>
      <c r="D493" s="2" t="s">
        <v>65</v>
      </c>
      <c r="E493" s="2" t="s">
        <v>66</v>
      </c>
      <c r="F493" s="2" t="s">
        <v>72</v>
      </c>
      <c r="G493" s="2" t="s">
        <v>129</v>
      </c>
      <c r="H493" s="2">
        <v>1699.41</v>
      </c>
      <c r="I493" s="2">
        <v>1</v>
      </c>
      <c r="J493" s="2">
        <v>15</v>
      </c>
      <c r="K493" s="9">
        <f t="shared" si="21"/>
        <v>1699.41</v>
      </c>
      <c r="L493" s="9">
        <f t="shared" si="22"/>
        <v>254.91150000000002</v>
      </c>
      <c r="M493" s="10">
        <f t="shared" si="23"/>
        <v>1444.4985000000001</v>
      </c>
      <c r="N493" s="2" t="s">
        <v>26</v>
      </c>
      <c r="O493" s="2" t="s">
        <v>52</v>
      </c>
      <c r="P493" s="2" t="s">
        <v>19</v>
      </c>
    </row>
    <row r="494" spans="1:16" x14ac:dyDescent="0.25">
      <c r="A494" s="3" t="s">
        <v>813</v>
      </c>
      <c r="B494" s="4">
        <v>45528</v>
      </c>
      <c r="C494" s="3" t="s">
        <v>814</v>
      </c>
      <c r="D494" s="3" t="s">
        <v>47</v>
      </c>
      <c r="E494" s="3" t="s">
        <v>48</v>
      </c>
      <c r="F494" s="3" t="s">
        <v>15</v>
      </c>
      <c r="G494" s="3" t="s">
        <v>56</v>
      </c>
      <c r="H494" s="3">
        <v>1911.17</v>
      </c>
      <c r="I494" s="3">
        <v>4</v>
      </c>
      <c r="J494" s="3">
        <v>0</v>
      </c>
      <c r="K494" s="9">
        <f t="shared" si="21"/>
        <v>7644.68</v>
      </c>
      <c r="L494" s="9">
        <f t="shared" si="22"/>
        <v>0</v>
      </c>
      <c r="M494" s="10">
        <f t="shared" si="23"/>
        <v>7644.68</v>
      </c>
      <c r="N494" s="3" t="s">
        <v>68</v>
      </c>
      <c r="O494" s="3" t="s">
        <v>18</v>
      </c>
      <c r="P494" s="3" t="s">
        <v>53</v>
      </c>
    </row>
    <row r="495" spans="1:16" x14ac:dyDescent="0.25">
      <c r="A495" s="2" t="s">
        <v>815</v>
      </c>
      <c r="B495" s="4">
        <v>45529</v>
      </c>
      <c r="C495" s="2" t="s">
        <v>816</v>
      </c>
      <c r="D495" s="2" t="s">
        <v>76</v>
      </c>
      <c r="E495" s="2" t="s">
        <v>77</v>
      </c>
      <c r="F495" s="2" t="s">
        <v>110</v>
      </c>
      <c r="G495" s="2" t="s">
        <v>67</v>
      </c>
      <c r="H495" s="2">
        <v>4294.92</v>
      </c>
      <c r="I495" s="2">
        <v>5</v>
      </c>
      <c r="J495" s="2">
        <v>0</v>
      </c>
      <c r="K495" s="9">
        <f t="shared" si="21"/>
        <v>21474.6</v>
      </c>
      <c r="L495" s="9">
        <f t="shared" si="22"/>
        <v>0</v>
      </c>
      <c r="M495" s="10">
        <f t="shared" si="23"/>
        <v>21474.6</v>
      </c>
      <c r="N495" s="2" t="s">
        <v>26</v>
      </c>
      <c r="O495" s="2" t="s">
        <v>18</v>
      </c>
      <c r="P495" s="2" t="s">
        <v>40</v>
      </c>
    </row>
    <row r="496" spans="1:16" x14ac:dyDescent="0.25">
      <c r="A496" s="3" t="s">
        <v>817</v>
      </c>
      <c r="B496" s="4">
        <v>45530</v>
      </c>
      <c r="C496" s="3" t="s">
        <v>431</v>
      </c>
      <c r="D496" s="3" t="s">
        <v>13</v>
      </c>
      <c r="E496" s="3" t="s">
        <v>14</v>
      </c>
      <c r="F496" s="3" t="s">
        <v>24</v>
      </c>
      <c r="G496" s="3" t="s">
        <v>92</v>
      </c>
      <c r="H496" s="3">
        <v>1434.63</v>
      </c>
      <c r="I496" s="3">
        <v>2</v>
      </c>
      <c r="J496" s="3">
        <v>0</v>
      </c>
      <c r="K496" s="9">
        <f t="shared" si="21"/>
        <v>2869.26</v>
      </c>
      <c r="L496" s="9">
        <f t="shared" si="22"/>
        <v>0</v>
      </c>
      <c r="M496" s="10">
        <f t="shared" si="23"/>
        <v>2869.26</v>
      </c>
      <c r="N496" s="3" t="s">
        <v>68</v>
      </c>
      <c r="O496" s="3" t="s">
        <v>18</v>
      </c>
      <c r="P496" s="3" t="s">
        <v>40</v>
      </c>
    </row>
    <row r="497" spans="1:16" x14ac:dyDescent="0.25">
      <c r="A497" s="2" t="s">
        <v>818</v>
      </c>
      <c r="B497" s="4">
        <v>45531</v>
      </c>
      <c r="C497" s="2" t="s">
        <v>645</v>
      </c>
      <c r="D497" s="2" t="s">
        <v>51</v>
      </c>
      <c r="E497" s="2" t="s">
        <v>14</v>
      </c>
      <c r="F497" s="2" t="s">
        <v>31</v>
      </c>
      <c r="G497" s="2" t="s">
        <v>70</v>
      </c>
      <c r="H497" s="2">
        <v>577.39</v>
      </c>
      <c r="I497" s="2">
        <v>4</v>
      </c>
      <c r="J497" s="2">
        <v>0</v>
      </c>
      <c r="K497" s="9">
        <f t="shared" si="21"/>
        <v>2309.56</v>
      </c>
      <c r="L497" s="9">
        <f t="shared" si="22"/>
        <v>0</v>
      </c>
      <c r="M497" s="10">
        <f t="shared" si="23"/>
        <v>2309.56</v>
      </c>
      <c r="N497" s="2" t="s">
        <v>33</v>
      </c>
      <c r="O497" s="2" t="s">
        <v>27</v>
      </c>
      <c r="P497" s="2" t="s">
        <v>40</v>
      </c>
    </row>
    <row r="498" spans="1:16" x14ac:dyDescent="0.25">
      <c r="A498" s="3" t="s">
        <v>819</v>
      </c>
      <c r="B498" s="4">
        <v>45532</v>
      </c>
      <c r="C498" s="3" t="s">
        <v>252</v>
      </c>
      <c r="D498" s="3" t="s">
        <v>13</v>
      </c>
      <c r="E498" s="3" t="s">
        <v>14</v>
      </c>
      <c r="F498" s="3" t="s">
        <v>31</v>
      </c>
      <c r="G498" s="3" t="s">
        <v>70</v>
      </c>
      <c r="H498" s="3">
        <v>548.57000000000005</v>
      </c>
      <c r="I498" s="3">
        <v>4</v>
      </c>
      <c r="J498" s="3">
        <v>5</v>
      </c>
      <c r="K498" s="9">
        <f t="shared" si="21"/>
        <v>2194.2800000000002</v>
      </c>
      <c r="L498" s="9">
        <f t="shared" si="22"/>
        <v>109.71400000000001</v>
      </c>
      <c r="M498" s="10">
        <f t="shared" si="23"/>
        <v>2084.5660000000003</v>
      </c>
      <c r="N498" s="3" t="s">
        <v>26</v>
      </c>
      <c r="O498" s="3" t="s">
        <v>39</v>
      </c>
      <c r="P498" s="3" t="s">
        <v>34</v>
      </c>
    </row>
    <row r="499" spans="1:16" x14ac:dyDescent="0.25">
      <c r="A499" s="2" t="s">
        <v>820</v>
      </c>
      <c r="B499" s="4">
        <v>45533</v>
      </c>
      <c r="C499" s="2" t="s">
        <v>821</v>
      </c>
      <c r="D499" s="2" t="s">
        <v>51</v>
      </c>
      <c r="E499" s="2" t="s">
        <v>14</v>
      </c>
      <c r="F499" s="2" t="s">
        <v>43</v>
      </c>
      <c r="G499" s="2" t="s">
        <v>145</v>
      </c>
      <c r="H499" s="2">
        <v>11393.19</v>
      </c>
      <c r="I499" s="2">
        <v>1</v>
      </c>
      <c r="J499" s="2">
        <v>10</v>
      </c>
      <c r="K499" s="9">
        <f t="shared" si="21"/>
        <v>11393.19</v>
      </c>
      <c r="L499" s="9">
        <f t="shared" si="22"/>
        <v>1139.3190000000002</v>
      </c>
      <c r="M499" s="10">
        <f t="shared" si="23"/>
        <v>10253.871000000001</v>
      </c>
      <c r="N499" s="2" t="s">
        <v>33</v>
      </c>
      <c r="O499" s="2" t="s">
        <v>27</v>
      </c>
      <c r="P499" s="2" t="s">
        <v>40</v>
      </c>
    </row>
    <row r="500" spans="1:16" x14ac:dyDescent="0.25">
      <c r="A500" s="3" t="s">
        <v>822</v>
      </c>
      <c r="B500" s="4">
        <v>45534</v>
      </c>
      <c r="C500" s="3" t="s">
        <v>46</v>
      </c>
      <c r="D500" s="3" t="s">
        <v>76</v>
      </c>
      <c r="E500" s="3" t="s">
        <v>77</v>
      </c>
      <c r="F500" s="3" t="s">
        <v>43</v>
      </c>
      <c r="G500" s="3" t="s">
        <v>105</v>
      </c>
      <c r="H500" s="3">
        <v>3044.28</v>
      </c>
      <c r="I500" s="3">
        <v>2</v>
      </c>
      <c r="J500" s="3">
        <v>10</v>
      </c>
      <c r="K500" s="9">
        <f t="shared" si="21"/>
        <v>6088.56</v>
      </c>
      <c r="L500" s="9">
        <f t="shared" si="22"/>
        <v>608.85600000000011</v>
      </c>
      <c r="M500" s="10">
        <f t="shared" si="23"/>
        <v>5479.7040000000006</v>
      </c>
      <c r="N500" s="3" t="s">
        <v>68</v>
      </c>
      <c r="O500" s="3" t="s">
        <v>27</v>
      </c>
      <c r="P500" s="3" t="s">
        <v>19</v>
      </c>
    </row>
    <row r="501" spans="1:16" x14ac:dyDescent="0.25">
      <c r="A501" s="2" t="s">
        <v>823</v>
      </c>
      <c r="B501" s="4">
        <v>45535</v>
      </c>
      <c r="C501" s="2" t="s">
        <v>295</v>
      </c>
      <c r="D501" s="2" t="s">
        <v>76</v>
      </c>
      <c r="E501" s="2" t="s">
        <v>77</v>
      </c>
      <c r="F501" s="2" t="s">
        <v>15</v>
      </c>
      <c r="G501" s="2" t="s">
        <v>16</v>
      </c>
      <c r="H501" s="2">
        <v>1409.62</v>
      </c>
      <c r="I501" s="2">
        <v>1</v>
      </c>
      <c r="J501" s="2">
        <v>15</v>
      </c>
      <c r="K501" s="9">
        <f t="shared" si="21"/>
        <v>1409.62</v>
      </c>
      <c r="L501" s="9">
        <f t="shared" si="22"/>
        <v>211.44299999999998</v>
      </c>
      <c r="M501" s="10">
        <f t="shared" si="23"/>
        <v>1198.1769999999999</v>
      </c>
      <c r="N501" s="2" t="s">
        <v>26</v>
      </c>
      <c r="O501" s="2" t="s">
        <v>18</v>
      </c>
      <c r="P501" s="2" t="s">
        <v>53</v>
      </c>
    </row>
    <row r="502" spans="1:16" x14ac:dyDescent="0.25">
      <c r="A502" s="3" t="s">
        <v>824</v>
      </c>
      <c r="B502" s="4">
        <v>45536</v>
      </c>
      <c r="C502" s="3" t="s">
        <v>279</v>
      </c>
      <c r="D502" s="3" t="s">
        <v>13</v>
      </c>
      <c r="E502" s="3" t="s">
        <v>14</v>
      </c>
      <c r="F502" s="3" t="s">
        <v>24</v>
      </c>
      <c r="G502" s="3" t="s">
        <v>108</v>
      </c>
      <c r="H502" s="3">
        <v>8135.51</v>
      </c>
      <c r="I502" s="3">
        <v>4</v>
      </c>
      <c r="J502" s="3">
        <v>15</v>
      </c>
      <c r="K502" s="9">
        <f t="shared" si="21"/>
        <v>32542.04</v>
      </c>
      <c r="L502" s="9">
        <f t="shared" si="22"/>
        <v>4881.3060000000005</v>
      </c>
      <c r="M502" s="10">
        <f t="shared" si="23"/>
        <v>27660.734</v>
      </c>
      <c r="N502" s="3" t="s">
        <v>68</v>
      </c>
      <c r="O502" s="3" t="s">
        <v>18</v>
      </c>
      <c r="P502" s="3" t="s">
        <v>19</v>
      </c>
    </row>
    <row r="503" spans="1:16" x14ac:dyDescent="0.25">
      <c r="A503" s="2" t="s">
        <v>825</v>
      </c>
      <c r="B503" s="4">
        <v>45537</v>
      </c>
      <c r="C503" s="2" t="s">
        <v>353</v>
      </c>
      <c r="D503" s="2" t="s">
        <v>29</v>
      </c>
      <c r="E503" s="2" t="s">
        <v>30</v>
      </c>
      <c r="F503" s="2" t="s">
        <v>24</v>
      </c>
      <c r="G503" s="2" t="s">
        <v>108</v>
      </c>
      <c r="H503" s="2">
        <v>8433.2800000000007</v>
      </c>
      <c r="I503" s="2">
        <v>2</v>
      </c>
      <c r="J503" s="2">
        <v>0</v>
      </c>
      <c r="K503" s="9">
        <f t="shared" si="21"/>
        <v>16866.560000000001</v>
      </c>
      <c r="L503" s="9">
        <f t="shared" si="22"/>
        <v>0</v>
      </c>
      <c r="M503" s="10">
        <f t="shared" si="23"/>
        <v>16866.560000000001</v>
      </c>
      <c r="N503" s="2" t="s">
        <v>33</v>
      </c>
      <c r="O503" s="2" t="s">
        <v>18</v>
      </c>
      <c r="P503" s="2" t="s">
        <v>19</v>
      </c>
    </row>
    <row r="504" spans="1:16" x14ac:dyDescent="0.25">
      <c r="A504" s="3" t="s">
        <v>826</v>
      </c>
      <c r="B504" s="4">
        <v>45538</v>
      </c>
      <c r="C504" s="3" t="s">
        <v>290</v>
      </c>
      <c r="D504" s="3" t="s">
        <v>13</v>
      </c>
      <c r="E504" s="3" t="s">
        <v>14</v>
      </c>
      <c r="F504" s="3" t="s">
        <v>31</v>
      </c>
      <c r="G504" s="3" t="s">
        <v>186</v>
      </c>
      <c r="H504" s="3">
        <v>832.21</v>
      </c>
      <c r="I504" s="3">
        <v>1</v>
      </c>
      <c r="J504" s="3">
        <v>10</v>
      </c>
      <c r="K504" s="9">
        <f t="shared" si="21"/>
        <v>832.21</v>
      </c>
      <c r="L504" s="9">
        <f t="shared" si="22"/>
        <v>83.221000000000004</v>
      </c>
      <c r="M504" s="10">
        <f t="shared" si="23"/>
        <v>748.98900000000003</v>
      </c>
      <c r="N504" s="3" t="s">
        <v>33</v>
      </c>
      <c r="O504" s="3" t="s">
        <v>18</v>
      </c>
      <c r="P504" s="3" t="s">
        <v>34</v>
      </c>
    </row>
    <row r="505" spans="1:16" x14ac:dyDescent="0.25">
      <c r="A505" s="2" t="s">
        <v>827</v>
      </c>
      <c r="B505" s="4">
        <v>45539</v>
      </c>
      <c r="C505" s="2" t="s">
        <v>336</v>
      </c>
      <c r="D505" s="2" t="s">
        <v>76</v>
      </c>
      <c r="E505" s="2" t="s">
        <v>77</v>
      </c>
      <c r="F505" s="2" t="s">
        <v>15</v>
      </c>
      <c r="G505" s="2" t="s">
        <v>163</v>
      </c>
      <c r="H505" s="2">
        <v>2260.6799999999998</v>
      </c>
      <c r="I505" s="2">
        <v>4</v>
      </c>
      <c r="J505" s="2">
        <v>5</v>
      </c>
      <c r="K505" s="9">
        <f t="shared" si="21"/>
        <v>9042.7199999999993</v>
      </c>
      <c r="L505" s="9">
        <f t="shared" si="22"/>
        <v>452.13599999999997</v>
      </c>
      <c r="M505" s="10">
        <f t="shared" si="23"/>
        <v>8590.5839999999989</v>
      </c>
      <c r="N505" s="2" t="s">
        <v>26</v>
      </c>
      <c r="O505" s="2" t="s">
        <v>18</v>
      </c>
      <c r="P505" s="2" t="s">
        <v>40</v>
      </c>
    </row>
    <row r="506" spans="1:16" x14ac:dyDescent="0.25">
      <c r="A506" s="3" t="s">
        <v>828</v>
      </c>
      <c r="B506" s="4">
        <v>45540</v>
      </c>
      <c r="C506" s="3" t="s">
        <v>107</v>
      </c>
      <c r="D506" s="3" t="s">
        <v>83</v>
      </c>
      <c r="E506" s="3" t="s">
        <v>84</v>
      </c>
      <c r="F506" s="3" t="s">
        <v>31</v>
      </c>
      <c r="G506" s="3" t="s">
        <v>242</v>
      </c>
      <c r="H506" s="3">
        <v>935.47</v>
      </c>
      <c r="I506" s="3">
        <v>2</v>
      </c>
      <c r="J506" s="3">
        <v>0</v>
      </c>
      <c r="K506" s="9">
        <f t="shared" si="21"/>
        <v>1870.94</v>
      </c>
      <c r="L506" s="9">
        <f t="shared" si="22"/>
        <v>0</v>
      </c>
      <c r="M506" s="10">
        <f t="shared" si="23"/>
        <v>1870.94</v>
      </c>
      <c r="N506" s="3" t="s">
        <v>26</v>
      </c>
      <c r="O506" s="3" t="s">
        <v>52</v>
      </c>
      <c r="P506" s="3" t="s">
        <v>34</v>
      </c>
    </row>
    <row r="507" spans="1:16" x14ac:dyDescent="0.25">
      <c r="A507" s="2" t="s">
        <v>829</v>
      </c>
      <c r="B507" s="4">
        <v>45541</v>
      </c>
      <c r="C507" s="2" t="s">
        <v>746</v>
      </c>
      <c r="D507" s="2" t="s">
        <v>47</v>
      </c>
      <c r="E507" s="2" t="s">
        <v>48</v>
      </c>
      <c r="F507" s="2" t="s">
        <v>72</v>
      </c>
      <c r="G507" s="2" t="s">
        <v>73</v>
      </c>
      <c r="H507" s="2">
        <v>379.01</v>
      </c>
      <c r="I507" s="2">
        <v>5</v>
      </c>
      <c r="J507" s="2">
        <v>5</v>
      </c>
      <c r="K507" s="9">
        <f t="shared" si="21"/>
        <v>1895.05</v>
      </c>
      <c r="L507" s="9">
        <f t="shared" si="22"/>
        <v>94.752499999999998</v>
      </c>
      <c r="M507" s="10">
        <f t="shared" si="23"/>
        <v>1800.2974999999999</v>
      </c>
      <c r="N507" s="2" t="s">
        <v>68</v>
      </c>
      <c r="O507" s="2" t="s">
        <v>52</v>
      </c>
      <c r="P507" s="2" t="s">
        <v>53</v>
      </c>
    </row>
    <row r="508" spans="1:16" x14ac:dyDescent="0.25">
      <c r="A508" s="3" t="s">
        <v>830</v>
      </c>
      <c r="B508" s="4">
        <v>45542</v>
      </c>
      <c r="C508" s="3" t="s">
        <v>579</v>
      </c>
      <c r="D508" s="3" t="s">
        <v>83</v>
      </c>
      <c r="E508" s="3" t="s">
        <v>84</v>
      </c>
      <c r="F508" s="3" t="s">
        <v>31</v>
      </c>
      <c r="G508" s="3" t="s">
        <v>70</v>
      </c>
      <c r="H508" s="3">
        <v>540.09</v>
      </c>
      <c r="I508" s="3">
        <v>5</v>
      </c>
      <c r="J508" s="3">
        <v>0</v>
      </c>
      <c r="K508" s="9">
        <f t="shared" si="21"/>
        <v>2700.4500000000003</v>
      </c>
      <c r="L508" s="9">
        <f t="shared" si="22"/>
        <v>0</v>
      </c>
      <c r="M508" s="10">
        <f t="shared" si="23"/>
        <v>2700.4500000000003</v>
      </c>
      <c r="N508" s="3" t="s">
        <v>26</v>
      </c>
      <c r="O508" s="3" t="s">
        <v>18</v>
      </c>
      <c r="P508" s="3" t="s">
        <v>19</v>
      </c>
    </row>
    <row r="509" spans="1:16" x14ac:dyDescent="0.25">
      <c r="A509" s="2" t="s">
        <v>831</v>
      </c>
      <c r="B509" s="4">
        <v>45543</v>
      </c>
      <c r="C509" s="2" t="s">
        <v>598</v>
      </c>
      <c r="D509" s="2" t="s">
        <v>87</v>
      </c>
      <c r="E509" s="2" t="s">
        <v>88</v>
      </c>
      <c r="F509" s="2" t="s">
        <v>15</v>
      </c>
      <c r="G509" s="2" t="s">
        <v>198</v>
      </c>
      <c r="H509" s="2">
        <v>825.33</v>
      </c>
      <c r="I509" s="2">
        <v>5</v>
      </c>
      <c r="J509" s="2">
        <v>10</v>
      </c>
      <c r="K509" s="9">
        <f t="shared" si="21"/>
        <v>4126.6500000000005</v>
      </c>
      <c r="L509" s="9">
        <f t="shared" si="22"/>
        <v>412.66500000000008</v>
      </c>
      <c r="M509" s="10">
        <f t="shared" si="23"/>
        <v>3713.9850000000006</v>
      </c>
      <c r="N509" s="2" t="s">
        <v>26</v>
      </c>
      <c r="O509" s="2" t="s">
        <v>52</v>
      </c>
      <c r="P509" s="2" t="s">
        <v>60</v>
      </c>
    </row>
    <row r="510" spans="1:16" x14ac:dyDescent="0.25">
      <c r="A510" s="3" t="s">
        <v>832</v>
      </c>
      <c r="B510" s="4">
        <v>45544</v>
      </c>
      <c r="C510" s="3" t="s">
        <v>833</v>
      </c>
      <c r="D510" s="3" t="s">
        <v>47</v>
      </c>
      <c r="E510" s="3" t="s">
        <v>48</v>
      </c>
      <c r="F510" s="3" t="s">
        <v>31</v>
      </c>
      <c r="G510" s="3" t="s">
        <v>70</v>
      </c>
      <c r="H510" s="3">
        <v>616.91</v>
      </c>
      <c r="I510" s="3">
        <v>1</v>
      </c>
      <c r="J510" s="3">
        <v>0</v>
      </c>
      <c r="K510" s="9">
        <f t="shared" si="21"/>
        <v>616.91</v>
      </c>
      <c r="L510" s="9">
        <f t="shared" si="22"/>
        <v>0</v>
      </c>
      <c r="M510" s="10">
        <f t="shared" si="23"/>
        <v>616.91</v>
      </c>
      <c r="N510" s="3" t="s">
        <v>17</v>
      </c>
      <c r="O510" s="3" t="s">
        <v>27</v>
      </c>
      <c r="P510" s="3" t="s">
        <v>40</v>
      </c>
    </row>
    <row r="511" spans="1:16" x14ac:dyDescent="0.25">
      <c r="A511" s="2" t="s">
        <v>834</v>
      </c>
      <c r="B511" s="4">
        <v>45545</v>
      </c>
      <c r="C511" s="2" t="s">
        <v>703</v>
      </c>
      <c r="D511" s="2" t="s">
        <v>13</v>
      </c>
      <c r="E511" s="2" t="s">
        <v>14</v>
      </c>
      <c r="F511" s="2" t="s">
        <v>24</v>
      </c>
      <c r="G511" s="2" t="s">
        <v>92</v>
      </c>
      <c r="H511" s="2">
        <v>1495.61</v>
      </c>
      <c r="I511" s="2">
        <v>1</v>
      </c>
      <c r="J511" s="2">
        <v>15</v>
      </c>
      <c r="K511" s="9">
        <f t="shared" si="21"/>
        <v>1495.61</v>
      </c>
      <c r="L511" s="9">
        <f t="shared" si="22"/>
        <v>224.34149999999997</v>
      </c>
      <c r="M511" s="10">
        <f t="shared" si="23"/>
        <v>1271.2684999999999</v>
      </c>
      <c r="N511" s="2" t="s">
        <v>17</v>
      </c>
      <c r="O511" s="2" t="s">
        <v>27</v>
      </c>
      <c r="P511" s="2" t="s">
        <v>60</v>
      </c>
    </row>
    <row r="512" spans="1:16" x14ac:dyDescent="0.25">
      <c r="A512" s="3" t="s">
        <v>835</v>
      </c>
      <c r="B512" s="4">
        <v>45546</v>
      </c>
      <c r="C512" s="3" t="s">
        <v>700</v>
      </c>
      <c r="D512" s="3" t="s">
        <v>29</v>
      </c>
      <c r="E512" s="3" t="s">
        <v>30</v>
      </c>
      <c r="F512" s="3" t="s">
        <v>15</v>
      </c>
      <c r="G512" s="3" t="s">
        <v>56</v>
      </c>
      <c r="H512" s="3">
        <v>1712.14</v>
      </c>
      <c r="I512" s="3">
        <v>3</v>
      </c>
      <c r="J512" s="3">
        <v>0</v>
      </c>
      <c r="K512" s="9">
        <f t="shared" si="21"/>
        <v>5136.42</v>
      </c>
      <c r="L512" s="9">
        <f t="shared" si="22"/>
        <v>0</v>
      </c>
      <c r="M512" s="10">
        <f t="shared" si="23"/>
        <v>5136.42</v>
      </c>
      <c r="N512" s="3" t="s">
        <v>17</v>
      </c>
      <c r="O512" s="3" t="s">
        <v>27</v>
      </c>
      <c r="P512" s="3" t="s">
        <v>40</v>
      </c>
    </row>
    <row r="513" spans="1:16" x14ac:dyDescent="0.25">
      <c r="A513" s="2" t="s">
        <v>836</v>
      </c>
      <c r="B513" s="4">
        <v>45547</v>
      </c>
      <c r="C513" s="2" t="s">
        <v>717</v>
      </c>
      <c r="D513" s="2" t="s">
        <v>76</v>
      </c>
      <c r="E513" s="2" t="s">
        <v>77</v>
      </c>
      <c r="F513" s="2" t="s">
        <v>72</v>
      </c>
      <c r="G513" s="2" t="s">
        <v>81</v>
      </c>
      <c r="H513" s="2">
        <v>1490.42</v>
      </c>
      <c r="I513" s="2">
        <v>1</v>
      </c>
      <c r="J513" s="2">
        <v>0</v>
      </c>
      <c r="K513" s="9">
        <f t="shared" si="21"/>
        <v>1490.42</v>
      </c>
      <c r="L513" s="9">
        <f t="shared" si="22"/>
        <v>0</v>
      </c>
      <c r="M513" s="10">
        <f t="shared" si="23"/>
        <v>1490.42</v>
      </c>
      <c r="N513" s="2" t="s">
        <v>17</v>
      </c>
      <c r="O513" s="2" t="s">
        <v>27</v>
      </c>
      <c r="P513" s="2" t="s">
        <v>60</v>
      </c>
    </row>
    <row r="514" spans="1:16" x14ac:dyDescent="0.25">
      <c r="A514" s="3" t="s">
        <v>837</v>
      </c>
      <c r="B514" s="4">
        <v>45548</v>
      </c>
      <c r="C514" s="3" t="s">
        <v>838</v>
      </c>
      <c r="D514" s="3" t="s">
        <v>29</v>
      </c>
      <c r="E514" s="3" t="s">
        <v>30</v>
      </c>
      <c r="F514" s="3" t="s">
        <v>31</v>
      </c>
      <c r="G514" s="3" t="s">
        <v>242</v>
      </c>
      <c r="H514" s="3">
        <v>817.32</v>
      </c>
      <c r="I514" s="3">
        <v>1</v>
      </c>
      <c r="J514" s="3">
        <v>0</v>
      </c>
      <c r="K514" s="9">
        <f t="shared" ref="K514:K577" si="24">I514*H514</f>
        <v>817.32</v>
      </c>
      <c r="L514" s="9">
        <f t="shared" ref="L514:L577" si="25">K514*J514/100</f>
        <v>0</v>
      </c>
      <c r="M514" s="10">
        <f t="shared" ref="M514:M577" si="26">K514-L514</f>
        <v>817.32</v>
      </c>
      <c r="N514" s="3" t="s">
        <v>68</v>
      </c>
      <c r="O514" s="3" t="s">
        <v>18</v>
      </c>
      <c r="P514" s="3" t="s">
        <v>19</v>
      </c>
    </row>
    <row r="515" spans="1:16" x14ac:dyDescent="0.25">
      <c r="A515" s="2" t="s">
        <v>839</v>
      </c>
      <c r="B515" s="4">
        <v>45549</v>
      </c>
      <c r="C515" s="2" t="s">
        <v>455</v>
      </c>
      <c r="D515" s="2" t="s">
        <v>51</v>
      </c>
      <c r="E515" s="2" t="s">
        <v>14</v>
      </c>
      <c r="F515" s="2" t="s">
        <v>110</v>
      </c>
      <c r="G515" s="2" t="s">
        <v>67</v>
      </c>
      <c r="H515" s="2">
        <v>4220.51</v>
      </c>
      <c r="I515" s="2">
        <v>5</v>
      </c>
      <c r="J515" s="2">
        <v>10</v>
      </c>
      <c r="K515" s="9">
        <f t="shared" si="24"/>
        <v>21102.550000000003</v>
      </c>
      <c r="L515" s="9">
        <f t="shared" si="25"/>
        <v>2110.2550000000001</v>
      </c>
      <c r="M515" s="10">
        <f t="shared" si="26"/>
        <v>18992.295000000002</v>
      </c>
      <c r="N515" s="2" t="s">
        <v>26</v>
      </c>
      <c r="O515" s="2" t="s">
        <v>52</v>
      </c>
      <c r="P515" s="2" t="s">
        <v>53</v>
      </c>
    </row>
    <row r="516" spans="1:16" x14ac:dyDescent="0.25">
      <c r="A516" s="3" t="s">
        <v>840</v>
      </c>
      <c r="B516" s="4">
        <v>45550</v>
      </c>
      <c r="C516" s="3" t="s">
        <v>572</v>
      </c>
      <c r="D516" s="3" t="s">
        <v>65</v>
      </c>
      <c r="E516" s="3" t="s">
        <v>66</v>
      </c>
      <c r="F516" s="3" t="s">
        <v>15</v>
      </c>
      <c r="G516" s="3" t="s">
        <v>198</v>
      </c>
      <c r="H516" s="3">
        <v>842.61</v>
      </c>
      <c r="I516" s="3">
        <v>5</v>
      </c>
      <c r="J516" s="3">
        <v>0</v>
      </c>
      <c r="K516" s="9">
        <f t="shared" si="24"/>
        <v>4213.05</v>
      </c>
      <c r="L516" s="9">
        <f t="shared" si="25"/>
        <v>0</v>
      </c>
      <c r="M516" s="10">
        <f t="shared" si="26"/>
        <v>4213.05</v>
      </c>
      <c r="N516" s="3" t="s">
        <v>33</v>
      </c>
      <c r="O516" s="3" t="s">
        <v>27</v>
      </c>
      <c r="P516" s="3" t="s">
        <v>60</v>
      </c>
    </row>
    <row r="517" spans="1:16" x14ac:dyDescent="0.25">
      <c r="A517" s="2" t="s">
        <v>841</v>
      </c>
      <c r="B517" s="4">
        <v>45551</v>
      </c>
      <c r="C517" s="2" t="s">
        <v>435</v>
      </c>
      <c r="D517" s="2" t="s">
        <v>83</v>
      </c>
      <c r="E517" s="2" t="s">
        <v>84</v>
      </c>
      <c r="F517" s="2" t="s">
        <v>43</v>
      </c>
      <c r="G517" s="2" t="s">
        <v>89</v>
      </c>
      <c r="H517" s="2">
        <v>4353.76</v>
      </c>
      <c r="I517" s="2">
        <v>2</v>
      </c>
      <c r="J517" s="2">
        <v>0</v>
      </c>
      <c r="K517" s="9">
        <f t="shared" si="24"/>
        <v>8707.52</v>
      </c>
      <c r="L517" s="9">
        <f t="shared" si="25"/>
        <v>0</v>
      </c>
      <c r="M517" s="10">
        <f t="shared" si="26"/>
        <v>8707.52</v>
      </c>
      <c r="N517" s="2" t="s">
        <v>17</v>
      </c>
      <c r="O517" s="2" t="s">
        <v>18</v>
      </c>
      <c r="P517" s="2" t="s">
        <v>34</v>
      </c>
    </row>
    <row r="518" spans="1:16" x14ac:dyDescent="0.25">
      <c r="A518" s="3" t="s">
        <v>842</v>
      </c>
      <c r="B518" s="4">
        <v>45552</v>
      </c>
      <c r="C518" s="3" t="s">
        <v>641</v>
      </c>
      <c r="D518" s="3" t="s">
        <v>87</v>
      </c>
      <c r="E518" s="3" t="s">
        <v>88</v>
      </c>
      <c r="F518" s="3" t="s">
        <v>43</v>
      </c>
      <c r="G518" s="3" t="s">
        <v>145</v>
      </c>
      <c r="H518" s="3">
        <v>12782.77</v>
      </c>
      <c r="I518" s="3">
        <v>3</v>
      </c>
      <c r="J518" s="3">
        <v>0</v>
      </c>
      <c r="K518" s="9">
        <f t="shared" si="24"/>
        <v>38348.31</v>
      </c>
      <c r="L518" s="9">
        <f t="shared" si="25"/>
        <v>0</v>
      </c>
      <c r="M518" s="10">
        <f t="shared" si="26"/>
        <v>38348.31</v>
      </c>
      <c r="N518" s="3" t="s">
        <v>26</v>
      </c>
      <c r="O518" s="3" t="s">
        <v>52</v>
      </c>
      <c r="P518" s="3" t="s">
        <v>19</v>
      </c>
    </row>
    <row r="519" spans="1:16" x14ac:dyDescent="0.25">
      <c r="A519" s="2" t="s">
        <v>843</v>
      </c>
      <c r="B519" s="4">
        <v>45553</v>
      </c>
      <c r="C519" s="2" t="s">
        <v>334</v>
      </c>
      <c r="D519" s="2" t="s">
        <v>47</v>
      </c>
      <c r="E519" s="2" t="s">
        <v>48</v>
      </c>
      <c r="F519" s="2" t="s">
        <v>31</v>
      </c>
      <c r="G519" s="2" t="s">
        <v>70</v>
      </c>
      <c r="H519" s="2">
        <v>593.70000000000005</v>
      </c>
      <c r="I519" s="2">
        <v>4</v>
      </c>
      <c r="J519" s="2">
        <v>0</v>
      </c>
      <c r="K519" s="9">
        <f t="shared" si="24"/>
        <v>2374.8000000000002</v>
      </c>
      <c r="L519" s="9">
        <f t="shared" si="25"/>
        <v>0</v>
      </c>
      <c r="M519" s="10">
        <f t="shared" si="26"/>
        <v>2374.8000000000002</v>
      </c>
      <c r="N519" s="2" t="s">
        <v>68</v>
      </c>
      <c r="O519" s="2" t="s">
        <v>18</v>
      </c>
      <c r="P519" s="2" t="s">
        <v>19</v>
      </c>
    </row>
    <row r="520" spans="1:16" x14ac:dyDescent="0.25">
      <c r="A520" s="3" t="s">
        <v>844</v>
      </c>
      <c r="B520" s="4">
        <v>45554</v>
      </c>
      <c r="C520" s="3" t="s">
        <v>637</v>
      </c>
      <c r="D520" s="3" t="s">
        <v>47</v>
      </c>
      <c r="E520" s="3" t="s">
        <v>48</v>
      </c>
      <c r="F520" s="3" t="s">
        <v>36</v>
      </c>
      <c r="G520" s="3" t="s">
        <v>338</v>
      </c>
      <c r="H520" s="3">
        <v>71297.13</v>
      </c>
      <c r="I520" s="3">
        <v>2</v>
      </c>
      <c r="J520" s="3">
        <v>10</v>
      </c>
      <c r="K520" s="9">
        <f t="shared" si="24"/>
        <v>142594.26</v>
      </c>
      <c r="L520" s="9">
        <f t="shared" si="25"/>
        <v>14259.426000000001</v>
      </c>
      <c r="M520" s="10">
        <f t="shared" si="26"/>
        <v>128334.834</v>
      </c>
      <c r="N520" s="3" t="s">
        <v>68</v>
      </c>
      <c r="O520" s="3" t="s">
        <v>39</v>
      </c>
      <c r="P520" s="3" t="s">
        <v>34</v>
      </c>
    </row>
    <row r="521" spans="1:16" x14ac:dyDescent="0.25">
      <c r="A521" s="2" t="s">
        <v>845</v>
      </c>
      <c r="B521" s="4">
        <v>45555</v>
      </c>
      <c r="C521" s="2" t="s">
        <v>250</v>
      </c>
      <c r="D521" s="2" t="s">
        <v>29</v>
      </c>
      <c r="E521" s="2" t="s">
        <v>30</v>
      </c>
      <c r="F521" s="2" t="s">
        <v>110</v>
      </c>
      <c r="G521" s="2" t="s">
        <v>153</v>
      </c>
      <c r="H521" s="2">
        <v>3216</v>
      </c>
      <c r="I521" s="2">
        <v>4</v>
      </c>
      <c r="J521" s="2">
        <v>0</v>
      </c>
      <c r="K521" s="9">
        <f t="shared" si="24"/>
        <v>12864</v>
      </c>
      <c r="L521" s="9">
        <f t="shared" si="25"/>
        <v>0</v>
      </c>
      <c r="M521" s="10">
        <f t="shared" si="26"/>
        <v>12864</v>
      </c>
      <c r="N521" s="2" t="s">
        <v>26</v>
      </c>
      <c r="O521" s="2" t="s">
        <v>18</v>
      </c>
      <c r="P521" s="2" t="s">
        <v>34</v>
      </c>
    </row>
    <row r="522" spans="1:16" x14ac:dyDescent="0.25">
      <c r="A522" s="3" t="s">
        <v>846</v>
      </c>
      <c r="B522" s="4">
        <v>45556</v>
      </c>
      <c r="C522" s="3" t="s">
        <v>643</v>
      </c>
      <c r="D522" s="3" t="s">
        <v>51</v>
      </c>
      <c r="E522" s="3" t="s">
        <v>14</v>
      </c>
      <c r="F522" s="3" t="s">
        <v>31</v>
      </c>
      <c r="G522" s="3" t="s">
        <v>116</v>
      </c>
      <c r="H522" s="3">
        <v>1102.06</v>
      </c>
      <c r="I522" s="3">
        <v>4</v>
      </c>
      <c r="J522" s="3">
        <v>15</v>
      </c>
      <c r="K522" s="9">
        <f t="shared" si="24"/>
        <v>4408.24</v>
      </c>
      <c r="L522" s="9">
        <f t="shared" si="25"/>
        <v>661.23599999999988</v>
      </c>
      <c r="M522" s="10">
        <f t="shared" si="26"/>
        <v>3747.0039999999999</v>
      </c>
      <c r="N522" s="3" t="s">
        <v>26</v>
      </c>
      <c r="O522" s="3" t="s">
        <v>27</v>
      </c>
      <c r="P522" s="3" t="s">
        <v>40</v>
      </c>
    </row>
    <row r="523" spans="1:16" x14ac:dyDescent="0.25">
      <c r="A523" s="2" t="s">
        <v>847</v>
      </c>
      <c r="B523" s="4">
        <v>45557</v>
      </c>
      <c r="C523" s="2" t="s">
        <v>848</v>
      </c>
      <c r="D523" s="2" t="s">
        <v>100</v>
      </c>
      <c r="E523" s="2" t="s">
        <v>88</v>
      </c>
      <c r="F523" s="2" t="s">
        <v>43</v>
      </c>
      <c r="G523" s="2" t="s">
        <v>89</v>
      </c>
      <c r="H523" s="2">
        <v>4787.5600000000004</v>
      </c>
      <c r="I523" s="2">
        <v>1</v>
      </c>
      <c r="J523" s="2">
        <v>5</v>
      </c>
      <c r="K523" s="9">
        <f t="shared" si="24"/>
        <v>4787.5600000000004</v>
      </c>
      <c r="L523" s="9">
        <f t="shared" si="25"/>
        <v>239.37800000000004</v>
      </c>
      <c r="M523" s="10">
        <f t="shared" si="26"/>
        <v>4548.1820000000007</v>
      </c>
      <c r="N523" s="2" t="s">
        <v>38</v>
      </c>
      <c r="O523" s="2" t="s">
        <v>18</v>
      </c>
      <c r="P523" s="2" t="s">
        <v>19</v>
      </c>
    </row>
    <row r="524" spans="1:16" x14ac:dyDescent="0.25">
      <c r="A524" s="3" t="s">
        <v>849</v>
      </c>
      <c r="B524" s="4">
        <v>45558</v>
      </c>
      <c r="C524" s="3" t="s">
        <v>433</v>
      </c>
      <c r="D524" s="3" t="s">
        <v>87</v>
      </c>
      <c r="E524" s="3" t="s">
        <v>88</v>
      </c>
      <c r="F524" s="3" t="s">
        <v>31</v>
      </c>
      <c r="G524" s="3" t="s">
        <v>70</v>
      </c>
      <c r="H524" s="3">
        <v>589.98</v>
      </c>
      <c r="I524" s="3">
        <v>1</v>
      </c>
      <c r="J524" s="3">
        <v>0</v>
      </c>
      <c r="K524" s="9">
        <f t="shared" si="24"/>
        <v>589.98</v>
      </c>
      <c r="L524" s="9">
        <f t="shared" si="25"/>
        <v>0</v>
      </c>
      <c r="M524" s="10">
        <f t="shared" si="26"/>
        <v>589.98</v>
      </c>
      <c r="N524" s="3" t="s">
        <v>17</v>
      </c>
      <c r="O524" s="3" t="s">
        <v>18</v>
      </c>
      <c r="P524" s="3" t="s">
        <v>60</v>
      </c>
    </row>
    <row r="525" spans="1:16" x14ac:dyDescent="0.25">
      <c r="A525" s="2" t="s">
        <v>850</v>
      </c>
      <c r="B525" s="4">
        <v>45559</v>
      </c>
      <c r="C525" s="2" t="s">
        <v>851</v>
      </c>
      <c r="D525" s="2" t="s">
        <v>13</v>
      </c>
      <c r="E525" s="2" t="s">
        <v>14</v>
      </c>
      <c r="F525" s="2" t="s">
        <v>31</v>
      </c>
      <c r="G525" s="2" t="s">
        <v>242</v>
      </c>
      <c r="H525" s="2">
        <v>911.68</v>
      </c>
      <c r="I525" s="2">
        <v>3</v>
      </c>
      <c r="J525" s="2">
        <v>15</v>
      </c>
      <c r="K525" s="9">
        <f t="shared" si="24"/>
        <v>2735.04</v>
      </c>
      <c r="L525" s="9">
        <f t="shared" si="25"/>
        <v>410.25599999999997</v>
      </c>
      <c r="M525" s="10">
        <f t="shared" si="26"/>
        <v>2324.7840000000001</v>
      </c>
      <c r="N525" s="2" t="s">
        <v>26</v>
      </c>
      <c r="O525" s="2" t="s">
        <v>18</v>
      </c>
      <c r="P525" s="2" t="s">
        <v>40</v>
      </c>
    </row>
    <row r="526" spans="1:16" x14ac:dyDescent="0.25">
      <c r="A526" s="3" t="s">
        <v>852</v>
      </c>
      <c r="B526" s="4">
        <v>45560</v>
      </c>
      <c r="C526" s="3" t="s">
        <v>730</v>
      </c>
      <c r="D526" s="3" t="s">
        <v>76</v>
      </c>
      <c r="E526" s="3" t="s">
        <v>77</v>
      </c>
      <c r="F526" s="3" t="s">
        <v>72</v>
      </c>
      <c r="G526" s="3" t="s">
        <v>73</v>
      </c>
      <c r="H526" s="3">
        <v>355.27</v>
      </c>
      <c r="I526" s="3">
        <v>1</v>
      </c>
      <c r="J526" s="3">
        <v>0</v>
      </c>
      <c r="K526" s="9">
        <f t="shared" si="24"/>
        <v>355.27</v>
      </c>
      <c r="L526" s="9">
        <f t="shared" si="25"/>
        <v>0</v>
      </c>
      <c r="M526" s="10">
        <f t="shared" si="26"/>
        <v>355.27</v>
      </c>
      <c r="N526" s="3" t="s">
        <v>33</v>
      </c>
      <c r="O526" s="3" t="s">
        <v>18</v>
      </c>
      <c r="P526" s="3" t="s">
        <v>60</v>
      </c>
    </row>
    <row r="527" spans="1:16" x14ac:dyDescent="0.25">
      <c r="A527" s="2" t="s">
        <v>853</v>
      </c>
      <c r="B527" s="4">
        <v>45561</v>
      </c>
      <c r="C527" s="2" t="s">
        <v>320</v>
      </c>
      <c r="D527" s="2" t="s">
        <v>22</v>
      </c>
      <c r="E527" s="2" t="s">
        <v>23</v>
      </c>
      <c r="F527" s="2" t="s">
        <v>43</v>
      </c>
      <c r="G527" s="2" t="s">
        <v>89</v>
      </c>
      <c r="H527" s="2">
        <v>4720.78</v>
      </c>
      <c r="I527" s="2">
        <v>5</v>
      </c>
      <c r="J527" s="2">
        <v>10</v>
      </c>
      <c r="K527" s="9">
        <f t="shared" si="24"/>
        <v>23603.899999999998</v>
      </c>
      <c r="L527" s="9">
        <f t="shared" si="25"/>
        <v>2360.39</v>
      </c>
      <c r="M527" s="10">
        <f t="shared" si="26"/>
        <v>21243.51</v>
      </c>
      <c r="N527" s="2" t="s">
        <v>38</v>
      </c>
      <c r="O527" s="2" t="s">
        <v>18</v>
      </c>
      <c r="P527" s="2" t="s">
        <v>60</v>
      </c>
    </row>
    <row r="528" spans="1:16" x14ac:dyDescent="0.25">
      <c r="A528" s="3" t="s">
        <v>854</v>
      </c>
      <c r="B528" s="4">
        <v>45562</v>
      </c>
      <c r="C528" s="3" t="s">
        <v>539</v>
      </c>
      <c r="D528" s="3" t="s">
        <v>100</v>
      </c>
      <c r="E528" s="3" t="s">
        <v>88</v>
      </c>
      <c r="F528" s="3" t="s">
        <v>72</v>
      </c>
      <c r="G528" s="3" t="s">
        <v>102</v>
      </c>
      <c r="H528" s="3">
        <v>647.52</v>
      </c>
      <c r="I528" s="3">
        <v>2</v>
      </c>
      <c r="J528" s="3">
        <v>0</v>
      </c>
      <c r="K528" s="9">
        <f t="shared" si="24"/>
        <v>1295.04</v>
      </c>
      <c r="L528" s="9">
        <f t="shared" si="25"/>
        <v>0</v>
      </c>
      <c r="M528" s="10">
        <f t="shared" si="26"/>
        <v>1295.04</v>
      </c>
      <c r="N528" s="3" t="s">
        <v>33</v>
      </c>
      <c r="O528" s="3" t="s">
        <v>27</v>
      </c>
      <c r="P528" s="3" t="s">
        <v>19</v>
      </c>
    </row>
    <row r="529" spans="1:16" x14ac:dyDescent="0.25">
      <c r="A529" s="2" t="s">
        <v>855</v>
      </c>
      <c r="B529" s="4">
        <v>45563</v>
      </c>
      <c r="C529" s="2" t="s">
        <v>771</v>
      </c>
      <c r="D529" s="2" t="s">
        <v>83</v>
      </c>
      <c r="E529" s="2" t="s">
        <v>84</v>
      </c>
      <c r="F529" s="2" t="s">
        <v>24</v>
      </c>
      <c r="G529" s="2" t="s">
        <v>25</v>
      </c>
      <c r="H529" s="2">
        <v>4114.4799999999996</v>
      </c>
      <c r="I529" s="2">
        <v>4</v>
      </c>
      <c r="J529" s="2">
        <v>15</v>
      </c>
      <c r="K529" s="9">
        <f t="shared" si="24"/>
        <v>16457.919999999998</v>
      </c>
      <c r="L529" s="9">
        <f t="shared" si="25"/>
        <v>2468.6880000000001</v>
      </c>
      <c r="M529" s="10">
        <f t="shared" si="26"/>
        <v>13989.231999999998</v>
      </c>
      <c r="N529" s="2" t="s">
        <v>17</v>
      </c>
      <c r="O529" s="2" t="s">
        <v>18</v>
      </c>
      <c r="P529" s="2" t="s">
        <v>40</v>
      </c>
    </row>
    <row r="530" spans="1:16" x14ac:dyDescent="0.25">
      <c r="A530" s="3" t="s">
        <v>856</v>
      </c>
      <c r="B530" s="4">
        <v>45564</v>
      </c>
      <c r="C530" s="3" t="s">
        <v>530</v>
      </c>
      <c r="D530" s="3" t="s">
        <v>87</v>
      </c>
      <c r="E530" s="3" t="s">
        <v>88</v>
      </c>
      <c r="F530" s="3" t="s">
        <v>31</v>
      </c>
      <c r="G530" s="3" t="s">
        <v>186</v>
      </c>
      <c r="H530" s="3">
        <v>771.32</v>
      </c>
      <c r="I530" s="3">
        <v>5</v>
      </c>
      <c r="J530" s="3">
        <v>0</v>
      </c>
      <c r="K530" s="9">
        <f t="shared" si="24"/>
        <v>3856.6000000000004</v>
      </c>
      <c r="L530" s="9">
        <f t="shared" si="25"/>
        <v>0</v>
      </c>
      <c r="M530" s="10">
        <f t="shared" si="26"/>
        <v>3856.6000000000004</v>
      </c>
      <c r="N530" s="3" t="s">
        <v>68</v>
      </c>
      <c r="O530" s="3" t="s">
        <v>39</v>
      </c>
      <c r="P530" s="3" t="s">
        <v>34</v>
      </c>
    </row>
    <row r="531" spans="1:16" x14ac:dyDescent="0.25">
      <c r="A531" s="2" t="s">
        <v>857</v>
      </c>
      <c r="B531" s="4">
        <v>45565</v>
      </c>
      <c r="C531" s="2" t="s">
        <v>239</v>
      </c>
      <c r="D531" s="2" t="s">
        <v>76</v>
      </c>
      <c r="E531" s="2" t="s">
        <v>77</v>
      </c>
      <c r="F531" s="2" t="s">
        <v>110</v>
      </c>
      <c r="G531" s="2" t="s">
        <v>153</v>
      </c>
      <c r="H531" s="2">
        <v>3458.32</v>
      </c>
      <c r="I531" s="2">
        <v>2</v>
      </c>
      <c r="J531" s="2">
        <v>0</v>
      </c>
      <c r="K531" s="9">
        <f t="shared" si="24"/>
        <v>6916.64</v>
      </c>
      <c r="L531" s="9">
        <f t="shared" si="25"/>
        <v>0</v>
      </c>
      <c r="M531" s="10">
        <f t="shared" si="26"/>
        <v>6916.64</v>
      </c>
      <c r="N531" s="2" t="s">
        <v>38</v>
      </c>
      <c r="O531" s="2" t="s">
        <v>18</v>
      </c>
      <c r="P531" s="2" t="s">
        <v>40</v>
      </c>
    </row>
    <row r="532" spans="1:16" x14ac:dyDescent="0.25">
      <c r="A532" s="3" t="s">
        <v>858</v>
      </c>
      <c r="B532" s="4">
        <v>45566</v>
      </c>
      <c r="C532" s="3" t="s">
        <v>411</v>
      </c>
      <c r="D532" s="3" t="s">
        <v>51</v>
      </c>
      <c r="E532" s="3" t="s">
        <v>14</v>
      </c>
      <c r="F532" s="3" t="s">
        <v>110</v>
      </c>
      <c r="G532" s="3" t="s">
        <v>153</v>
      </c>
      <c r="H532" s="3">
        <v>3758.13</v>
      </c>
      <c r="I532" s="3">
        <v>3</v>
      </c>
      <c r="J532" s="3">
        <v>0</v>
      </c>
      <c r="K532" s="9">
        <f t="shared" si="24"/>
        <v>11274.39</v>
      </c>
      <c r="L532" s="9">
        <f t="shared" si="25"/>
        <v>0</v>
      </c>
      <c r="M532" s="10">
        <f t="shared" si="26"/>
        <v>11274.39</v>
      </c>
      <c r="N532" s="3" t="s">
        <v>38</v>
      </c>
      <c r="O532" s="3" t="s">
        <v>27</v>
      </c>
      <c r="P532" s="3" t="s">
        <v>40</v>
      </c>
    </row>
    <row r="533" spans="1:16" x14ac:dyDescent="0.25">
      <c r="A533" s="2" t="s">
        <v>859</v>
      </c>
      <c r="B533" s="4">
        <v>45567</v>
      </c>
      <c r="C533" s="2" t="s">
        <v>698</v>
      </c>
      <c r="D533" s="2" t="s">
        <v>13</v>
      </c>
      <c r="E533" s="2" t="s">
        <v>14</v>
      </c>
      <c r="F533" s="2" t="s">
        <v>31</v>
      </c>
      <c r="G533" s="2" t="s">
        <v>186</v>
      </c>
      <c r="H533" s="2">
        <v>838.4</v>
      </c>
      <c r="I533" s="2">
        <v>2</v>
      </c>
      <c r="J533" s="2">
        <v>10</v>
      </c>
      <c r="K533" s="9">
        <f t="shared" si="24"/>
        <v>1676.8</v>
      </c>
      <c r="L533" s="9">
        <f t="shared" si="25"/>
        <v>167.68</v>
      </c>
      <c r="M533" s="10">
        <f t="shared" si="26"/>
        <v>1509.12</v>
      </c>
      <c r="N533" s="2" t="s">
        <v>17</v>
      </c>
      <c r="O533" s="2" t="s">
        <v>52</v>
      </c>
      <c r="P533" s="2" t="s">
        <v>34</v>
      </c>
    </row>
    <row r="534" spans="1:16" x14ac:dyDescent="0.25">
      <c r="A534" s="3" t="s">
        <v>860</v>
      </c>
      <c r="B534" s="4">
        <v>45568</v>
      </c>
      <c r="C534" s="3" t="s">
        <v>751</v>
      </c>
      <c r="D534" s="3" t="s">
        <v>100</v>
      </c>
      <c r="E534" s="3" t="s">
        <v>88</v>
      </c>
      <c r="F534" s="3" t="s">
        <v>15</v>
      </c>
      <c r="G534" s="3" t="s">
        <v>198</v>
      </c>
      <c r="H534" s="3">
        <v>780.26</v>
      </c>
      <c r="I534" s="3">
        <v>5</v>
      </c>
      <c r="J534" s="3">
        <v>0</v>
      </c>
      <c r="K534" s="9">
        <f t="shared" si="24"/>
        <v>3901.3</v>
      </c>
      <c r="L534" s="9">
        <f t="shared" si="25"/>
        <v>0</v>
      </c>
      <c r="M534" s="10">
        <f t="shared" si="26"/>
        <v>3901.3</v>
      </c>
      <c r="N534" s="3" t="s">
        <v>38</v>
      </c>
      <c r="O534" s="3" t="s">
        <v>18</v>
      </c>
      <c r="P534" s="3" t="s">
        <v>40</v>
      </c>
    </row>
    <row r="535" spans="1:16" x14ac:dyDescent="0.25">
      <c r="A535" s="2" t="s">
        <v>861</v>
      </c>
      <c r="B535" s="4">
        <v>45569</v>
      </c>
      <c r="C535" s="2" t="s">
        <v>439</v>
      </c>
      <c r="D535" s="2" t="s">
        <v>29</v>
      </c>
      <c r="E535" s="2" t="s">
        <v>30</v>
      </c>
      <c r="F535" s="2" t="s">
        <v>31</v>
      </c>
      <c r="G535" s="2" t="s">
        <v>32</v>
      </c>
      <c r="H535" s="2">
        <v>2482.48</v>
      </c>
      <c r="I535" s="2">
        <v>1</v>
      </c>
      <c r="J535" s="2">
        <v>15</v>
      </c>
      <c r="K535" s="9">
        <f t="shared" si="24"/>
        <v>2482.48</v>
      </c>
      <c r="L535" s="9">
        <f t="shared" si="25"/>
        <v>372.37199999999996</v>
      </c>
      <c r="M535" s="10">
        <f t="shared" si="26"/>
        <v>2110.1080000000002</v>
      </c>
      <c r="N535" s="2" t="s">
        <v>33</v>
      </c>
      <c r="O535" s="2" t="s">
        <v>27</v>
      </c>
      <c r="P535" s="2" t="s">
        <v>34</v>
      </c>
    </row>
    <row r="536" spans="1:16" x14ac:dyDescent="0.25">
      <c r="A536" s="3" t="s">
        <v>862</v>
      </c>
      <c r="B536" s="4">
        <v>45570</v>
      </c>
      <c r="C536" s="3" t="s">
        <v>680</v>
      </c>
      <c r="D536" s="3" t="s">
        <v>22</v>
      </c>
      <c r="E536" s="3" t="s">
        <v>23</v>
      </c>
      <c r="F536" s="3" t="s">
        <v>36</v>
      </c>
      <c r="G536" s="3" t="s">
        <v>338</v>
      </c>
      <c r="H536" s="3">
        <v>69776.34</v>
      </c>
      <c r="I536" s="3">
        <v>4</v>
      </c>
      <c r="J536" s="3">
        <v>0</v>
      </c>
      <c r="K536" s="9">
        <f t="shared" si="24"/>
        <v>279105.36</v>
      </c>
      <c r="L536" s="9">
        <f t="shared" si="25"/>
        <v>0</v>
      </c>
      <c r="M536" s="10">
        <f t="shared" si="26"/>
        <v>279105.36</v>
      </c>
      <c r="N536" s="3" t="s">
        <v>33</v>
      </c>
      <c r="O536" s="3" t="s">
        <v>52</v>
      </c>
      <c r="P536" s="3" t="s">
        <v>40</v>
      </c>
    </row>
    <row r="537" spans="1:16" x14ac:dyDescent="0.25">
      <c r="A537" s="2" t="s">
        <v>863</v>
      </c>
      <c r="B537" s="4">
        <v>45571</v>
      </c>
      <c r="C537" s="2" t="s">
        <v>751</v>
      </c>
      <c r="D537" s="2" t="s">
        <v>83</v>
      </c>
      <c r="E537" s="2" t="s">
        <v>84</v>
      </c>
      <c r="F537" s="2" t="s">
        <v>36</v>
      </c>
      <c r="G537" s="2" t="s">
        <v>49</v>
      </c>
      <c r="H537" s="2">
        <v>140966.26</v>
      </c>
      <c r="I537" s="2">
        <v>4</v>
      </c>
      <c r="J537" s="2">
        <v>10</v>
      </c>
      <c r="K537" s="9">
        <f t="shared" si="24"/>
        <v>563865.04</v>
      </c>
      <c r="L537" s="9">
        <f t="shared" si="25"/>
        <v>56386.504000000001</v>
      </c>
      <c r="M537" s="10">
        <f t="shared" si="26"/>
        <v>507478.53600000002</v>
      </c>
      <c r="N537" s="2" t="s">
        <v>68</v>
      </c>
      <c r="O537" s="2" t="s">
        <v>18</v>
      </c>
      <c r="P537" s="2" t="s">
        <v>53</v>
      </c>
    </row>
    <row r="538" spans="1:16" x14ac:dyDescent="0.25">
      <c r="A538" s="3" t="s">
        <v>864</v>
      </c>
      <c r="B538" s="4">
        <v>45572</v>
      </c>
      <c r="C538" s="3" t="s">
        <v>865</v>
      </c>
      <c r="D538" s="3" t="s">
        <v>76</v>
      </c>
      <c r="E538" s="3" t="s">
        <v>77</v>
      </c>
      <c r="F538" s="3" t="s">
        <v>43</v>
      </c>
      <c r="G538" s="3" t="s">
        <v>127</v>
      </c>
      <c r="H538" s="3">
        <v>4970.21</v>
      </c>
      <c r="I538" s="3">
        <v>3</v>
      </c>
      <c r="J538" s="3">
        <v>0</v>
      </c>
      <c r="K538" s="9">
        <f t="shared" si="24"/>
        <v>14910.630000000001</v>
      </c>
      <c r="L538" s="9">
        <f t="shared" si="25"/>
        <v>0</v>
      </c>
      <c r="M538" s="10">
        <f t="shared" si="26"/>
        <v>14910.630000000001</v>
      </c>
      <c r="N538" s="3" t="s">
        <v>38</v>
      </c>
      <c r="O538" s="3" t="s">
        <v>18</v>
      </c>
      <c r="P538" s="3" t="s">
        <v>19</v>
      </c>
    </row>
    <row r="539" spans="1:16" x14ac:dyDescent="0.25">
      <c r="A539" s="2" t="s">
        <v>866</v>
      </c>
      <c r="B539" s="4">
        <v>45573</v>
      </c>
      <c r="C539" s="2" t="s">
        <v>378</v>
      </c>
      <c r="D539" s="2" t="s">
        <v>47</v>
      </c>
      <c r="E539" s="2" t="s">
        <v>48</v>
      </c>
      <c r="F539" s="2" t="s">
        <v>43</v>
      </c>
      <c r="G539" s="2" t="s">
        <v>44</v>
      </c>
      <c r="H539" s="2">
        <v>3810.9</v>
      </c>
      <c r="I539" s="2">
        <v>3</v>
      </c>
      <c r="J539" s="2">
        <v>15</v>
      </c>
      <c r="K539" s="9">
        <f t="shared" si="24"/>
        <v>11432.7</v>
      </c>
      <c r="L539" s="9">
        <f t="shared" si="25"/>
        <v>1714.905</v>
      </c>
      <c r="M539" s="10">
        <f t="shared" si="26"/>
        <v>9717.7950000000001</v>
      </c>
      <c r="N539" s="2" t="s">
        <v>26</v>
      </c>
      <c r="O539" s="2" t="s">
        <v>18</v>
      </c>
      <c r="P539" s="2" t="s">
        <v>60</v>
      </c>
    </row>
    <row r="540" spans="1:16" x14ac:dyDescent="0.25">
      <c r="A540" s="3" t="s">
        <v>867</v>
      </c>
      <c r="B540" s="4">
        <v>45574</v>
      </c>
      <c r="C540" s="3" t="s">
        <v>390</v>
      </c>
      <c r="D540" s="3" t="s">
        <v>65</v>
      </c>
      <c r="E540" s="3" t="s">
        <v>66</v>
      </c>
      <c r="F540" s="3" t="s">
        <v>110</v>
      </c>
      <c r="G540" s="3" t="s">
        <v>111</v>
      </c>
      <c r="H540" s="3">
        <v>10208.129999999999</v>
      </c>
      <c r="I540" s="3">
        <v>2</v>
      </c>
      <c r="J540" s="3">
        <v>5</v>
      </c>
      <c r="K540" s="9">
        <f t="shared" si="24"/>
        <v>20416.259999999998</v>
      </c>
      <c r="L540" s="9">
        <f t="shared" si="25"/>
        <v>1020.8129999999999</v>
      </c>
      <c r="M540" s="10">
        <f t="shared" si="26"/>
        <v>19395.447</v>
      </c>
      <c r="N540" s="3" t="s">
        <v>26</v>
      </c>
      <c r="O540" s="3" t="s">
        <v>52</v>
      </c>
      <c r="P540" s="3" t="s">
        <v>53</v>
      </c>
    </row>
    <row r="541" spans="1:16" x14ac:dyDescent="0.25">
      <c r="A541" s="2" t="s">
        <v>868</v>
      </c>
      <c r="B541" s="4">
        <v>45575</v>
      </c>
      <c r="C541" s="2" t="s">
        <v>120</v>
      </c>
      <c r="D541" s="2" t="s">
        <v>87</v>
      </c>
      <c r="E541" s="2" t="s">
        <v>88</v>
      </c>
      <c r="F541" s="2" t="s">
        <v>43</v>
      </c>
      <c r="G541" s="2" t="s">
        <v>89</v>
      </c>
      <c r="H541" s="2">
        <v>4168.59</v>
      </c>
      <c r="I541" s="2">
        <v>2</v>
      </c>
      <c r="J541" s="2">
        <v>0</v>
      </c>
      <c r="K541" s="9">
        <f t="shared" si="24"/>
        <v>8337.18</v>
      </c>
      <c r="L541" s="9">
        <f t="shared" si="25"/>
        <v>0</v>
      </c>
      <c r="M541" s="10">
        <f t="shared" si="26"/>
        <v>8337.18</v>
      </c>
      <c r="N541" s="2" t="s">
        <v>17</v>
      </c>
      <c r="O541" s="2" t="s">
        <v>27</v>
      </c>
      <c r="P541" s="2" t="s">
        <v>53</v>
      </c>
    </row>
    <row r="542" spans="1:16" x14ac:dyDescent="0.25">
      <c r="A542" s="3" t="s">
        <v>869</v>
      </c>
      <c r="B542" s="4">
        <v>45576</v>
      </c>
      <c r="C542" s="3" t="s">
        <v>495</v>
      </c>
      <c r="D542" s="3" t="s">
        <v>83</v>
      </c>
      <c r="E542" s="3" t="s">
        <v>84</v>
      </c>
      <c r="F542" s="3" t="s">
        <v>24</v>
      </c>
      <c r="G542" s="3" t="s">
        <v>134</v>
      </c>
      <c r="H542" s="3">
        <v>2747.84</v>
      </c>
      <c r="I542" s="3">
        <v>2</v>
      </c>
      <c r="J542" s="3">
        <v>0</v>
      </c>
      <c r="K542" s="9">
        <f t="shared" si="24"/>
        <v>5495.68</v>
      </c>
      <c r="L542" s="9">
        <f t="shared" si="25"/>
        <v>0</v>
      </c>
      <c r="M542" s="10">
        <f t="shared" si="26"/>
        <v>5495.68</v>
      </c>
      <c r="N542" s="3" t="s">
        <v>17</v>
      </c>
      <c r="O542" s="3" t="s">
        <v>18</v>
      </c>
      <c r="P542" s="3" t="s">
        <v>34</v>
      </c>
    </row>
    <row r="543" spans="1:16" x14ac:dyDescent="0.25">
      <c r="A543" s="2" t="s">
        <v>870</v>
      </c>
      <c r="B543" s="4">
        <v>45577</v>
      </c>
      <c r="C543" s="2" t="s">
        <v>519</v>
      </c>
      <c r="D543" s="2" t="s">
        <v>22</v>
      </c>
      <c r="E543" s="2" t="s">
        <v>23</v>
      </c>
      <c r="F543" s="2" t="s">
        <v>24</v>
      </c>
      <c r="G543" s="2" t="s">
        <v>108</v>
      </c>
      <c r="H543" s="2">
        <v>8543.24</v>
      </c>
      <c r="I543" s="2">
        <v>2</v>
      </c>
      <c r="J543" s="2">
        <v>0</v>
      </c>
      <c r="K543" s="9">
        <f t="shared" si="24"/>
        <v>17086.48</v>
      </c>
      <c r="L543" s="9">
        <f t="shared" si="25"/>
        <v>0</v>
      </c>
      <c r="M543" s="10">
        <f t="shared" si="26"/>
        <v>17086.48</v>
      </c>
      <c r="N543" s="2" t="s">
        <v>38</v>
      </c>
      <c r="O543" s="2" t="s">
        <v>18</v>
      </c>
      <c r="P543" s="2" t="s">
        <v>60</v>
      </c>
    </row>
    <row r="544" spans="1:16" x14ac:dyDescent="0.25">
      <c r="A544" s="3" t="s">
        <v>871</v>
      </c>
      <c r="B544" s="4">
        <v>45578</v>
      </c>
      <c r="C544" s="3" t="s">
        <v>256</v>
      </c>
      <c r="D544" s="3" t="s">
        <v>47</v>
      </c>
      <c r="E544" s="3" t="s">
        <v>48</v>
      </c>
      <c r="F544" s="3" t="s">
        <v>24</v>
      </c>
      <c r="G544" s="3" t="s">
        <v>25</v>
      </c>
      <c r="H544" s="3">
        <v>4146.09</v>
      </c>
      <c r="I544" s="3">
        <v>2</v>
      </c>
      <c r="J544" s="3">
        <v>10</v>
      </c>
      <c r="K544" s="9">
        <f t="shared" si="24"/>
        <v>8292.18</v>
      </c>
      <c r="L544" s="9">
        <f t="shared" si="25"/>
        <v>829.21800000000007</v>
      </c>
      <c r="M544" s="10">
        <f t="shared" si="26"/>
        <v>7462.9620000000004</v>
      </c>
      <c r="N544" s="3" t="s">
        <v>17</v>
      </c>
      <c r="O544" s="3" t="s">
        <v>52</v>
      </c>
      <c r="P544" s="3" t="s">
        <v>34</v>
      </c>
    </row>
    <row r="545" spans="1:16" x14ac:dyDescent="0.25">
      <c r="A545" s="2" t="s">
        <v>872</v>
      </c>
      <c r="B545" s="4">
        <v>45579</v>
      </c>
      <c r="C545" s="2" t="s">
        <v>115</v>
      </c>
      <c r="D545" s="2" t="s">
        <v>51</v>
      </c>
      <c r="E545" s="2" t="s">
        <v>14</v>
      </c>
      <c r="F545" s="2" t="s">
        <v>110</v>
      </c>
      <c r="G545" s="2" t="s">
        <v>153</v>
      </c>
      <c r="H545" s="2">
        <v>3311.64</v>
      </c>
      <c r="I545" s="2">
        <v>1</v>
      </c>
      <c r="J545" s="2">
        <v>0</v>
      </c>
      <c r="K545" s="9">
        <f t="shared" si="24"/>
        <v>3311.64</v>
      </c>
      <c r="L545" s="9">
        <f t="shared" si="25"/>
        <v>0</v>
      </c>
      <c r="M545" s="10">
        <f t="shared" si="26"/>
        <v>3311.64</v>
      </c>
      <c r="N545" s="2" t="s">
        <v>68</v>
      </c>
      <c r="O545" s="2" t="s">
        <v>27</v>
      </c>
      <c r="P545" s="2" t="s">
        <v>60</v>
      </c>
    </row>
    <row r="546" spans="1:16" x14ac:dyDescent="0.25">
      <c r="A546" s="3" t="s">
        <v>873</v>
      </c>
      <c r="B546" s="4">
        <v>45580</v>
      </c>
      <c r="C546" s="3" t="s">
        <v>228</v>
      </c>
      <c r="D546" s="3" t="s">
        <v>76</v>
      </c>
      <c r="E546" s="3" t="s">
        <v>77</v>
      </c>
      <c r="F546" s="3" t="s">
        <v>15</v>
      </c>
      <c r="G546" s="3" t="s">
        <v>16</v>
      </c>
      <c r="H546" s="3">
        <v>1405.19</v>
      </c>
      <c r="I546" s="3">
        <v>4</v>
      </c>
      <c r="J546" s="3">
        <v>0</v>
      </c>
      <c r="K546" s="9">
        <f t="shared" si="24"/>
        <v>5620.76</v>
      </c>
      <c r="L546" s="9">
        <f t="shared" si="25"/>
        <v>0</v>
      </c>
      <c r="M546" s="10">
        <f t="shared" si="26"/>
        <v>5620.76</v>
      </c>
      <c r="N546" s="3" t="s">
        <v>33</v>
      </c>
      <c r="O546" s="3" t="s">
        <v>18</v>
      </c>
      <c r="P546" s="3" t="s">
        <v>53</v>
      </c>
    </row>
    <row r="547" spans="1:16" x14ac:dyDescent="0.25">
      <c r="A547" s="2" t="s">
        <v>874</v>
      </c>
      <c r="B547" s="4">
        <v>45581</v>
      </c>
      <c r="C547" s="2" t="s">
        <v>875</v>
      </c>
      <c r="D547" s="2" t="s">
        <v>65</v>
      </c>
      <c r="E547" s="2" t="s">
        <v>66</v>
      </c>
      <c r="F547" s="2" t="s">
        <v>72</v>
      </c>
      <c r="G547" s="2" t="s">
        <v>81</v>
      </c>
      <c r="H547" s="2">
        <v>1627.63</v>
      </c>
      <c r="I547" s="2">
        <v>4</v>
      </c>
      <c r="J547" s="2">
        <v>0</v>
      </c>
      <c r="K547" s="9">
        <f t="shared" si="24"/>
        <v>6510.52</v>
      </c>
      <c r="L547" s="9">
        <f t="shared" si="25"/>
        <v>0</v>
      </c>
      <c r="M547" s="10">
        <f t="shared" si="26"/>
        <v>6510.52</v>
      </c>
      <c r="N547" s="2" t="s">
        <v>26</v>
      </c>
      <c r="O547" s="2" t="s">
        <v>39</v>
      </c>
      <c r="P547" s="2" t="s">
        <v>53</v>
      </c>
    </row>
    <row r="548" spans="1:16" x14ac:dyDescent="0.25">
      <c r="A548" s="3" t="s">
        <v>876</v>
      </c>
      <c r="B548" s="4">
        <v>45582</v>
      </c>
      <c r="C548" s="3" t="s">
        <v>402</v>
      </c>
      <c r="D548" s="3" t="s">
        <v>29</v>
      </c>
      <c r="E548" s="3" t="s">
        <v>30</v>
      </c>
      <c r="F548" s="3" t="s">
        <v>43</v>
      </c>
      <c r="G548" s="3" t="s">
        <v>105</v>
      </c>
      <c r="H548" s="3">
        <v>3005.39</v>
      </c>
      <c r="I548" s="3">
        <v>2</v>
      </c>
      <c r="J548" s="3">
        <v>10</v>
      </c>
      <c r="K548" s="9">
        <f t="shared" si="24"/>
        <v>6010.78</v>
      </c>
      <c r="L548" s="9">
        <f t="shared" si="25"/>
        <v>601.07799999999997</v>
      </c>
      <c r="M548" s="10">
        <f t="shared" si="26"/>
        <v>5409.7019999999993</v>
      </c>
      <c r="N548" s="3" t="s">
        <v>33</v>
      </c>
      <c r="O548" s="3" t="s">
        <v>39</v>
      </c>
      <c r="P548" s="3" t="s">
        <v>40</v>
      </c>
    </row>
    <row r="549" spans="1:16" x14ac:dyDescent="0.25">
      <c r="A549" s="2" t="s">
        <v>877</v>
      </c>
      <c r="B549" s="4">
        <v>45583</v>
      </c>
      <c r="C549" s="2" t="s">
        <v>730</v>
      </c>
      <c r="D549" s="2" t="s">
        <v>87</v>
      </c>
      <c r="E549" s="2" t="s">
        <v>88</v>
      </c>
      <c r="F549" s="2" t="s">
        <v>43</v>
      </c>
      <c r="G549" s="2" t="s">
        <v>89</v>
      </c>
      <c r="H549" s="2">
        <v>4895.2299999999996</v>
      </c>
      <c r="I549" s="2">
        <v>5</v>
      </c>
      <c r="J549" s="2">
        <v>10</v>
      </c>
      <c r="K549" s="9">
        <f t="shared" si="24"/>
        <v>24476.149999999998</v>
      </c>
      <c r="L549" s="9">
        <f t="shared" si="25"/>
        <v>2447.6149999999998</v>
      </c>
      <c r="M549" s="10">
        <f t="shared" si="26"/>
        <v>22028.534999999996</v>
      </c>
      <c r="N549" s="2" t="s">
        <v>17</v>
      </c>
      <c r="O549" s="2" t="s">
        <v>52</v>
      </c>
      <c r="P549" s="2" t="s">
        <v>40</v>
      </c>
    </row>
    <row r="550" spans="1:16" x14ac:dyDescent="0.25">
      <c r="A550" s="3" t="s">
        <v>878</v>
      </c>
      <c r="B550" s="4">
        <v>45584</v>
      </c>
      <c r="C550" s="3" t="s">
        <v>559</v>
      </c>
      <c r="D550" s="3" t="s">
        <v>76</v>
      </c>
      <c r="E550" s="3" t="s">
        <v>77</v>
      </c>
      <c r="F550" s="3" t="s">
        <v>72</v>
      </c>
      <c r="G550" s="3" t="s">
        <v>81</v>
      </c>
      <c r="H550" s="3">
        <v>1613.33</v>
      </c>
      <c r="I550" s="3">
        <v>2</v>
      </c>
      <c r="J550" s="3">
        <v>10</v>
      </c>
      <c r="K550" s="9">
        <f t="shared" si="24"/>
        <v>3226.66</v>
      </c>
      <c r="L550" s="9">
        <f t="shared" si="25"/>
        <v>322.666</v>
      </c>
      <c r="M550" s="10">
        <f t="shared" si="26"/>
        <v>2903.9939999999997</v>
      </c>
      <c r="N550" s="3" t="s">
        <v>17</v>
      </c>
      <c r="O550" s="3" t="s">
        <v>18</v>
      </c>
      <c r="P550" s="3" t="s">
        <v>40</v>
      </c>
    </row>
    <row r="551" spans="1:16" x14ac:dyDescent="0.25">
      <c r="A551" s="2" t="s">
        <v>879</v>
      </c>
      <c r="B551" s="4">
        <v>45585</v>
      </c>
      <c r="C551" s="2" t="s">
        <v>334</v>
      </c>
      <c r="D551" s="2" t="s">
        <v>13</v>
      </c>
      <c r="E551" s="2" t="s">
        <v>14</v>
      </c>
      <c r="F551" s="2" t="s">
        <v>24</v>
      </c>
      <c r="G551" s="2" t="s">
        <v>108</v>
      </c>
      <c r="H551" s="2">
        <v>7903.29</v>
      </c>
      <c r="I551" s="2">
        <v>3</v>
      </c>
      <c r="J551" s="2">
        <v>0</v>
      </c>
      <c r="K551" s="9">
        <f t="shared" si="24"/>
        <v>23709.87</v>
      </c>
      <c r="L551" s="9">
        <f t="shared" si="25"/>
        <v>0</v>
      </c>
      <c r="M551" s="10">
        <f t="shared" si="26"/>
        <v>23709.87</v>
      </c>
      <c r="N551" s="2" t="s">
        <v>33</v>
      </c>
      <c r="O551" s="2" t="s">
        <v>18</v>
      </c>
      <c r="P551" s="2" t="s">
        <v>60</v>
      </c>
    </row>
    <row r="552" spans="1:16" x14ac:dyDescent="0.25">
      <c r="A552" s="3" t="s">
        <v>880</v>
      </c>
      <c r="B552" s="4">
        <v>45586</v>
      </c>
      <c r="C552" s="3" t="s">
        <v>197</v>
      </c>
      <c r="D552" s="3" t="s">
        <v>83</v>
      </c>
      <c r="E552" s="3" t="s">
        <v>84</v>
      </c>
      <c r="F552" s="3" t="s">
        <v>24</v>
      </c>
      <c r="G552" s="3" t="s">
        <v>134</v>
      </c>
      <c r="H552" s="3">
        <v>2664.95</v>
      </c>
      <c r="I552" s="3">
        <v>4</v>
      </c>
      <c r="J552" s="3">
        <v>10</v>
      </c>
      <c r="K552" s="9">
        <f t="shared" si="24"/>
        <v>10659.8</v>
      </c>
      <c r="L552" s="9">
        <f t="shared" si="25"/>
        <v>1065.98</v>
      </c>
      <c r="M552" s="10">
        <f t="shared" si="26"/>
        <v>9593.82</v>
      </c>
      <c r="N552" s="3" t="s">
        <v>17</v>
      </c>
      <c r="O552" s="3" t="s">
        <v>18</v>
      </c>
      <c r="P552" s="3" t="s">
        <v>53</v>
      </c>
    </row>
    <row r="553" spans="1:16" x14ac:dyDescent="0.25">
      <c r="A553" s="2" t="s">
        <v>881</v>
      </c>
      <c r="B553" s="4">
        <v>45587</v>
      </c>
      <c r="C553" s="2" t="s">
        <v>500</v>
      </c>
      <c r="D553" s="2" t="s">
        <v>100</v>
      </c>
      <c r="E553" s="2" t="s">
        <v>88</v>
      </c>
      <c r="F553" s="2" t="s">
        <v>43</v>
      </c>
      <c r="G553" s="2" t="s">
        <v>145</v>
      </c>
      <c r="H553" s="2">
        <v>11576.31</v>
      </c>
      <c r="I553" s="2">
        <v>1</v>
      </c>
      <c r="J553" s="2">
        <v>5</v>
      </c>
      <c r="K553" s="9">
        <f t="shared" si="24"/>
        <v>11576.31</v>
      </c>
      <c r="L553" s="9">
        <f t="shared" si="25"/>
        <v>578.81549999999993</v>
      </c>
      <c r="M553" s="10">
        <f t="shared" si="26"/>
        <v>10997.494499999999</v>
      </c>
      <c r="N553" s="2" t="s">
        <v>33</v>
      </c>
      <c r="O553" s="2" t="s">
        <v>52</v>
      </c>
      <c r="P553" s="2" t="s">
        <v>53</v>
      </c>
    </row>
    <row r="554" spans="1:16" x14ac:dyDescent="0.25">
      <c r="A554" s="3" t="s">
        <v>882</v>
      </c>
      <c r="B554" s="4">
        <v>45588</v>
      </c>
      <c r="C554" s="3" t="s">
        <v>369</v>
      </c>
      <c r="D554" s="3" t="s">
        <v>87</v>
      </c>
      <c r="E554" s="3" t="s">
        <v>88</v>
      </c>
      <c r="F554" s="3" t="s">
        <v>15</v>
      </c>
      <c r="G554" s="3" t="s">
        <v>163</v>
      </c>
      <c r="H554" s="3">
        <v>2609.19</v>
      </c>
      <c r="I554" s="3">
        <v>1</v>
      </c>
      <c r="J554" s="3">
        <v>15</v>
      </c>
      <c r="K554" s="9">
        <f t="shared" si="24"/>
        <v>2609.19</v>
      </c>
      <c r="L554" s="9">
        <f t="shared" si="25"/>
        <v>391.37849999999997</v>
      </c>
      <c r="M554" s="10">
        <f t="shared" si="26"/>
        <v>2217.8115000000003</v>
      </c>
      <c r="N554" s="3" t="s">
        <v>68</v>
      </c>
      <c r="O554" s="3" t="s">
        <v>27</v>
      </c>
      <c r="P554" s="3" t="s">
        <v>60</v>
      </c>
    </row>
    <row r="555" spans="1:16" x14ac:dyDescent="0.25">
      <c r="A555" s="2" t="s">
        <v>883</v>
      </c>
      <c r="B555" s="4">
        <v>45589</v>
      </c>
      <c r="C555" s="2" t="s">
        <v>451</v>
      </c>
      <c r="D555" s="2" t="s">
        <v>83</v>
      </c>
      <c r="E555" s="2" t="s">
        <v>84</v>
      </c>
      <c r="F555" s="2" t="s">
        <v>15</v>
      </c>
      <c r="G555" s="2" t="s">
        <v>95</v>
      </c>
      <c r="H555" s="2">
        <v>1254.45</v>
      </c>
      <c r="I555" s="2">
        <v>5</v>
      </c>
      <c r="J555" s="2">
        <v>5</v>
      </c>
      <c r="K555" s="9">
        <f t="shared" si="24"/>
        <v>6272.25</v>
      </c>
      <c r="L555" s="9">
        <f t="shared" si="25"/>
        <v>313.61250000000001</v>
      </c>
      <c r="M555" s="10">
        <f t="shared" si="26"/>
        <v>5958.6374999999998</v>
      </c>
      <c r="N555" s="2" t="s">
        <v>26</v>
      </c>
      <c r="O555" s="2" t="s">
        <v>18</v>
      </c>
      <c r="P555" s="2" t="s">
        <v>19</v>
      </c>
    </row>
    <row r="556" spans="1:16" x14ac:dyDescent="0.25">
      <c r="A556" s="3" t="s">
        <v>884</v>
      </c>
      <c r="B556" s="4">
        <v>45590</v>
      </c>
      <c r="C556" s="3" t="s">
        <v>442</v>
      </c>
      <c r="D556" s="3" t="s">
        <v>87</v>
      </c>
      <c r="E556" s="3" t="s">
        <v>88</v>
      </c>
      <c r="F556" s="3" t="s">
        <v>110</v>
      </c>
      <c r="G556" s="3" t="s">
        <v>153</v>
      </c>
      <c r="H556" s="3">
        <v>3263.49</v>
      </c>
      <c r="I556" s="3">
        <v>2</v>
      </c>
      <c r="J556" s="3">
        <v>0</v>
      </c>
      <c r="K556" s="9">
        <f t="shared" si="24"/>
        <v>6526.98</v>
      </c>
      <c r="L556" s="9">
        <f t="shared" si="25"/>
        <v>0</v>
      </c>
      <c r="M556" s="10">
        <f t="shared" si="26"/>
        <v>6526.98</v>
      </c>
      <c r="N556" s="3" t="s">
        <v>68</v>
      </c>
      <c r="O556" s="3" t="s">
        <v>18</v>
      </c>
      <c r="P556" s="3" t="s">
        <v>34</v>
      </c>
    </row>
    <row r="557" spans="1:16" x14ac:dyDescent="0.25">
      <c r="A557" s="2" t="s">
        <v>885</v>
      </c>
      <c r="B557" s="4">
        <v>45591</v>
      </c>
      <c r="C557" s="2" t="s">
        <v>746</v>
      </c>
      <c r="D557" s="2" t="s">
        <v>47</v>
      </c>
      <c r="E557" s="2" t="s">
        <v>48</v>
      </c>
      <c r="F557" s="2" t="s">
        <v>15</v>
      </c>
      <c r="G557" s="2" t="s">
        <v>163</v>
      </c>
      <c r="H557" s="2">
        <v>2308.7800000000002</v>
      </c>
      <c r="I557" s="2">
        <v>2</v>
      </c>
      <c r="J557" s="2">
        <v>0</v>
      </c>
      <c r="K557" s="9">
        <f t="shared" si="24"/>
        <v>4617.5600000000004</v>
      </c>
      <c r="L557" s="9">
        <f t="shared" si="25"/>
        <v>0</v>
      </c>
      <c r="M557" s="10">
        <f t="shared" si="26"/>
        <v>4617.5600000000004</v>
      </c>
      <c r="N557" s="2" t="s">
        <v>68</v>
      </c>
      <c r="O557" s="2" t="s">
        <v>52</v>
      </c>
      <c r="P557" s="2" t="s">
        <v>34</v>
      </c>
    </row>
    <row r="558" spans="1:16" x14ac:dyDescent="0.25">
      <c r="A558" s="3" t="s">
        <v>886</v>
      </c>
      <c r="B558" s="4">
        <v>45592</v>
      </c>
      <c r="C558" s="3" t="s">
        <v>698</v>
      </c>
      <c r="D558" s="3" t="s">
        <v>76</v>
      </c>
      <c r="E558" s="3" t="s">
        <v>77</v>
      </c>
      <c r="F558" s="3" t="s">
        <v>110</v>
      </c>
      <c r="G558" s="3" t="s">
        <v>207</v>
      </c>
      <c r="H558" s="3">
        <v>8683.57</v>
      </c>
      <c r="I558" s="3">
        <v>4</v>
      </c>
      <c r="J558" s="3">
        <v>5</v>
      </c>
      <c r="K558" s="9">
        <f t="shared" si="24"/>
        <v>34734.28</v>
      </c>
      <c r="L558" s="9">
        <f t="shared" si="25"/>
        <v>1736.7139999999999</v>
      </c>
      <c r="M558" s="10">
        <f t="shared" si="26"/>
        <v>32997.565999999999</v>
      </c>
      <c r="N558" s="3" t="s">
        <v>26</v>
      </c>
      <c r="O558" s="3" t="s">
        <v>52</v>
      </c>
      <c r="P558" s="3" t="s">
        <v>60</v>
      </c>
    </row>
    <row r="559" spans="1:16" x14ac:dyDescent="0.25">
      <c r="A559" s="2" t="s">
        <v>887</v>
      </c>
      <c r="B559" s="4">
        <v>45593</v>
      </c>
      <c r="C559" s="2" t="s">
        <v>796</v>
      </c>
      <c r="D559" s="2" t="s">
        <v>22</v>
      </c>
      <c r="E559" s="2" t="s">
        <v>23</v>
      </c>
      <c r="F559" s="2" t="s">
        <v>110</v>
      </c>
      <c r="G559" s="2" t="s">
        <v>111</v>
      </c>
      <c r="H559" s="2">
        <v>8562.49</v>
      </c>
      <c r="I559" s="2">
        <v>5</v>
      </c>
      <c r="J559" s="2">
        <v>0</v>
      </c>
      <c r="K559" s="9">
        <f t="shared" si="24"/>
        <v>42812.45</v>
      </c>
      <c r="L559" s="9">
        <f t="shared" si="25"/>
        <v>0</v>
      </c>
      <c r="M559" s="10">
        <f t="shared" si="26"/>
        <v>42812.45</v>
      </c>
      <c r="N559" s="2" t="s">
        <v>17</v>
      </c>
      <c r="O559" s="2" t="s">
        <v>27</v>
      </c>
      <c r="P559" s="2" t="s">
        <v>19</v>
      </c>
    </row>
    <row r="560" spans="1:16" x14ac:dyDescent="0.25">
      <c r="A560" s="3" t="s">
        <v>888</v>
      </c>
      <c r="B560" s="4">
        <v>45594</v>
      </c>
      <c r="C560" s="3" t="s">
        <v>442</v>
      </c>
      <c r="D560" s="3" t="s">
        <v>100</v>
      </c>
      <c r="E560" s="3" t="s">
        <v>88</v>
      </c>
      <c r="F560" s="3" t="s">
        <v>36</v>
      </c>
      <c r="G560" s="3" t="s">
        <v>121</v>
      </c>
      <c r="H560" s="3">
        <v>92131.38</v>
      </c>
      <c r="I560" s="3">
        <v>2</v>
      </c>
      <c r="J560" s="3">
        <v>0</v>
      </c>
      <c r="K560" s="9">
        <f t="shared" si="24"/>
        <v>184262.76</v>
      </c>
      <c r="L560" s="9">
        <f t="shared" si="25"/>
        <v>0</v>
      </c>
      <c r="M560" s="10">
        <f t="shared" si="26"/>
        <v>184262.76</v>
      </c>
      <c r="N560" s="3" t="s">
        <v>17</v>
      </c>
      <c r="O560" s="3" t="s">
        <v>39</v>
      </c>
      <c r="P560" s="3" t="s">
        <v>19</v>
      </c>
    </row>
    <row r="561" spans="1:16" x14ac:dyDescent="0.25">
      <c r="A561" s="2" t="s">
        <v>889</v>
      </c>
      <c r="B561" s="4">
        <v>45595</v>
      </c>
      <c r="C561" s="2" t="s">
        <v>890</v>
      </c>
      <c r="D561" s="2" t="s">
        <v>13</v>
      </c>
      <c r="E561" s="2" t="s">
        <v>14</v>
      </c>
      <c r="F561" s="2" t="s">
        <v>36</v>
      </c>
      <c r="G561" s="2" t="s">
        <v>37</v>
      </c>
      <c r="H561" s="2">
        <v>13184.96</v>
      </c>
      <c r="I561" s="2">
        <v>2</v>
      </c>
      <c r="J561" s="2">
        <v>10</v>
      </c>
      <c r="K561" s="9">
        <f t="shared" si="24"/>
        <v>26369.919999999998</v>
      </c>
      <c r="L561" s="9">
        <f t="shared" si="25"/>
        <v>2636.9919999999997</v>
      </c>
      <c r="M561" s="10">
        <f t="shared" si="26"/>
        <v>23732.928</v>
      </c>
      <c r="N561" s="2" t="s">
        <v>38</v>
      </c>
      <c r="O561" s="2" t="s">
        <v>52</v>
      </c>
      <c r="P561" s="2" t="s">
        <v>19</v>
      </c>
    </row>
    <row r="562" spans="1:16" x14ac:dyDescent="0.25">
      <c r="A562" s="3" t="s">
        <v>891</v>
      </c>
      <c r="B562" s="4">
        <v>45596</v>
      </c>
      <c r="C562" s="3" t="s">
        <v>892</v>
      </c>
      <c r="D562" s="3" t="s">
        <v>76</v>
      </c>
      <c r="E562" s="3" t="s">
        <v>77</v>
      </c>
      <c r="F562" s="3" t="s">
        <v>15</v>
      </c>
      <c r="G562" s="3" t="s">
        <v>56</v>
      </c>
      <c r="H562" s="3">
        <v>1749.67</v>
      </c>
      <c r="I562" s="3">
        <v>1</v>
      </c>
      <c r="J562" s="3">
        <v>5</v>
      </c>
      <c r="K562" s="9">
        <f t="shared" si="24"/>
        <v>1749.67</v>
      </c>
      <c r="L562" s="9">
        <f t="shared" si="25"/>
        <v>87.483500000000006</v>
      </c>
      <c r="M562" s="10">
        <f t="shared" si="26"/>
        <v>1662.1865</v>
      </c>
      <c r="N562" s="3" t="s">
        <v>38</v>
      </c>
      <c r="O562" s="3" t="s">
        <v>18</v>
      </c>
      <c r="P562" s="3" t="s">
        <v>34</v>
      </c>
    </row>
    <row r="563" spans="1:16" x14ac:dyDescent="0.25">
      <c r="A563" s="2" t="s">
        <v>893</v>
      </c>
      <c r="B563" s="4">
        <v>45597</v>
      </c>
      <c r="C563" s="2" t="s">
        <v>64</v>
      </c>
      <c r="D563" s="2" t="s">
        <v>83</v>
      </c>
      <c r="E563" s="2" t="s">
        <v>84</v>
      </c>
      <c r="F563" s="2" t="s">
        <v>36</v>
      </c>
      <c r="G563" s="2" t="s">
        <v>338</v>
      </c>
      <c r="H563" s="2">
        <v>64620.62</v>
      </c>
      <c r="I563" s="2">
        <v>1</v>
      </c>
      <c r="J563" s="2">
        <v>5</v>
      </c>
      <c r="K563" s="9">
        <f t="shared" si="24"/>
        <v>64620.62</v>
      </c>
      <c r="L563" s="9">
        <f t="shared" si="25"/>
        <v>3231.0310000000004</v>
      </c>
      <c r="M563" s="10">
        <f t="shared" si="26"/>
        <v>61389.589</v>
      </c>
      <c r="N563" s="2" t="s">
        <v>38</v>
      </c>
      <c r="O563" s="2" t="s">
        <v>18</v>
      </c>
      <c r="P563" s="2" t="s">
        <v>19</v>
      </c>
    </row>
    <row r="564" spans="1:16" x14ac:dyDescent="0.25">
      <c r="A564" s="3" t="s">
        <v>894</v>
      </c>
      <c r="B564" s="4">
        <v>45598</v>
      </c>
      <c r="C564" s="3" t="s">
        <v>94</v>
      </c>
      <c r="D564" s="3" t="s">
        <v>51</v>
      </c>
      <c r="E564" s="3" t="s">
        <v>14</v>
      </c>
      <c r="F564" s="3" t="s">
        <v>110</v>
      </c>
      <c r="G564" s="3" t="s">
        <v>207</v>
      </c>
      <c r="H564" s="3">
        <v>7835.81</v>
      </c>
      <c r="I564" s="3">
        <v>5</v>
      </c>
      <c r="J564" s="3">
        <v>15</v>
      </c>
      <c r="K564" s="9">
        <f t="shared" si="24"/>
        <v>39179.050000000003</v>
      </c>
      <c r="L564" s="9">
        <f t="shared" si="25"/>
        <v>5876.8575000000001</v>
      </c>
      <c r="M564" s="10">
        <f t="shared" si="26"/>
        <v>33302.192500000005</v>
      </c>
      <c r="N564" s="3" t="s">
        <v>33</v>
      </c>
      <c r="O564" s="3" t="s">
        <v>27</v>
      </c>
      <c r="P564" s="3" t="s">
        <v>19</v>
      </c>
    </row>
    <row r="565" spans="1:16" x14ac:dyDescent="0.25">
      <c r="A565" s="2" t="s">
        <v>895</v>
      </c>
      <c r="B565" s="4">
        <v>45599</v>
      </c>
      <c r="C565" s="2" t="s">
        <v>618</v>
      </c>
      <c r="D565" s="2" t="s">
        <v>29</v>
      </c>
      <c r="E565" s="2" t="s">
        <v>30</v>
      </c>
      <c r="F565" s="2" t="s">
        <v>72</v>
      </c>
      <c r="G565" s="2" t="s">
        <v>137</v>
      </c>
      <c r="H565" s="2">
        <v>2094.25</v>
      </c>
      <c r="I565" s="2">
        <v>5</v>
      </c>
      <c r="J565" s="2">
        <v>10</v>
      </c>
      <c r="K565" s="9">
        <f t="shared" si="24"/>
        <v>10471.25</v>
      </c>
      <c r="L565" s="9">
        <f t="shared" si="25"/>
        <v>1047.125</v>
      </c>
      <c r="M565" s="10">
        <f t="shared" si="26"/>
        <v>9424.125</v>
      </c>
      <c r="N565" s="2" t="s">
        <v>38</v>
      </c>
      <c r="O565" s="2" t="s">
        <v>18</v>
      </c>
      <c r="P565" s="2" t="s">
        <v>19</v>
      </c>
    </row>
    <row r="566" spans="1:16" x14ac:dyDescent="0.25">
      <c r="A566" s="3" t="s">
        <v>896</v>
      </c>
      <c r="B566" s="4">
        <v>45600</v>
      </c>
      <c r="C566" s="3" t="s">
        <v>700</v>
      </c>
      <c r="D566" s="3" t="s">
        <v>76</v>
      </c>
      <c r="E566" s="3" t="s">
        <v>77</v>
      </c>
      <c r="F566" s="3" t="s">
        <v>43</v>
      </c>
      <c r="G566" s="3" t="s">
        <v>127</v>
      </c>
      <c r="H566" s="3">
        <v>5922.03</v>
      </c>
      <c r="I566" s="3">
        <v>2</v>
      </c>
      <c r="J566" s="3">
        <v>0</v>
      </c>
      <c r="K566" s="9">
        <f t="shared" si="24"/>
        <v>11844.06</v>
      </c>
      <c r="L566" s="9">
        <f t="shared" si="25"/>
        <v>0</v>
      </c>
      <c r="M566" s="10">
        <f t="shared" si="26"/>
        <v>11844.06</v>
      </c>
      <c r="N566" s="3" t="s">
        <v>38</v>
      </c>
      <c r="O566" s="3" t="s">
        <v>18</v>
      </c>
      <c r="P566" s="3" t="s">
        <v>40</v>
      </c>
    </row>
    <row r="567" spans="1:16" x14ac:dyDescent="0.25">
      <c r="A567" s="2" t="s">
        <v>897</v>
      </c>
      <c r="B567" s="4">
        <v>45601</v>
      </c>
      <c r="C567" s="2" t="s">
        <v>645</v>
      </c>
      <c r="D567" s="2" t="s">
        <v>22</v>
      </c>
      <c r="E567" s="2" t="s">
        <v>23</v>
      </c>
      <c r="F567" s="2" t="s">
        <v>15</v>
      </c>
      <c r="G567" s="2" t="s">
        <v>163</v>
      </c>
      <c r="H567" s="2">
        <v>2649.78</v>
      </c>
      <c r="I567" s="2">
        <v>4</v>
      </c>
      <c r="J567" s="2">
        <v>10</v>
      </c>
      <c r="K567" s="9">
        <f t="shared" si="24"/>
        <v>10599.12</v>
      </c>
      <c r="L567" s="9">
        <f t="shared" si="25"/>
        <v>1059.912</v>
      </c>
      <c r="M567" s="10">
        <f t="shared" si="26"/>
        <v>9539.2080000000005</v>
      </c>
      <c r="N567" s="2" t="s">
        <v>68</v>
      </c>
      <c r="O567" s="2" t="s">
        <v>18</v>
      </c>
      <c r="P567" s="2" t="s">
        <v>34</v>
      </c>
    </row>
    <row r="568" spans="1:16" x14ac:dyDescent="0.25">
      <c r="A568" s="3" t="s">
        <v>898</v>
      </c>
      <c r="B568" s="4">
        <v>45602</v>
      </c>
      <c r="C568" s="3" t="s">
        <v>246</v>
      </c>
      <c r="D568" s="3" t="s">
        <v>13</v>
      </c>
      <c r="E568" s="3" t="s">
        <v>14</v>
      </c>
      <c r="F568" s="3" t="s">
        <v>15</v>
      </c>
      <c r="G568" s="3" t="s">
        <v>163</v>
      </c>
      <c r="H568" s="3">
        <v>2595.0100000000002</v>
      </c>
      <c r="I568" s="3">
        <v>3</v>
      </c>
      <c r="J568" s="3">
        <v>10</v>
      </c>
      <c r="K568" s="9">
        <f t="shared" si="24"/>
        <v>7785.0300000000007</v>
      </c>
      <c r="L568" s="9">
        <f t="shared" si="25"/>
        <v>778.50300000000004</v>
      </c>
      <c r="M568" s="10">
        <f t="shared" si="26"/>
        <v>7006.527000000001</v>
      </c>
      <c r="N568" s="3" t="s">
        <v>38</v>
      </c>
      <c r="O568" s="3" t="s">
        <v>18</v>
      </c>
      <c r="P568" s="3" t="s">
        <v>19</v>
      </c>
    </row>
    <row r="569" spans="1:16" x14ac:dyDescent="0.25">
      <c r="A569" s="2" t="s">
        <v>899</v>
      </c>
      <c r="B569" s="4">
        <v>45603</v>
      </c>
      <c r="C569" s="2" t="s">
        <v>687</v>
      </c>
      <c r="D569" s="2" t="s">
        <v>22</v>
      </c>
      <c r="E569" s="2" t="s">
        <v>23</v>
      </c>
      <c r="F569" s="2" t="s">
        <v>15</v>
      </c>
      <c r="G569" s="2" t="s">
        <v>16</v>
      </c>
      <c r="H569" s="2">
        <v>1452.41</v>
      </c>
      <c r="I569" s="2">
        <v>5</v>
      </c>
      <c r="J569" s="2">
        <v>0</v>
      </c>
      <c r="K569" s="9">
        <f t="shared" si="24"/>
        <v>7262.05</v>
      </c>
      <c r="L569" s="9">
        <f t="shared" si="25"/>
        <v>0</v>
      </c>
      <c r="M569" s="10">
        <f t="shared" si="26"/>
        <v>7262.05</v>
      </c>
      <c r="N569" s="2" t="s">
        <v>68</v>
      </c>
      <c r="O569" s="2" t="s">
        <v>39</v>
      </c>
      <c r="P569" s="2" t="s">
        <v>53</v>
      </c>
    </row>
    <row r="570" spans="1:16" x14ac:dyDescent="0.25">
      <c r="A570" s="3" t="s">
        <v>900</v>
      </c>
      <c r="B570" s="4">
        <v>45604</v>
      </c>
      <c r="C570" s="3" t="s">
        <v>736</v>
      </c>
      <c r="D570" s="3" t="s">
        <v>76</v>
      </c>
      <c r="E570" s="3" t="s">
        <v>77</v>
      </c>
      <c r="F570" s="3" t="s">
        <v>43</v>
      </c>
      <c r="G570" s="3" t="s">
        <v>44</v>
      </c>
      <c r="H570" s="3">
        <v>3601.96</v>
      </c>
      <c r="I570" s="3">
        <v>4</v>
      </c>
      <c r="J570" s="3">
        <v>0</v>
      </c>
      <c r="K570" s="9">
        <f t="shared" si="24"/>
        <v>14407.84</v>
      </c>
      <c r="L570" s="9">
        <f t="shared" si="25"/>
        <v>0</v>
      </c>
      <c r="M570" s="10">
        <f t="shared" si="26"/>
        <v>14407.84</v>
      </c>
      <c r="N570" s="3" t="s">
        <v>33</v>
      </c>
      <c r="O570" s="3" t="s">
        <v>39</v>
      </c>
      <c r="P570" s="3" t="s">
        <v>19</v>
      </c>
    </row>
    <row r="571" spans="1:16" x14ac:dyDescent="0.25">
      <c r="A571" s="2" t="s">
        <v>901</v>
      </c>
      <c r="B571" s="4">
        <v>45605</v>
      </c>
      <c r="C571" s="2" t="s">
        <v>55</v>
      </c>
      <c r="D571" s="2" t="s">
        <v>13</v>
      </c>
      <c r="E571" s="2" t="s">
        <v>14</v>
      </c>
      <c r="F571" s="2" t="s">
        <v>72</v>
      </c>
      <c r="G571" s="2" t="s">
        <v>73</v>
      </c>
      <c r="H571" s="2">
        <v>335.95</v>
      </c>
      <c r="I571" s="2">
        <v>3</v>
      </c>
      <c r="J571" s="2">
        <v>10</v>
      </c>
      <c r="K571" s="9">
        <f t="shared" si="24"/>
        <v>1007.8499999999999</v>
      </c>
      <c r="L571" s="9">
        <f t="shared" si="25"/>
        <v>100.785</v>
      </c>
      <c r="M571" s="10">
        <f t="shared" si="26"/>
        <v>907.06499999999994</v>
      </c>
      <c r="N571" s="2" t="s">
        <v>17</v>
      </c>
      <c r="O571" s="2" t="s">
        <v>18</v>
      </c>
      <c r="P571" s="2" t="s">
        <v>53</v>
      </c>
    </row>
    <row r="572" spans="1:16" x14ac:dyDescent="0.25">
      <c r="A572" s="3" t="s">
        <v>902</v>
      </c>
      <c r="B572" s="4">
        <v>45606</v>
      </c>
      <c r="C572" s="3" t="s">
        <v>680</v>
      </c>
      <c r="D572" s="3" t="s">
        <v>87</v>
      </c>
      <c r="E572" s="3" t="s">
        <v>88</v>
      </c>
      <c r="F572" s="3" t="s">
        <v>36</v>
      </c>
      <c r="G572" s="3" t="s">
        <v>49</v>
      </c>
      <c r="H572" s="3">
        <v>143413.79999999999</v>
      </c>
      <c r="I572" s="3">
        <v>1</v>
      </c>
      <c r="J572" s="3">
        <v>0</v>
      </c>
      <c r="K572" s="9">
        <f t="shared" si="24"/>
        <v>143413.79999999999</v>
      </c>
      <c r="L572" s="9">
        <f t="shared" si="25"/>
        <v>0</v>
      </c>
      <c r="M572" s="10">
        <f t="shared" si="26"/>
        <v>143413.79999999999</v>
      </c>
      <c r="N572" s="3" t="s">
        <v>33</v>
      </c>
      <c r="O572" s="3" t="s">
        <v>27</v>
      </c>
      <c r="P572" s="3" t="s">
        <v>19</v>
      </c>
    </row>
    <row r="573" spans="1:16" x14ac:dyDescent="0.25">
      <c r="A573" s="2" t="s">
        <v>903</v>
      </c>
      <c r="B573" s="4">
        <v>45607</v>
      </c>
      <c r="C573" s="2" t="s">
        <v>115</v>
      </c>
      <c r="D573" s="2" t="s">
        <v>65</v>
      </c>
      <c r="E573" s="2" t="s">
        <v>66</v>
      </c>
      <c r="F573" s="2" t="s">
        <v>24</v>
      </c>
      <c r="G573" s="2" t="s">
        <v>59</v>
      </c>
      <c r="H573" s="2">
        <v>4616.84</v>
      </c>
      <c r="I573" s="2">
        <v>3</v>
      </c>
      <c r="J573" s="2">
        <v>0</v>
      </c>
      <c r="K573" s="9">
        <f t="shared" si="24"/>
        <v>13850.52</v>
      </c>
      <c r="L573" s="9">
        <f t="shared" si="25"/>
        <v>0</v>
      </c>
      <c r="M573" s="10">
        <f t="shared" si="26"/>
        <v>13850.52</v>
      </c>
      <c r="N573" s="2" t="s">
        <v>38</v>
      </c>
      <c r="O573" s="2" t="s">
        <v>27</v>
      </c>
      <c r="P573" s="2" t="s">
        <v>40</v>
      </c>
    </row>
    <row r="574" spans="1:16" x14ac:dyDescent="0.25">
      <c r="A574" s="3" t="s">
        <v>904</v>
      </c>
      <c r="B574" s="4">
        <v>45608</v>
      </c>
      <c r="C574" s="3" t="s">
        <v>281</v>
      </c>
      <c r="D574" s="3" t="s">
        <v>76</v>
      </c>
      <c r="E574" s="3" t="s">
        <v>77</v>
      </c>
      <c r="F574" s="3" t="s">
        <v>24</v>
      </c>
      <c r="G574" s="3" t="s">
        <v>108</v>
      </c>
      <c r="H574" s="3">
        <v>7923.05</v>
      </c>
      <c r="I574" s="3">
        <v>3</v>
      </c>
      <c r="J574" s="3">
        <v>0</v>
      </c>
      <c r="K574" s="9">
        <f t="shared" si="24"/>
        <v>23769.15</v>
      </c>
      <c r="L574" s="9">
        <f t="shared" si="25"/>
        <v>0</v>
      </c>
      <c r="M574" s="10">
        <f t="shared" si="26"/>
        <v>23769.15</v>
      </c>
      <c r="N574" s="3" t="s">
        <v>17</v>
      </c>
      <c r="O574" s="3" t="s">
        <v>18</v>
      </c>
      <c r="P574" s="3" t="s">
        <v>53</v>
      </c>
    </row>
    <row r="575" spans="1:16" x14ac:dyDescent="0.25">
      <c r="A575" s="2" t="s">
        <v>905</v>
      </c>
      <c r="B575" s="4">
        <v>45609</v>
      </c>
      <c r="C575" s="2" t="s">
        <v>351</v>
      </c>
      <c r="D575" s="2" t="s">
        <v>51</v>
      </c>
      <c r="E575" s="2" t="s">
        <v>14</v>
      </c>
      <c r="F575" s="2" t="s">
        <v>36</v>
      </c>
      <c r="G575" s="2" t="s">
        <v>37</v>
      </c>
      <c r="H575" s="2">
        <v>12014.39</v>
      </c>
      <c r="I575" s="2">
        <v>4</v>
      </c>
      <c r="J575" s="2">
        <v>5</v>
      </c>
      <c r="K575" s="9">
        <f t="shared" si="24"/>
        <v>48057.56</v>
      </c>
      <c r="L575" s="9">
        <f t="shared" si="25"/>
        <v>2402.8779999999997</v>
      </c>
      <c r="M575" s="10">
        <f t="shared" si="26"/>
        <v>45654.682000000001</v>
      </c>
      <c r="N575" s="2" t="s">
        <v>26</v>
      </c>
      <c r="O575" s="2" t="s">
        <v>18</v>
      </c>
      <c r="P575" s="2" t="s">
        <v>34</v>
      </c>
    </row>
    <row r="576" spans="1:16" x14ac:dyDescent="0.25">
      <c r="A576" s="3" t="s">
        <v>906</v>
      </c>
      <c r="B576" s="4">
        <v>45610</v>
      </c>
      <c r="C576" s="3" t="s">
        <v>572</v>
      </c>
      <c r="D576" s="3" t="s">
        <v>47</v>
      </c>
      <c r="E576" s="3" t="s">
        <v>48</v>
      </c>
      <c r="F576" s="3" t="s">
        <v>72</v>
      </c>
      <c r="G576" s="3" t="s">
        <v>137</v>
      </c>
      <c r="H576" s="3">
        <v>2043.05</v>
      </c>
      <c r="I576" s="3">
        <v>1</v>
      </c>
      <c r="J576" s="3">
        <v>5</v>
      </c>
      <c r="K576" s="9">
        <f t="shared" si="24"/>
        <v>2043.05</v>
      </c>
      <c r="L576" s="9">
        <f t="shared" si="25"/>
        <v>102.1525</v>
      </c>
      <c r="M576" s="10">
        <f t="shared" si="26"/>
        <v>1940.8975</v>
      </c>
      <c r="N576" s="3" t="s">
        <v>26</v>
      </c>
      <c r="O576" s="3" t="s">
        <v>18</v>
      </c>
      <c r="P576" s="3" t="s">
        <v>40</v>
      </c>
    </row>
    <row r="577" spans="1:16" x14ac:dyDescent="0.25">
      <c r="A577" s="2" t="s">
        <v>907</v>
      </c>
      <c r="B577" s="4">
        <v>45611</v>
      </c>
      <c r="C577" s="2" t="s">
        <v>908</v>
      </c>
      <c r="D577" s="2" t="s">
        <v>83</v>
      </c>
      <c r="E577" s="2" t="s">
        <v>84</v>
      </c>
      <c r="F577" s="2" t="s">
        <v>36</v>
      </c>
      <c r="G577" s="2" t="s">
        <v>78</v>
      </c>
      <c r="H577" s="2">
        <v>81786.679999999993</v>
      </c>
      <c r="I577" s="2">
        <v>1</v>
      </c>
      <c r="J577" s="2">
        <v>0</v>
      </c>
      <c r="K577" s="9">
        <f t="shared" si="24"/>
        <v>81786.679999999993</v>
      </c>
      <c r="L577" s="9">
        <f t="shared" si="25"/>
        <v>0</v>
      </c>
      <c r="M577" s="10">
        <f t="shared" si="26"/>
        <v>81786.679999999993</v>
      </c>
      <c r="N577" s="2" t="s">
        <v>17</v>
      </c>
      <c r="O577" s="2" t="s">
        <v>39</v>
      </c>
      <c r="P577" s="2" t="s">
        <v>40</v>
      </c>
    </row>
    <row r="578" spans="1:16" x14ac:dyDescent="0.25">
      <c r="A578" s="3" t="s">
        <v>909</v>
      </c>
      <c r="B578" s="4">
        <v>45612</v>
      </c>
      <c r="C578" s="3" t="s">
        <v>359</v>
      </c>
      <c r="D578" s="3" t="s">
        <v>22</v>
      </c>
      <c r="E578" s="3" t="s">
        <v>23</v>
      </c>
      <c r="F578" s="3" t="s">
        <v>110</v>
      </c>
      <c r="G578" s="3" t="s">
        <v>215</v>
      </c>
      <c r="H578" s="3">
        <v>2261.2399999999998</v>
      </c>
      <c r="I578" s="3">
        <v>3</v>
      </c>
      <c r="J578" s="3">
        <v>0</v>
      </c>
      <c r="K578" s="9">
        <f t="shared" ref="K578:K641" si="27">I578*H578</f>
        <v>6783.7199999999993</v>
      </c>
      <c r="L578" s="9">
        <f t="shared" ref="L578:L641" si="28">K578*J578/100</f>
        <v>0</v>
      </c>
      <c r="M578" s="10">
        <f t="shared" ref="M578:M641" si="29">K578-L578</f>
        <v>6783.7199999999993</v>
      </c>
      <c r="N578" s="3" t="s">
        <v>26</v>
      </c>
      <c r="O578" s="3" t="s">
        <v>18</v>
      </c>
      <c r="P578" s="3" t="s">
        <v>53</v>
      </c>
    </row>
    <row r="579" spans="1:16" x14ac:dyDescent="0.25">
      <c r="A579" s="2" t="s">
        <v>910</v>
      </c>
      <c r="B579" s="4">
        <v>45613</v>
      </c>
      <c r="C579" s="2" t="s">
        <v>579</v>
      </c>
      <c r="D579" s="2" t="s">
        <v>83</v>
      </c>
      <c r="E579" s="2" t="s">
        <v>84</v>
      </c>
      <c r="F579" s="2" t="s">
        <v>31</v>
      </c>
      <c r="G579" s="2" t="s">
        <v>70</v>
      </c>
      <c r="H579" s="2">
        <v>620.53</v>
      </c>
      <c r="I579" s="2">
        <v>3</v>
      </c>
      <c r="J579" s="2">
        <v>0</v>
      </c>
      <c r="K579" s="9">
        <f t="shared" si="27"/>
        <v>1861.59</v>
      </c>
      <c r="L579" s="9">
        <f t="shared" si="28"/>
        <v>0</v>
      </c>
      <c r="M579" s="10">
        <f t="shared" si="29"/>
        <v>1861.59</v>
      </c>
      <c r="N579" s="2" t="s">
        <v>26</v>
      </c>
      <c r="O579" s="2" t="s">
        <v>18</v>
      </c>
      <c r="P579" s="2" t="s">
        <v>40</v>
      </c>
    </row>
    <row r="580" spans="1:16" x14ac:dyDescent="0.25">
      <c r="A580" s="3" t="s">
        <v>911</v>
      </c>
      <c r="B580" s="4">
        <v>45614</v>
      </c>
      <c r="C580" s="3" t="s">
        <v>275</v>
      </c>
      <c r="D580" s="3" t="s">
        <v>83</v>
      </c>
      <c r="E580" s="3" t="s">
        <v>84</v>
      </c>
      <c r="F580" s="3" t="s">
        <v>36</v>
      </c>
      <c r="G580" s="3" t="s">
        <v>49</v>
      </c>
      <c r="H580" s="3">
        <v>151275.85999999999</v>
      </c>
      <c r="I580" s="3">
        <v>5</v>
      </c>
      <c r="J580" s="3">
        <v>10</v>
      </c>
      <c r="K580" s="9">
        <f t="shared" si="27"/>
        <v>756379.29999999993</v>
      </c>
      <c r="L580" s="9">
        <f t="shared" si="28"/>
        <v>75637.929999999993</v>
      </c>
      <c r="M580" s="10">
        <f t="shared" si="29"/>
        <v>680741.36999999988</v>
      </c>
      <c r="N580" s="3" t="s">
        <v>38</v>
      </c>
      <c r="O580" s="3" t="s">
        <v>18</v>
      </c>
      <c r="P580" s="3" t="s">
        <v>34</v>
      </c>
    </row>
    <row r="581" spans="1:16" x14ac:dyDescent="0.25">
      <c r="A581" s="2" t="s">
        <v>912</v>
      </c>
      <c r="B581" s="4">
        <v>45615</v>
      </c>
      <c r="C581" s="2" t="s">
        <v>200</v>
      </c>
      <c r="D581" s="2" t="s">
        <v>22</v>
      </c>
      <c r="E581" s="2" t="s">
        <v>23</v>
      </c>
      <c r="F581" s="2" t="s">
        <v>31</v>
      </c>
      <c r="G581" s="2" t="s">
        <v>242</v>
      </c>
      <c r="H581" s="2">
        <v>970.6</v>
      </c>
      <c r="I581" s="2">
        <v>5</v>
      </c>
      <c r="J581" s="2">
        <v>5</v>
      </c>
      <c r="K581" s="9">
        <f t="shared" si="27"/>
        <v>4853</v>
      </c>
      <c r="L581" s="9">
        <f t="shared" si="28"/>
        <v>242.65</v>
      </c>
      <c r="M581" s="10">
        <f t="shared" si="29"/>
        <v>4610.3500000000004</v>
      </c>
      <c r="N581" s="2" t="s">
        <v>68</v>
      </c>
      <c r="O581" s="2" t="s">
        <v>18</v>
      </c>
      <c r="P581" s="2" t="s">
        <v>40</v>
      </c>
    </row>
    <row r="582" spans="1:16" x14ac:dyDescent="0.25">
      <c r="A582" s="3" t="s">
        <v>913</v>
      </c>
      <c r="B582" s="4">
        <v>45616</v>
      </c>
      <c r="C582" s="3" t="s">
        <v>194</v>
      </c>
      <c r="D582" s="3" t="s">
        <v>22</v>
      </c>
      <c r="E582" s="3" t="s">
        <v>23</v>
      </c>
      <c r="F582" s="3" t="s">
        <v>43</v>
      </c>
      <c r="G582" s="3" t="s">
        <v>44</v>
      </c>
      <c r="H582" s="3">
        <v>3210.28</v>
      </c>
      <c r="I582" s="3">
        <v>4</v>
      </c>
      <c r="J582" s="3">
        <v>10</v>
      </c>
      <c r="K582" s="9">
        <f t="shared" si="27"/>
        <v>12841.12</v>
      </c>
      <c r="L582" s="9">
        <f t="shared" si="28"/>
        <v>1284.1120000000001</v>
      </c>
      <c r="M582" s="10">
        <f t="shared" si="29"/>
        <v>11557.008000000002</v>
      </c>
      <c r="N582" s="3" t="s">
        <v>17</v>
      </c>
      <c r="O582" s="3" t="s">
        <v>52</v>
      </c>
      <c r="P582" s="3" t="s">
        <v>60</v>
      </c>
    </row>
    <row r="583" spans="1:16" x14ac:dyDescent="0.25">
      <c r="A583" s="2" t="s">
        <v>914</v>
      </c>
      <c r="B583" s="4">
        <v>45617</v>
      </c>
      <c r="C583" s="2" t="s">
        <v>311</v>
      </c>
      <c r="D583" s="2" t="s">
        <v>87</v>
      </c>
      <c r="E583" s="2" t="s">
        <v>88</v>
      </c>
      <c r="F583" s="2" t="s">
        <v>72</v>
      </c>
      <c r="G583" s="2" t="s">
        <v>102</v>
      </c>
      <c r="H583" s="2">
        <v>677.68</v>
      </c>
      <c r="I583" s="2">
        <v>5</v>
      </c>
      <c r="J583" s="2">
        <v>0</v>
      </c>
      <c r="K583" s="9">
        <f t="shared" si="27"/>
        <v>3388.3999999999996</v>
      </c>
      <c r="L583" s="9">
        <f t="shared" si="28"/>
        <v>0</v>
      </c>
      <c r="M583" s="10">
        <f t="shared" si="29"/>
        <v>3388.3999999999996</v>
      </c>
      <c r="N583" s="2" t="s">
        <v>33</v>
      </c>
      <c r="O583" s="2" t="s">
        <v>52</v>
      </c>
      <c r="P583" s="2" t="s">
        <v>53</v>
      </c>
    </row>
    <row r="584" spans="1:16" x14ac:dyDescent="0.25">
      <c r="A584" s="3" t="s">
        <v>915</v>
      </c>
      <c r="B584" s="4">
        <v>45618</v>
      </c>
      <c r="C584" s="3" t="s">
        <v>107</v>
      </c>
      <c r="D584" s="3" t="s">
        <v>22</v>
      </c>
      <c r="E584" s="3" t="s">
        <v>23</v>
      </c>
      <c r="F584" s="3" t="s">
        <v>43</v>
      </c>
      <c r="G584" s="3" t="s">
        <v>105</v>
      </c>
      <c r="H584" s="3">
        <v>2903.31</v>
      </c>
      <c r="I584" s="3">
        <v>4</v>
      </c>
      <c r="J584" s="3">
        <v>10</v>
      </c>
      <c r="K584" s="9">
        <f t="shared" si="27"/>
        <v>11613.24</v>
      </c>
      <c r="L584" s="9">
        <f t="shared" si="28"/>
        <v>1161.3239999999998</v>
      </c>
      <c r="M584" s="10">
        <f t="shared" si="29"/>
        <v>10451.915999999999</v>
      </c>
      <c r="N584" s="3" t="s">
        <v>26</v>
      </c>
      <c r="O584" s="3" t="s">
        <v>18</v>
      </c>
      <c r="P584" s="3" t="s">
        <v>53</v>
      </c>
    </row>
    <row r="585" spans="1:16" x14ac:dyDescent="0.25">
      <c r="A585" s="2" t="s">
        <v>916</v>
      </c>
      <c r="B585" s="4">
        <v>45619</v>
      </c>
      <c r="C585" s="2" t="s">
        <v>917</v>
      </c>
      <c r="D585" s="2" t="s">
        <v>65</v>
      </c>
      <c r="E585" s="2" t="s">
        <v>66</v>
      </c>
      <c r="F585" s="2" t="s">
        <v>24</v>
      </c>
      <c r="G585" s="2" t="s">
        <v>170</v>
      </c>
      <c r="H585" s="2">
        <v>1300.1400000000001</v>
      </c>
      <c r="I585" s="2">
        <v>3</v>
      </c>
      <c r="J585" s="2">
        <v>0</v>
      </c>
      <c r="K585" s="9">
        <f t="shared" si="27"/>
        <v>3900.42</v>
      </c>
      <c r="L585" s="9">
        <f t="shared" si="28"/>
        <v>0</v>
      </c>
      <c r="M585" s="10">
        <f t="shared" si="29"/>
        <v>3900.42</v>
      </c>
      <c r="N585" s="2" t="s">
        <v>33</v>
      </c>
      <c r="O585" s="2" t="s">
        <v>18</v>
      </c>
      <c r="P585" s="2" t="s">
        <v>40</v>
      </c>
    </row>
    <row r="586" spans="1:16" x14ac:dyDescent="0.25">
      <c r="A586" s="3" t="s">
        <v>918</v>
      </c>
      <c r="B586" s="4">
        <v>45620</v>
      </c>
      <c r="C586" s="3" t="s">
        <v>919</v>
      </c>
      <c r="D586" s="3" t="s">
        <v>87</v>
      </c>
      <c r="E586" s="3" t="s">
        <v>88</v>
      </c>
      <c r="F586" s="3" t="s">
        <v>43</v>
      </c>
      <c r="G586" s="3" t="s">
        <v>145</v>
      </c>
      <c r="H586" s="3">
        <v>12829.84</v>
      </c>
      <c r="I586" s="3">
        <v>3</v>
      </c>
      <c r="J586" s="3">
        <v>10</v>
      </c>
      <c r="K586" s="9">
        <f t="shared" si="27"/>
        <v>38489.520000000004</v>
      </c>
      <c r="L586" s="9">
        <f t="shared" si="28"/>
        <v>3848.9520000000007</v>
      </c>
      <c r="M586" s="10">
        <f t="shared" si="29"/>
        <v>34640.568000000007</v>
      </c>
      <c r="N586" s="3" t="s">
        <v>17</v>
      </c>
      <c r="O586" s="3" t="s">
        <v>52</v>
      </c>
      <c r="P586" s="3" t="s">
        <v>53</v>
      </c>
    </row>
    <row r="587" spans="1:16" x14ac:dyDescent="0.25">
      <c r="A587" s="2" t="s">
        <v>920</v>
      </c>
      <c r="B587" s="4">
        <v>45621</v>
      </c>
      <c r="C587" s="2" t="s">
        <v>139</v>
      </c>
      <c r="D587" s="2" t="s">
        <v>22</v>
      </c>
      <c r="E587" s="2" t="s">
        <v>23</v>
      </c>
      <c r="F587" s="2" t="s">
        <v>31</v>
      </c>
      <c r="G587" s="2" t="s">
        <v>242</v>
      </c>
      <c r="H587" s="2">
        <v>926.9</v>
      </c>
      <c r="I587" s="2">
        <v>3</v>
      </c>
      <c r="J587" s="2">
        <v>5</v>
      </c>
      <c r="K587" s="9">
        <f t="shared" si="27"/>
        <v>2780.7</v>
      </c>
      <c r="L587" s="9">
        <f t="shared" si="28"/>
        <v>139.035</v>
      </c>
      <c r="M587" s="10">
        <f t="shared" si="29"/>
        <v>2641.665</v>
      </c>
      <c r="N587" s="2" t="s">
        <v>33</v>
      </c>
      <c r="O587" s="2" t="s">
        <v>18</v>
      </c>
      <c r="P587" s="2" t="s">
        <v>19</v>
      </c>
    </row>
    <row r="588" spans="1:16" x14ac:dyDescent="0.25">
      <c r="A588" s="3" t="s">
        <v>921</v>
      </c>
      <c r="B588" s="4">
        <v>45622</v>
      </c>
      <c r="C588" s="3" t="s">
        <v>268</v>
      </c>
      <c r="D588" s="3" t="s">
        <v>51</v>
      </c>
      <c r="E588" s="3" t="s">
        <v>14</v>
      </c>
      <c r="F588" s="3" t="s">
        <v>110</v>
      </c>
      <c r="G588" s="3" t="s">
        <v>153</v>
      </c>
      <c r="H588" s="3">
        <v>3831.72</v>
      </c>
      <c r="I588" s="3">
        <v>4</v>
      </c>
      <c r="J588" s="3">
        <v>5</v>
      </c>
      <c r="K588" s="9">
        <f t="shared" si="27"/>
        <v>15326.88</v>
      </c>
      <c r="L588" s="9">
        <f t="shared" si="28"/>
        <v>766.34399999999994</v>
      </c>
      <c r="M588" s="10">
        <f t="shared" si="29"/>
        <v>14560.536</v>
      </c>
      <c r="N588" s="3" t="s">
        <v>38</v>
      </c>
      <c r="O588" s="3" t="s">
        <v>18</v>
      </c>
      <c r="P588" s="3" t="s">
        <v>19</v>
      </c>
    </row>
    <row r="589" spans="1:16" x14ac:dyDescent="0.25">
      <c r="A589" s="2" t="s">
        <v>922</v>
      </c>
      <c r="B589" s="4">
        <v>45623</v>
      </c>
      <c r="C589" s="2" t="s">
        <v>923</v>
      </c>
      <c r="D589" s="2" t="s">
        <v>87</v>
      </c>
      <c r="E589" s="2" t="s">
        <v>88</v>
      </c>
      <c r="F589" s="2" t="s">
        <v>110</v>
      </c>
      <c r="G589" s="2" t="s">
        <v>153</v>
      </c>
      <c r="H589" s="2">
        <v>3271.16</v>
      </c>
      <c r="I589" s="2">
        <v>1</v>
      </c>
      <c r="J589" s="2">
        <v>0</v>
      </c>
      <c r="K589" s="9">
        <f t="shared" si="27"/>
        <v>3271.16</v>
      </c>
      <c r="L589" s="9">
        <f t="shared" si="28"/>
        <v>0</v>
      </c>
      <c r="M589" s="10">
        <f t="shared" si="29"/>
        <v>3271.16</v>
      </c>
      <c r="N589" s="2" t="s">
        <v>17</v>
      </c>
      <c r="O589" s="2" t="s">
        <v>39</v>
      </c>
      <c r="P589" s="2" t="s">
        <v>60</v>
      </c>
    </row>
    <row r="590" spans="1:16" x14ac:dyDescent="0.25">
      <c r="A590" s="3" t="s">
        <v>924</v>
      </c>
      <c r="B590" s="4">
        <v>45624</v>
      </c>
      <c r="C590" s="3" t="s">
        <v>115</v>
      </c>
      <c r="D590" s="3" t="s">
        <v>76</v>
      </c>
      <c r="E590" s="3" t="s">
        <v>77</v>
      </c>
      <c r="F590" s="3" t="s">
        <v>31</v>
      </c>
      <c r="G590" s="3" t="s">
        <v>242</v>
      </c>
      <c r="H590" s="3">
        <v>827.58</v>
      </c>
      <c r="I590" s="3">
        <v>4</v>
      </c>
      <c r="J590" s="3">
        <v>10</v>
      </c>
      <c r="K590" s="9">
        <f t="shared" si="27"/>
        <v>3310.32</v>
      </c>
      <c r="L590" s="9">
        <f t="shared" si="28"/>
        <v>331.03200000000004</v>
      </c>
      <c r="M590" s="10">
        <f t="shared" si="29"/>
        <v>2979.288</v>
      </c>
      <c r="N590" s="3" t="s">
        <v>38</v>
      </c>
      <c r="O590" s="3" t="s">
        <v>18</v>
      </c>
      <c r="P590" s="3" t="s">
        <v>40</v>
      </c>
    </row>
    <row r="591" spans="1:16" x14ac:dyDescent="0.25">
      <c r="A591" s="2" t="s">
        <v>925</v>
      </c>
      <c r="B591" s="4">
        <v>45625</v>
      </c>
      <c r="C591" s="2" t="s">
        <v>816</v>
      </c>
      <c r="D591" s="2" t="s">
        <v>29</v>
      </c>
      <c r="E591" s="2" t="s">
        <v>30</v>
      </c>
      <c r="F591" s="2" t="s">
        <v>72</v>
      </c>
      <c r="G591" s="2" t="s">
        <v>129</v>
      </c>
      <c r="H591" s="2">
        <v>1737.87</v>
      </c>
      <c r="I591" s="2">
        <v>1</v>
      </c>
      <c r="J591" s="2">
        <v>10</v>
      </c>
      <c r="K591" s="9">
        <f t="shared" si="27"/>
        <v>1737.87</v>
      </c>
      <c r="L591" s="9">
        <f t="shared" si="28"/>
        <v>173.78699999999998</v>
      </c>
      <c r="M591" s="10">
        <f t="shared" si="29"/>
        <v>1564.0829999999999</v>
      </c>
      <c r="N591" s="2" t="s">
        <v>26</v>
      </c>
      <c r="O591" s="2" t="s">
        <v>39</v>
      </c>
      <c r="P591" s="2" t="s">
        <v>53</v>
      </c>
    </row>
    <row r="592" spans="1:16" x14ac:dyDescent="0.25">
      <c r="A592" s="3" t="s">
        <v>926</v>
      </c>
      <c r="B592" s="4">
        <v>45626</v>
      </c>
      <c r="C592" s="3" t="s">
        <v>290</v>
      </c>
      <c r="D592" s="3" t="s">
        <v>100</v>
      </c>
      <c r="E592" s="3" t="s">
        <v>88</v>
      </c>
      <c r="F592" s="3" t="s">
        <v>15</v>
      </c>
      <c r="G592" s="3" t="s">
        <v>163</v>
      </c>
      <c r="H592" s="3">
        <v>2476.4899999999998</v>
      </c>
      <c r="I592" s="3">
        <v>3</v>
      </c>
      <c r="J592" s="3">
        <v>0</v>
      </c>
      <c r="K592" s="9">
        <f t="shared" si="27"/>
        <v>7429.4699999999993</v>
      </c>
      <c r="L592" s="9">
        <f t="shared" si="28"/>
        <v>0</v>
      </c>
      <c r="M592" s="10">
        <f t="shared" si="29"/>
        <v>7429.4699999999993</v>
      </c>
      <c r="N592" s="3" t="s">
        <v>17</v>
      </c>
      <c r="O592" s="3" t="s">
        <v>52</v>
      </c>
      <c r="P592" s="3" t="s">
        <v>60</v>
      </c>
    </row>
    <row r="593" spans="1:16" x14ac:dyDescent="0.25">
      <c r="A593" s="2" t="s">
        <v>927</v>
      </c>
      <c r="B593" s="4">
        <v>45627</v>
      </c>
      <c r="C593" s="2" t="s">
        <v>717</v>
      </c>
      <c r="D593" s="2" t="s">
        <v>87</v>
      </c>
      <c r="E593" s="2" t="s">
        <v>88</v>
      </c>
      <c r="F593" s="2" t="s">
        <v>31</v>
      </c>
      <c r="G593" s="2" t="s">
        <v>242</v>
      </c>
      <c r="H593" s="2">
        <v>952.98</v>
      </c>
      <c r="I593" s="2">
        <v>3</v>
      </c>
      <c r="J593" s="2">
        <v>0</v>
      </c>
      <c r="K593" s="9">
        <f t="shared" si="27"/>
        <v>2858.94</v>
      </c>
      <c r="L593" s="9">
        <f t="shared" si="28"/>
        <v>0</v>
      </c>
      <c r="M593" s="10">
        <f t="shared" si="29"/>
        <v>2858.94</v>
      </c>
      <c r="N593" s="2" t="s">
        <v>38</v>
      </c>
      <c r="O593" s="2" t="s">
        <v>18</v>
      </c>
      <c r="P593" s="2" t="s">
        <v>19</v>
      </c>
    </row>
    <row r="594" spans="1:16" x14ac:dyDescent="0.25">
      <c r="A594" s="3" t="s">
        <v>928</v>
      </c>
      <c r="B594" s="4">
        <v>45628</v>
      </c>
      <c r="C594" s="3" t="s">
        <v>275</v>
      </c>
      <c r="D594" s="3" t="s">
        <v>65</v>
      </c>
      <c r="E594" s="3" t="s">
        <v>66</v>
      </c>
      <c r="F594" s="3" t="s">
        <v>72</v>
      </c>
      <c r="G594" s="3" t="s">
        <v>102</v>
      </c>
      <c r="H594" s="3">
        <v>695.83</v>
      </c>
      <c r="I594" s="3">
        <v>1</v>
      </c>
      <c r="J594" s="3">
        <v>15</v>
      </c>
      <c r="K594" s="9">
        <f t="shared" si="27"/>
        <v>695.83</v>
      </c>
      <c r="L594" s="9">
        <f t="shared" si="28"/>
        <v>104.37450000000001</v>
      </c>
      <c r="M594" s="10">
        <f t="shared" si="29"/>
        <v>591.45550000000003</v>
      </c>
      <c r="N594" s="3" t="s">
        <v>17</v>
      </c>
      <c r="O594" s="3" t="s">
        <v>18</v>
      </c>
      <c r="P594" s="3" t="s">
        <v>40</v>
      </c>
    </row>
    <row r="595" spans="1:16" x14ac:dyDescent="0.25">
      <c r="A595" s="2" t="s">
        <v>929</v>
      </c>
      <c r="B595" s="4">
        <v>45629</v>
      </c>
      <c r="C595" s="2" t="s">
        <v>641</v>
      </c>
      <c r="D595" s="2" t="s">
        <v>22</v>
      </c>
      <c r="E595" s="2" t="s">
        <v>23</v>
      </c>
      <c r="F595" s="2" t="s">
        <v>72</v>
      </c>
      <c r="G595" s="2" t="s">
        <v>137</v>
      </c>
      <c r="H595" s="2">
        <v>2360.9</v>
      </c>
      <c r="I595" s="2">
        <v>2</v>
      </c>
      <c r="J595" s="2">
        <v>15</v>
      </c>
      <c r="K595" s="9">
        <f t="shared" si="27"/>
        <v>4721.8</v>
      </c>
      <c r="L595" s="9">
        <f t="shared" si="28"/>
        <v>708.27</v>
      </c>
      <c r="M595" s="10">
        <f t="shared" si="29"/>
        <v>4013.53</v>
      </c>
      <c r="N595" s="2" t="s">
        <v>17</v>
      </c>
      <c r="O595" s="2" t="s">
        <v>18</v>
      </c>
      <c r="P595" s="2" t="s">
        <v>34</v>
      </c>
    </row>
    <row r="596" spans="1:16" x14ac:dyDescent="0.25">
      <c r="A596" s="3" t="s">
        <v>930</v>
      </c>
      <c r="B596" s="4">
        <v>45630</v>
      </c>
      <c r="C596" s="3" t="s">
        <v>418</v>
      </c>
      <c r="D596" s="3" t="s">
        <v>65</v>
      </c>
      <c r="E596" s="3" t="s">
        <v>66</v>
      </c>
      <c r="F596" s="3" t="s">
        <v>43</v>
      </c>
      <c r="G596" s="3" t="s">
        <v>89</v>
      </c>
      <c r="H596" s="3">
        <v>4240.09</v>
      </c>
      <c r="I596" s="3">
        <v>2</v>
      </c>
      <c r="J596" s="3">
        <v>5</v>
      </c>
      <c r="K596" s="9">
        <f t="shared" si="27"/>
        <v>8480.18</v>
      </c>
      <c r="L596" s="9">
        <f t="shared" si="28"/>
        <v>424.00900000000001</v>
      </c>
      <c r="M596" s="10">
        <f t="shared" si="29"/>
        <v>8056.1710000000003</v>
      </c>
      <c r="N596" s="3" t="s">
        <v>26</v>
      </c>
      <c r="O596" s="3" t="s">
        <v>18</v>
      </c>
      <c r="P596" s="3" t="s">
        <v>19</v>
      </c>
    </row>
    <row r="597" spans="1:16" x14ac:dyDescent="0.25">
      <c r="A597" s="2" t="s">
        <v>931</v>
      </c>
      <c r="B597" s="4">
        <v>45631</v>
      </c>
      <c r="C597" s="2" t="s">
        <v>470</v>
      </c>
      <c r="D597" s="2" t="s">
        <v>100</v>
      </c>
      <c r="E597" s="2" t="s">
        <v>88</v>
      </c>
      <c r="F597" s="2" t="s">
        <v>31</v>
      </c>
      <c r="G597" s="2" t="s">
        <v>186</v>
      </c>
      <c r="H597" s="2">
        <v>741.48</v>
      </c>
      <c r="I597" s="2">
        <v>1</v>
      </c>
      <c r="J597" s="2">
        <v>15</v>
      </c>
      <c r="K597" s="9">
        <f t="shared" si="27"/>
        <v>741.48</v>
      </c>
      <c r="L597" s="9">
        <f t="shared" si="28"/>
        <v>111.22200000000001</v>
      </c>
      <c r="M597" s="10">
        <f t="shared" si="29"/>
        <v>630.25800000000004</v>
      </c>
      <c r="N597" s="2" t="s">
        <v>68</v>
      </c>
      <c r="O597" s="2" t="s">
        <v>18</v>
      </c>
      <c r="P597" s="2" t="s">
        <v>60</v>
      </c>
    </row>
    <row r="598" spans="1:16" x14ac:dyDescent="0.25">
      <c r="A598" s="3" t="s">
        <v>932</v>
      </c>
      <c r="B598" s="4">
        <v>45632</v>
      </c>
      <c r="C598" s="3" t="s">
        <v>299</v>
      </c>
      <c r="D598" s="3" t="s">
        <v>22</v>
      </c>
      <c r="E598" s="3" t="s">
        <v>23</v>
      </c>
      <c r="F598" s="3" t="s">
        <v>24</v>
      </c>
      <c r="G598" s="3" t="s">
        <v>170</v>
      </c>
      <c r="H598" s="3">
        <v>1273.43</v>
      </c>
      <c r="I598" s="3">
        <v>4</v>
      </c>
      <c r="J598" s="3">
        <v>0</v>
      </c>
      <c r="K598" s="9">
        <f t="shared" si="27"/>
        <v>5093.72</v>
      </c>
      <c r="L598" s="9">
        <f t="shared" si="28"/>
        <v>0</v>
      </c>
      <c r="M598" s="10">
        <f t="shared" si="29"/>
        <v>5093.72</v>
      </c>
      <c r="N598" s="3" t="s">
        <v>17</v>
      </c>
      <c r="O598" s="3" t="s">
        <v>18</v>
      </c>
      <c r="P598" s="3" t="s">
        <v>19</v>
      </c>
    </row>
    <row r="599" spans="1:16" x14ac:dyDescent="0.25">
      <c r="A599" s="2" t="s">
        <v>933</v>
      </c>
      <c r="B599" s="4">
        <v>45633</v>
      </c>
      <c r="C599" s="2" t="s">
        <v>42</v>
      </c>
      <c r="D599" s="2" t="s">
        <v>65</v>
      </c>
      <c r="E599" s="2" t="s">
        <v>66</v>
      </c>
      <c r="F599" s="2" t="s">
        <v>110</v>
      </c>
      <c r="G599" s="2" t="s">
        <v>67</v>
      </c>
      <c r="H599" s="2">
        <v>4396.24</v>
      </c>
      <c r="I599" s="2">
        <v>2</v>
      </c>
      <c r="J599" s="2">
        <v>10</v>
      </c>
      <c r="K599" s="9">
        <f t="shared" si="27"/>
        <v>8792.48</v>
      </c>
      <c r="L599" s="9">
        <f t="shared" si="28"/>
        <v>879.24799999999993</v>
      </c>
      <c r="M599" s="10">
        <f t="shared" si="29"/>
        <v>7913.232</v>
      </c>
      <c r="N599" s="2" t="s">
        <v>33</v>
      </c>
      <c r="O599" s="2" t="s">
        <v>52</v>
      </c>
      <c r="P599" s="2" t="s">
        <v>40</v>
      </c>
    </row>
    <row r="600" spans="1:16" x14ac:dyDescent="0.25">
      <c r="A600" s="3" t="s">
        <v>934</v>
      </c>
      <c r="B600" s="4">
        <v>45634</v>
      </c>
      <c r="C600" s="3" t="s">
        <v>353</v>
      </c>
      <c r="D600" s="3" t="s">
        <v>51</v>
      </c>
      <c r="E600" s="3" t="s">
        <v>14</v>
      </c>
      <c r="F600" s="3" t="s">
        <v>15</v>
      </c>
      <c r="G600" s="3" t="s">
        <v>56</v>
      </c>
      <c r="H600" s="3">
        <v>1716.93</v>
      </c>
      <c r="I600" s="3">
        <v>5</v>
      </c>
      <c r="J600" s="3">
        <v>10</v>
      </c>
      <c r="K600" s="9">
        <f t="shared" si="27"/>
        <v>8584.65</v>
      </c>
      <c r="L600" s="9">
        <f t="shared" si="28"/>
        <v>858.46500000000003</v>
      </c>
      <c r="M600" s="10">
        <f t="shared" si="29"/>
        <v>7726.1849999999995</v>
      </c>
      <c r="N600" s="3" t="s">
        <v>38</v>
      </c>
      <c r="O600" s="3" t="s">
        <v>18</v>
      </c>
      <c r="P600" s="3" t="s">
        <v>40</v>
      </c>
    </row>
    <row r="601" spans="1:16" x14ac:dyDescent="0.25">
      <c r="A601" s="2" t="s">
        <v>935</v>
      </c>
      <c r="B601" s="4">
        <v>45635</v>
      </c>
      <c r="C601" s="2" t="s">
        <v>353</v>
      </c>
      <c r="D601" s="2" t="s">
        <v>87</v>
      </c>
      <c r="E601" s="2" t="s">
        <v>88</v>
      </c>
      <c r="F601" s="2" t="s">
        <v>36</v>
      </c>
      <c r="G601" s="2" t="s">
        <v>113</v>
      </c>
      <c r="H601" s="2">
        <v>119556.79</v>
      </c>
      <c r="I601" s="2">
        <v>1</v>
      </c>
      <c r="J601" s="2">
        <v>5</v>
      </c>
      <c r="K601" s="9">
        <f t="shared" si="27"/>
        <v>119556.79</v>
      </c>
      <c r="L601" s="9">
        <f t="shared" si="28"/>
        <v>5977.8394999999991</v>
      </c>
      <c r="M601" s="10">
        <f t="shared" si="29"/>
        <v>113578.95049999999</v>
      </c>
      <c r="N601" s="2" t="s">
        <v>17</v>
      </c>
      <c r="O601" s="2" t="s">
        <v>39</v>
      </c>
      <c r="P601" s="2" t="s">
        <v>34</v>
      </c>
    </row>
    <row r="602" spans="1:16" x14ac:dyDescent="0.25">
      <c r="A602" s="3" t="s">
        <v>936</v>
      </c>
      <c r="B602" s="4">
        <v>45636</v>
      </c>
      <c r="C602" s="3" t="s">
        <v>53</v>
      </c>
      <c r="D602" s="3" t="s">
        <v>83</v>
      </c>
      <c r="E602" s="3" t="s">
        <v>84</v>
      </c>
      <c r="F602" s="3" t="s">
        <v>110</v>
      </c>
      <c r="G602" s="3" t="s">
        <v>207</v>
      </c>
      <c r="H602" s="3">
        <v>8066.89</v>
      </c>
      <c r="I602" s="3">
        <v>1</v>
      </c>
      <c r="J602" s="3">
        <v>0</v>
      </c>
      <c r="K602" s="9">
        <f t="shared" si="27"/>
        <v>8066.89</v>
      </c>
      <c r="L602" s="9">
        <f t="shared" si="28"/>
        <v>0</v>
      </c>
      <c r="M602" s="10">
        <f t="shared" si="29"/>
        <v>8066.89</v>
      </c>
      <c r="N602" s="3" t="s">
        <v>17</v>
      </c>
      <c r="O602" s="3" t="s">
        <v>39</v>
      </c>
      <c r="P602" s="3" t="s">
        <v>19</v>
      </c>
    </row>
    <row r="603" spans="1:16" x14ac:dyDescent="0.25">
      <c r="A603" s="2" t="s">
        <v>937</v>
      </c>
      <c r="B603" s="4">
        <v>45637</v>
      </c>
      <c r="C603" s="2" t="s">
        <v>197</v>
      </c>
      <c r="D603" s="2" t="s">
        <v>87</v>
      </c>
      <c r="E603" s="2" t="s">
        <v>88</v>
      </c>
      <c r="F603" s="2" t="s">
        <v>110</v>
      </c>
      <c r="G603" s="2" t="s">
        <v>207</v>
      </c>
      <c r="H603" s="2">
        <v>8447.08</v>
      </c>
      <c r="I603" s="2">
        <v>5</v>
      </c>
      <c r="J603" s="2">
        <v>5</v>
      </c>
      <c r="K603" s="9">
        <f t="shared" si="27"/>
        <v>42235.4</v>
      </c>
      <c r="L603" s="9">
        <f t="shared" si="28"/>
        <v>2111.77</v>
      </c>
      <c r="M603" s="10">
        <f t="shared" si="29"/>
        <v>40123.630000000005</v>
      </c>
      <c r="N603" s="2" t="s">
        <v>17</v>
      </c>
      <c r="O603" s="2" t="s">
        <v>27</v>
      </c>
      <c r="P603" s="2" t="s">
        <v>34</v>
      </c>
    </row>
    <row r="604" spans="1:16" x14ac:dyDescent="0.25">
      <c r="A604" s="3" t="s">
        <v>938</v>
      </c>
      <c r="B604" s="4">
        <v>45638</v>
      </c>
      <c r="C604" s="3" t="s">
        <v>311</v>
      </c>
      <c r="D604" s="3" t="s">
        <v>47</v>
      </c>
      <c r="E604" s="3" t="s">
        <v>48</v>
      </c>
      <c r="F604" s="3" t="s">
        <v>24</v>
      </c>
      <c r="G604" s="3" t="s">
        <v>92</v>
      </c>
      <c r="H604" s="3">
        <v>1558.52</v>
      </c>
      <c r="I604" s="3">
        <v>5</v>
      </c>
      <c r="J604" s="3">
        <v>15</v>
      </c>
      <c r="K604" s="9">
        <f t="shared" si="27"/>
        <v>7792.6</v>
      </c>
      <c r="L604" s="9">
        <f t="shared" si="28"/>
        <v>1168.8900000000001</v>
      </c>
      <c r="M604" s="10">
        <f t="shared" si="29"/>
        <v>6623.71</v>
      </c>
      <c r="N604" s="3" t="s">
        <v>17</v>
      </c>
      <c r="O604" s="3" t="s">
        <v>18</v>
      </c>
      <c r="P604" s="3" t="s">
        <v>40</v>
      </c>
    </row>
    <row r="605" spans="1:16" x14ac:dyDescent="0.25">
      <c r="A605" s="2" t="s">
        <v>939</v>
      </c>
      <c r="B605" s="4">
        <v>45639</v>
      </c>
      <c r="C605" s="2" t="s">
        <v>751</v>
      </c>
      <c r="D605" s="2" t="s">
        <v>100</v>
      </c>
      <c r="E605" s="2" t="s">
        <v>88</v>
      </c>
      <c r="F605" s="2" t="s">
        <v>110</v>
      </c>
      <c r="G605" s="2" t="s">
        <v>207</v>
      </c>
      <c r="H605" s="2">
        <v>8765.74</v>
      </c>
      <c r="I605" s="2">
        <v>3</v>
      </c>
      <c r="J605" s="2">
        <v>0</v>
      </c>
      <c r="K605" s="9">
        <f t="shared" si="27"/>
        <v>26297.22</v>
      </c>
      <c r="L605" s="9">
        <f t="shared" si="28"/>
        <v>0</v>
      </c>
      <c r="M605" s="10">
        <f t="shared" si="29"/>
        <v>26297.22</v>
      </c>
      <c r="N605" s="2" t="s">
        <v>68</v>
      </c>
      <c r="O605" s="2" t="s">
        <v>18</v>
      </c>
      <c r="P605" s="2" t="s">
        <v>60</v>
      </c>
    </row>
    <row r="606" spans="1:16" x14ac:dyDescent="0.25">
      <c r="A606" s="3" t="s">
        <v>940</v>
      </c>
      <c r="B606" s="4">
        <v>45640</v>
      </c>
      <c r="C606" s="3" t="s">
        <v>651</v>
      </c>
      <c r="D606" s="3" t="s">
        <v>22</v>
      </c>
      <c r="E606" s="3" t="s">
        <v>23</v>
      </c>
      <c r="F606" s="3" t="s">
        <v>72</v>
      </c>
      <c r="G606" s="3" t="s">
        <v>137</v>
      </c>
      <c r="H606" s="3">
        <v>2090.9</v>
      </c>
      <c r="I606" s="3">
        <v>5</v>
      </c>
      <c r="J606" s="3">
        <v>0</v>
      </c>
      <c r="K606" s="9">
        <f t="shared" si="27"/>
        <v>10454.5</v>
      </c>
      <c r="L606" s="9">
        <f t="shared" si="28"/>
        <v>0</v>
      </c>
      <c r="M606" s="10">
        <f t="shared" si="29"/>
        <v>10454.5</v>
      </c>
      <c r="N606" s="3" t="s">
        <v>38</v>
      </c>
      <c r="O606" s="3" t="s">
        <v>39</v>
      </c>
      <c r="P606" s="3" t="s">
        <v>34</v>
      </c>
    </row>
    <row r="607" spans="1:16" x14ac:dyDescent="0.25">
      <c r="A607" s="2" t="s">
        <v>941</v>
      </c>
      <c r="B607" s="4">
        <v>45641</v>
      </c>
      <c r="C607" s="2" t="s">
        <v>942</v>
      </c>
      <c r="D607" s="2" t="s">
        <v>29</v>
      </c>
      <c r="E607" s="2" t="s">
        <v>30</v>
      </c>
      <c r="F607" s="2" t="s">
        <v>24</v>
      </c>
      <c r="G607" s="2" t="s">
        <v>59</v>
      </c>
      <c r="H607" s="2">
        <v>5238.97</v>
      </c>
      <c r="I607" s="2">
        <v>4</v>
      </c>
      <c r="J607" s="2">
        <v>5</v>
      </c>
      <c r="K607" s="9">
        <f t="shared" si="27"/>
        <v>20955.88</v>
      </c>
      <c r="L607" s="9">
        <f t="shared" si="28"/>
        <v>1047.7940000000001</v>
      </c>
      <c r="M607" s="10">
        <f t="shared" si="29"/>
        <v>19908.085999999999</v>
      </c>
      <c r="N607" s="2" t="s">
        <v>26</v>
      </c>
      <c r="O607" s="2" t="s">
        <v>18</v>
      </c>
      <c r="P607" s="2" t="s">
        <v>53</v>
      </c>
    </row>
    <row r="608" spans="1:16" x14ac:dyDescent="0.25">
      <c r="A608" s="3" t="s">
        <v>943</v>
      </c>
      <c r="B608" s="4">
        <v>45642</v>
      </c>
      <c r="C608" s="3" t="s">
        <v>791</v>
      </c>
      <c r="D608" s="3" t="s">
        <v>13</v>
      </c>
      <c r="E608" s="3" t="s">
        <v>14</v>
      </c>
      <c r="F608" s="3" t="s">
        <v>31</v>
      </c>
      <c r="G608" s="3" t="s">
        <v>32</v>
      </c>
      <c r="H608" s="3">
        <v>2733.67</v>
      </c>
      <c r="I608" s="3">
        <v>5</v>
      </c>
      <c r="J608" s="3">
        <v>5</v>
      </c>
      <c r="K608" s="9">
        <f t="shared" si="27"/>
        <v>13668.35</v>
      </c>
      <c r="L608" s="9">
        <f t="shared" si="28"/>
        <v>683.41750000000002</v>
      </c>
      <c r="M608" s="10">
        <f t="shared" si="29"/>
        <v>12984.932500000001</v>
      </c>
      <c r="N608" s="3" t="s">
        <v>33</v>
      </c>
      <c r="O608" s="3" t="s">
        <v>39</v>
      </c>
      <c r="P608" s="3" t="s">
        <v>60</v>
      </c>
    </row>
    <row r="609" spans="1:16" x14ac:dyDescent="0.25">
      <c r="A609" s="2" t="s">
        <v>944</v>
      </c>
      <c r="B609" s="4">
        <v>45643</v>
      </c>
      <c r="C609" s="2" t="s">
        <v>605</v>
      </c>
      <c r="D609" s="2" t="s">
        <v>76</v>
      </c>
      <c r="E609" s="2" t="s">
        <v>77</v>
      </c>
      <c r="F609" s="2" t="s">
        <v>15</v>
      </c>
      <c r="G609" s="2" t="s">
        <v>163</v>
      </c>
      <c r="H609" s="2">
        <v>2355.4299999999998</v>
      </c>
      <c r="I609" s="2">
        <v>3</v>
      </c>
      <c r="J609" s="2">
        <v>0</v>
      </c>
      <c r="K609" s="9">
        <f t="shared" si="27"/>
        <v>7066.2899999999991</v>
      </c>
      <c r="L609" s="9">
        <f t="shared" si="28"/>
        <v>0</v>
      </c>
      <c r="M609" s="10">
        <f t="shared" si="29"/>
        <v>7066.2899999999991</v>
      </c>
      <c r="N609" s="2" t="s">
        <v>38</v>
      </c>
      <c r="O609" s="2" t="s">
        <v>39</v>
      </c>
      <c r="P609" s="2" t="s">
        <v>40</v>
      </c>
    </row>
    <row r="610" spans="1:16" x14ac:dyDescent="0.25">
      <c r="A610" s="3" t="s">
        <v>945</v>
      </c>
      <c r="B610" s="4">
        <v>45644</v>
      </c>
      <c r="C610" s="3" t="s">
        <v>402</v>
      </c>
      <c r="D610" s="3" t="s">
        <v>65</v>
      </c>
      <c r="E610" s="3" t="s">
        <v>66</v>
      </c>
      <c r="F610" s="3" t="s">
        <v>43</v>
      </c>
      <c r="G610" s="3" t="s">
        <v>105</v>
      </c>
      <c r="H610" s="3">
        <v>2786.71</v>
      </c>
      <c r="I610" s="3">
        <v>5</v>
      </c>
      <c r="J610" s="3">
        <v>5</v>
      </c>
      <c r="K610" s="9">
        <f t="shared" si="27"/>
        <v>13933.55</v>
      </c>
      <c r="L610" s="9">
        <f t="shared" si="28"/>
        <v>696.67750000000001</v>
      </c>
      <c r="M610" s="10">
        <f t="shared" si="29"/>
        <v>13236.872499999999</v>
      </c>
      <c r="N610" s="3" t="s">
        <v>33</v>
      </c>
      <c r="O610" s="3" t="s">
        <v>27</v>
      </c>
      <c r="P610" s="3" t="s">
        <v>60</v>
      </c>
    </row>
    <row r="611" spans="1:16" x14ac:dyDescent="0.25">
      <c r="A611" s="2" t="s">
        <v>946</v>
      </c>
      <c r="B611" s="4">
        <v>45645</v>
      </c>
      <c r="C611" s="2" t="s">
        <v>62</v>
      </c>
      <c r="D611" s="2" t="s">
        <v>83</v>
      </c>
      <c r="E611" s="2" t="s">
        <v>84</v>
      </c>
      <c r="F611" s="2" t="s">
        <v>72</v>
      </c>
      <c r="G611" s="2" t="s">
        <v>129</v>
      </c>
      <c r="H611" s="2">
        <v>1624.27</v>
      </c>
      <c r="I611" s="2">
        <v>4</v>
      </c>
      <c r="J611" s="2">
        <v>0</v>
      </c>
      <c r="K611" s="9">
        <f t="shared" si="27"/>
        <v>6497.08</v>
      </c>
      <c r="L611" s="9">
        <f t="shared" si="28"/>
        <v>0</v>
      </c>
      <c r="M611" s="10">
        <f t="shared" si="29"/>
        <v>6497.08</v>
      </c>
      <c r="N611" s="2" t="s">
        <v>38</v>
      </c>
      <c r="O611" s="2" t="s">
        <v>52</v>
      </c>
      <c r="P611" s="2" t="s">
        <v>40</v>
      </c>
    </row>
    <row r="612" spans="1:16" x14ac:dyDescent="0.25">
      <c r="A612" s="3" t="s">
        <v>947</v>
      </c>
      <c r="B612" s="4">
        <v>45646</v>
      </c>
      <c r="C612" s="3" t="s">
        <v>318</v>
      </c>
      <c r="D612" s="3" t="s">
        <v>87</v>
      </c>
      <c r="E612" s="3" t="s">
        <v>88</v>
      </c>
      <c r="F612" s="3" t="s">
        <v>72</v>
      </c>
      <c r="G612" s="3" t="s">
        <v>129</v>
      </c>
      <c r="H612" s="3">
        <v>1839.77</v>
      </c>
      <c r="I612" s="3">
        <v>3</v>
      </c>
      <c r="J612" s="3">
        <v>0</v>
      </c>
      <c r="K612" s="9">
        <f t="shared" si="27"/>
        <v>5519.3099999999995</v>
      </c>
      <c r="L612" s="9">
        <f t="shared" si="28"/>
        <v>0</v>
      </c>
      <c r="M612" s="10">
        <f t="shared" si="29"/>
        <v>5519.3099999999995</v>
      </c>
      <c r="N612" s="3" t="s">
        <v>38</v>
      </c>
      <c r="O612" s="3" t="s">
        <v>18</v>
      </c>
      <c r="P612" s="3" t="s">
        <v>40</v>
      </c>
    </row>
    <row r="613" spans="1:16" x14ac:dyDescent="0.25">
      <c r="A613" s="2" t="s">
        <v>948</v>
      </c>
      <c r="B613" s="4">
        <v>45647</v>
      </c>
      <c r="C613" s="2" t="s">
        <v>616</v>
      </c>
      <c r="D613" s="2" t="s">
        <v>65</v>
      </c>
      <c r="E613" s="2" t="s">
        <v>66</v>
      </c>
      <c r="F613" s="2" t="s">
        <v>43</v>
      </c>
      <c r="G613" s="2" t="s">
        <v>127</v>
      </c>
      <c r="H613" s="2">
        <v>5757.74</v>
      </c>
      <c r="I613" s="2">
        <v>5</v>
      </c>
      <c r="J613" s="2">
        <v>0</v>
      </c>
      <c r="K613" s="9">
        <f t="shared" si="27"/>
        <v>28788.699999999997</v>
      </c>
      <c r="L613" s="9">
        <f t="shared" si="28"/>
        <v>0</v>
      </c>
      <c r="M613" s="10">
        <f t="shared" si="29"/>
        <v>28788.699999999997</v>
      </c>
      <c r="N613" s="2" t="s">
        <v>17</v>
      </c>
      <c r="O613" s="2" t="s">
        <v>18</v>
      </c>
      <c r="P613" s="2" t="s">
        <v>53</v>
      </c>
    </row>
    <row r="614" spans="1:16" x14ac:dyDescent="0.25">
      <c r="A614" s="3" t="s">
        <v>949</v>
      </c>
      <c r="B614" s="4">
        <v>45648</v>
      </c>
      <c r="C614" s="3" t="s">
        <v>169</v>
      </c>
      <c r="D614" s="3" t="s">
        <v>13</v>
      </c>
      <c r="E614" s="3" t="s">
        <v>14</v>
      </c>
      <c r="F614" s="3" t="s">
        <v>72</v>
      </c>
      <c r="G614" s="3" t="s">
        <v>81</v>
      </c>
      <c r="H614" s="3">
        <v>1353.59</v>
      </c>
      <c r="I614" s="3">
        <v>1</v>
      </c>
      <c r="J614" s="3">
        <v>0</v>
      </c>
      <c r="K614" s="9">
        <f t="shared" si="27"/>
        <v>1353.59</v>
      </c>
      <c r="L614" s="9">
        <f t="shared" si="28"/>
        <v>0</v>
      </c>
      <c r="M614" s="10">
        <f t="shared" si="29"/>
        <v>1353.59</v>
      </c>
      <c r="N614" s="3" t="s">
        <v>68</v>
      </c>
      <c r="O614" s="3" t="s">
        <v>27</v>
      </c>
      <c r="P614" s="3" t="s">
        <v>60</v>
      </c>
    </row>
    <row r="615" spans="1:16" x14ac:dyDescent="0.25">
      <c r="A615" s="2" t="s">
        <v>950</v>
      </c>
      <c r="B615" s="4">
        <v>45649</v>
      </c>
      <c r="C615" s="2" t="s">
        <v>482</v>
      </c>
      <c r="D615" s="2" t="s">
        <v>47</v>
      </c>
      <c r="E615" s="2" t="s">
        <v>48</v>
      </c>
      <c r="F615" s="2" t="s">
        <v>31</v>
      </c>
      <c r="G615" s="2" t="s">
        <v>186</v>
      </c>
      <c r="H615" s="2">
        <v>725.45</v>
      </c>
      <c r="I615" s="2">
        <v>5</v>
      </c>
      <c r="J615" s="2">
        <v>10</v>
      </c>
      <c r="K615" s="9">
        <f t="shared" si="27"/>
        <v>3627.25</v>
      </c>
      <c r="L615" s="9">
        <f t="shared" si="28"/>
        <v>362.72500000000002</v>
      </c>
      <c r="M615" s="10">
        <f t="shared" si="29"/>
        <v>3264.5250000000001</v>
      </c>
      <c r="N615" s="2" t="s">
        <v>68</v>
      </c>
      <c r="O615" s="2" t="s">
        <v>52</v>
      </c>
      <c r="P615" s="2" t="s">
        <v>53</v>
      </c>
    </row>
    <row r="616" spans="1:16" x14ac:dyDescent="0.25">
      <c r="A616" s="3" t="s">
        <v>951</v>
      </c>
      <c r="B616" s="4">
        <v>45650</v>
      </c>
      <c r="C616" s="3" t="s">
        <v>12</v>
      </c>
      <c r="D616" s="3" t="s">
        <v>22</v>
      </c>
      <c r="E616" s="3" t="s">
        <v>23</v>
      </c>
      <c r="F616" s="3" t="s">
        <v>36</v>
      </c>
      <c r="G616" s="3" t="s">
        <v>113</v>
      </c>
      <c r="H616" s="3">
        <v>111117.77</v>
      </c>
      <c r="I616" s="3">
        <v>5</v>
      </c>
      <c r="J616" s="3">
        <v>0</v>
      </c>
      <c r="K616" s="9">
        <f t="shared" si="27"/>
        <v>555588.85</v>
      </c>
      <c r="L616" s="9">
        <f t="shared" si="28"/>
        <v>0</v>
      </c>
      <c r="M616" s="10">
        <f t="shared" si="29"/>
        <v>555588.85</v>
      </c>
      <c r="N616" s="3" t="s">
        <v>68</v>
      </c>
      <c r="O616" s="3" t="s">
        <v>27</v>
      </c>
      <c r="P616" s="3" t="s">
        <v>53</v>
      </c>
    </row>
    <row r="617" spans="1:16" x14ac:dyDescent="0.25">
      <c r="A617" s="2" t="s">
        <v>952</v>
      </c>
      <c r="B617" s="4">
        <v>45651</v>
      </c>
      <c r="C617" s="2" t="s">
        <v>490</v>
      </c>
      <c r="D617" s="2" t="s">
        <v>22</v>
      </c>
      <c r="E617" s="2" t="s">
        <v>23</v>
      </c>
      <c r="F617" s="2" t="s">
        <v>15</v>
      </c>
      <c r="G617" s="2" t="s">
        <v>95</v>
      </c>
      <c r="H617" s="2">
        <v>1301.45</v>
      </c>
      <c r="I617" s="2">
        <v>3</v>
      </c>
      <c r="J617" s="2">
        <v>0</v>
      </c>
      <c r="K617" s="9">
        <f t="shared" si="27"/>
        <v>3904.3500000000004</v>
      </c>
      <c r="L617" s="9">
        <f t="shared" si="28"/>
        <v>0</v>
      </c>
      <c r="M617" s="10">
        <f t="shared" si="29"/>
        <v>3904.3500000000004</v>
      </c>
      <c r="N617" s="2" t="s">
        <v>38</v>
      </c>
      <c r="O617" s="2" t="s">
        <v>18</v>
      </c>
      <c r="P617" s="2" t="s">
        <v>53</v>
      </c>
    </row>
    <row r="618" spans="1:16" x14ac:dyDescent="0.25">
      <c r="A618" s="3" t="s">
        <v>953</v>
      </c>
      <c r="B618" s="4">
        <v>45652</v>
      </c>
      <c r="C618" s="3" t="s">
        <v>474</v>
      </c>
      <c r="D618" s="3" t="s">
        <v>65</v>
      </c>
      <c r="E618" s="3" t="s">
        <v>66</v>
      </c>
      <c r="F618" s="3" t="s">
        <v>43</v>
      </c>
      <c r="G618" s="3" t="s">
        <v>105</v>
      </c>
      <c r="H618" s="3">
        <v>3077.74</v>
      </c>
      <c r="I618" s="3">
        <v>3</v>
      </c>
      <c r="J618" s="3">
        <v>5</v>
      </c>
      <c r="K618" s="9">
        <f t="shared" si="27"/>
        <v>9233.2199999999993</v>
      </c>
      <c r="L618" s="9">
        <f t="shared" si="28"/>
        <v>461.661</v>
      </c>
      <c r="M618" s="10">
        <f t="shared" si="29"/>
        <v>8771.5589999999993</v>
      </c>
      <c r="N618" s="3" t="s">
        <v>26</v>
      </c>
      <c r="O618" s="3" t="s">
        <v>18</v>
      </c>
      <c r="P618" s="3" t="s">
        <v>40</v>
      </c>
    </row>
    <row r="619" spans="1:16" x14ac:dyDescent="0.25">
      <c r="A619" s="2" t="s">
        <v>954</v>
      </c>
      <c r="B619" s="4">
        <v>45653</v>
      </c>
      <c r="C619" s="2" t="s">
        <v>453</v>
      </c>
      <c r="D619" s="2" t="s">
        <v>65</v>
      </c>
      <c r="E619" s="2" t="s">
        <v>66</v>
      </c>
      <c r="F619" s="2" t="s">
        <v>24</v>
      </c>
      <c r="G619" s="2" t="s">
        <v>170</v>
      </c>
      <c r="H619" s="2">
        <v>1198.0899999999999</v>
      </c>
      <c r="I619" s="2">
        <v>2</v>
      </c>
      <c r="J619" s="2">
        <v>15</v>
      </c>
      <c r="K619" s="9">
        <f t="shared" si="27"/>
        <v>2396.1799999999998</v>
      </c>
      <c r="L619" s="9">
        <f t="shared" si="28"/>
        <v>359.42699999999996</v>
      </c>
      <c r="M619" s="10">
        <f t="shared" si="29"/>
        <v>2036.7529999999999</v>
      </c>
      <c r="N619" s="2" t="s">
        <v>33</v>
      </c>
      <c r="O619" s="2" t="s">
        <v>18</v>
      </c>
      <c r="P619" s="2" t="s">
        <v>19</v>
      </c>
    </row>
    <row r="620" spans="1:16" x14ac:dyDescent="0.25">
      <c r="A620" s="3" t="s">
        <v>955</v>
      </c>
      <c r="B620" s="4">
        <v>45654</v>
      </c>
      <c r="C620" s="3" t="s">
        <v>559</v>
      </c>
      <c r="D620" s="3" t="s">
        <v>47</v>
      </c>
      <c r="E620" s="3" t="s">
        <v>48</v>
      </c>
      <c r="F620" s="3" t="s">
        <v>36</v>
      </c>
      <c r="G620" s="3" t="s">
        <v>78</v>
      </c>
      <c r="H620" s="3">
        <v>77739.63</v>
      </c>
      <c r="I620" s="3">
        <v>5</v>
      </c>
      <c r="J620" s="3">
        <v>0</v>
      </c>
      <c r="K620" s="9">
        <f t="shared" si="27"/>
        <v>388698.15</v>
      </c>
      <c r="L620" s="9">
        <f t="shared" si="28"/>
        <v>0</v>
      </c>
      <c r="M620" s="10">
        <f t="shared" si="29"/>
        <v>388698.15</v>
      </c>
      <c r="N620" s="3" t="s">
        <v>33</v>
      </c>
      <c r="O620" s="3" t="s">
        <v>18</v>
      </c>
      <c r="P620" s="3" t="s">
        <v>60</v>
      </c>
    </row>
    <row r="621" spans="1:16" x14ac:dyDescent="0.25">
      <c r="A621" s="2" t="s">
        <v>956</v>
      </c>
      <c r="B621" s="4">
        <v>45655</v>
      </c>
      <c r="C621" s="2" t="s">
        <v>97</v>
      </c>
      <c r="D621" s="2" t="s">
        <v>13</v>
      </c>
      <c r="E621" s="2" t="s">
        <v>14</v>
      </c>
      <c r="F621" s="2" t="s">
        <v>36</v>
      </c>
      <c r="G621" s="2" t="s">
        <v>121</v>
      </c>
      <c r="H621" s="2">
        <v>92919.19</v>
      </c>
      <c r="I621" s="2">
        <v>2</v>
      </c>
      <c r="J621" s="2">
        <v>0</v>
      </c>
      <c r="K621" s="9">
        <f t="shared" si="27"/>
        <v>185838.38</v>
      </c>
      <c r="L621" s="9">
        <f t="shared" si="28"/>
        <v>0</v>
      </c>
      <c r="M621" s="10">
        <f t="shared" si="29"/>
        <v>185838.38</v>
      </c>
      <c r="N621" s="2" t="s">
        <v>38</v>
      </c>
      <c r="O621" s="2" t="s">
        <v>18</v>
      </c>
      <c r="P621" s="2" t="s">
        <v>19</v>
      </c>
    </row>
    <row r="622" spans="1:16" x14ac:dyDescent="0.25">
      <c r="A622" s="3" t="s">
        <v>957</v>
      </c>
      <c r="B622" s="4">
        <v>45656</v>
      </c>
      <c r="C622" s="3" t="s">
        <v>423</v>
      </c>
      <c r="D622" s="3" t="s">
        <v>76</v>
      </c>
      <c r="E622" s="3" t="s">
        <v>77</v>
      </c>
      <c r="F622" s="3" t="s">
        <v>43</v>
      </c>
      <c r="G622" s="3" t="s">
        <v>145</v>
      </c>
      <c r="H622" s="3">
        <v>11769.39</v>
      </c>
      <c r="I622" s="3">
        <v>1</v>
      </c>
      <c r="J622" s="3">
        <v>15</v>
      </c>
      <c r="K622" s="9">
        <f t="shared" si="27"/>
        <v>11769.39</v>
      </c>
      <c r="L622" s="9">
        <f t="shared" si="28"/>
        <v>1765.4084999999998</v>
      </c>
      <c r="M622" s="10">
        <f t="shared" si="29"/>
        <v>10003.9815</v>
      </c>
      <c r="N622" s="3" t="s">
        <v>26</v>
      </c>
      <c r="O622" s="3" t="s">
        <v>18</v>
      </c>
      <c r="P622" s="3" t="s">
        <v>60</v>
      </c>
    </row>
    <row r="623" spans="1:16" x14ac:dyDescent="0.25">
      <c r="A623" s="2" t="s">
        <v>958</v>
      </c>
      <c r="B623" s="4">
        <v>45657</v>
      </c>
      <c r="C623" s="2" t="s">
        <v>919</v>
      </c>
      <c r="D623" s="2" t="s">
        <v>29</v>
      </c>
      <c r="E623" s="2" t="s">
        <v>30</v>
      </c>
      <c r="F623" s="2" t="s">
        <v>110</v>
      </c>
      <c r="G623" s="2" t="s">
        <v>215</v>
      </c>
      <c r="H623" s="2">
        <v>2416.7199999999998</v>
      </c>
      <c r="I623" s="2">
        <v>3</v>
      </c>
      <c r="J623" s="2">
        <v>0</v>
      </c>
      <c r="K623" s="9">
        <f t="shared" si="27"/>
        <v>7250.16</v>
      </c>
      <c r="L623" s="9">
        <f t="shared" si="28"/>
        <v>0</v>
      </c>
      <c r="M623" s="10">
        <f t="shared" si="29"/>
        <v>7250.16</v>
      </c>
      <c r="N623" s="2" t="s">
        <v>68</v>
      </c>
      <c r="O623" s="2" t="s">
        <v>27</v>
      </c>
      <c r="P623" s="2" t="s">
        <v>40</v>
      </c>
    </row>
    <row r="624" spans="1:16" x14ac:dyDescent="0.25">
      <c r="A624" s="3" t="s">
        <v>959</v>
      </c>
      <c r="B624" s="4">
        <v>45658</v>
      </c>
      <c r="C624" s="3" t="s">
        <v>641</v>
      </c>
      <c r="D624" s="3" t="s">
        <v>22</v>
      </c>
      <c r="E624" s="3" t="s">
        <v>23</v>
      </c>
      <c r="F624" s="3" t="s">
        <v>72</v>
      </c>
      <c r="G624" s="3" t="s">
        <v>129</v>
      </c>
      <c r="H624" s="3">
        <v>1893.76</v>
      </c>
      <c r="I624" s="3">
        <v>3</v>
      </c>
      <c r="J624" s="3">
        <v>0</v>
      </c>
      <c r="K624" s="9">
        <f t="shared" si="27"/>
        <v>5681.28</v>
      </c>
      <c r="L624" s="9">
        <f t="shared" si="28"/>
        <v>0</v>
      </c>
      <c r="M624" s="10">
        <f t="shared" si="29"/>
        <v>5681.28</v>
      </c>
      <c r="N624" s="3" t="s">
        <v>26</v>
      </c>
      <c r="O624" s="3" t="s">
        <v>18</v>
      </c>
      <c r="P624" s="3" t="s">
        <v>19</v>
      </c>
    </row>
    <row r="625" spans="1:16" x14ac:dyDescent="0.25">
      <c r="A625" s="2" t="s">
        <v>960</v>
      </c>
      <c r="B625" s="4">
        <v>45659</v>
      </c>
      <c r="C625" s="2" t="s">
        <v>143</v>
      </c>
      <c r="D625" s="2" t="s">
        <v>51</v>
      </c>
      <c r="E625" s="2" t="s">
        <v>14</v>
      </c>
      <c r="F625" s="2" t="s">
        <v>31</v>
      </c>
      <c r="G625" s="2" t="s">
        <v>70</v>
      </c>
      <c r="H625" s="2">
        <v>647.58000000000004</v>
      </c>
      <c r="I625" s="2">
        <v>3</v>
      </c>
      <c r="J625" s="2">
        <v>15</v>
      </c>
      <c r="K625" s="9">
        <f t="shared" si="27"/>
        <v>1942.7400000000002</v>
      </c>
      <c r="L625" s="9">
        <f t="shared" si="28"/>
        <v>291.411</v>
      </c>
      <c r="M625" s="10">
        <f t="shared" si="29"/>
        <v>1651.3290000000002</v>
      </c>
      <c r="N625" s="2" t="s">
        <v>68</v>
      </c>
      <c r="O625" s="2" t="s">
        <v>27</v>
      </c>
      <c r="P625" s="2" t="s">
        <v>60</v>
      </c>
    </row>
    <row r="626" spans="1:16" x14ac:dyDescent="0.25">
      <c r="A626" s="3" t="s">
        <v>961</v>
      </c>
      <c r="B626" s="4">
        <v>45660</v>
      </c>
      <c r="C626" s="3" t="s">
        <v>285</v>
      </c>
      <c r="D626" s="3" t="s">
        <v>13</v>
      </c>
      <c r="E626" s="3" t="s">
        <v>14</v>
      </c>
      <c r="F626" s="3" t="s">
        <v>24</v>
      </c>
      <c r="G626" s="3" t="s">
        <v>92</v>
      </c>
      <c r="H626" s="3">
        <v>1565.92</v>
      </c>
      <c r="I626" s="3">
        <v>5</v>
      </c>
      <c r="J626" s="3">
        <v>10</v>
      </c>
      <c r="K626" s="9">
        <f t="shared" si="27"/>
        <v>7829.6</v>
      </c>
      <c r="L626" s="9">
        <f t="shared" si="28"/>
        <v>782.96</v>
      </c>
      <c r="M626" s="10">
        <f t="shared" si="29"/>
        <v>7046.64</v>
      </c>
      <c r="N626" s="3" t="s">
        <v>33</v>
      </c>
      <c r="O626" s="3" t="s">
        <v>18</v>
      </c>
      <c r="P626" s="3" t="s">
        <v>40</v>
      </c>
    </row>
    <row r="627" spans="1:16" x14ac:dyDescent="0.25">
      <c r="A627" s="2" t="s">
        <v>962</v>
      </c>
      <c r="B627" s="4">
        <v>45661</v>
      </c>
      <c r="C627" s="2" t="s">
        <v>118</v>
      </c>
      <c r="D627" s="2" t="s">
        <v>76</v>
      </c>
      <c r="E627" s="2" t="s">
        <v>77</v>
      </c>
      <c r="F627" s="2" t="s">
        <v>110</v>
      </c>
      <c r="G627" s="2" t="s">
        <v>67</v>
      </c>
      <c r="H627" s="2">
        <v>4919.92</v>
      </c>
      <c r="I627" s="2">
        <v>1</v>
      </c>
      <c r="J627" s="2">
        <v>15</v>
      </c>
      <c r="K627" s="9">
        <f t="shared" si="27"/>
        <v>4919.92</v>
      </c>
      <c r="L627" s="9">
        <f t="shared" si="28"/>
        <v>737.98800000000006</v>
      </c>
      <c r="M627" s="10">
        <f t="shared" si="29"/>
        <v>4181.9319999999998</v>
      </c>
      <c r="N627" s="2" t="s">
        <v>38</v>
      </c>
      <c r="O627" s="2" t="s">
        <v>18</v>
      </c>
      <c r="P627" s="2" t="s">
        <v>34</v>
      </c>
    </row>
    <row r="628" spans="1:16" x14ac:dyDescent="0.25">
      <c r="A628" s="3" t="s">
        <v>963</v>
      </c>
      <c r="B628" s="4">
        <v>45662</v>
      </c>
      <c r="C628" s="3" t="s">
        <v>301</v>
      </c>
      <c r="D628" s="3" t="s">
        <v>22</v>
      </c>
      <c r="E628" s="3" t="s">
        <v>23</v>
      </c>
      <c r="F628" s="3" t="s">
        <v>24</v>
      </c>
      <c r="G628" s="3" t="s">
        <v>170</v>
      </c>
      <c r="H628" s="3">
        <v>1240.1600000000001</v>
      </c>
      <c r="I628" s="3">
        <v>4</v>
      </c>
      <c r="J628" s="3">
        <v>0</v>
      </c>
      <c r="K628" s="9">
        <f t="shared" si="27"/>
        <v>4960.6400000000003</v>
      </c>
      <c r="L628" s="9">
        <f t="shared" si="28"/>
        <v>0</v>
      </c>
      <c r="M628" s="10">
        <f t="shared" si="29"/>
        <v>4960.6400000000003</v>
      </c>
      <c r="N628" s="3" t="s">
        <v>17</v>
      </c>
      <c r="O628" s="3" t="s">
        <v>18</v>
      </c>
      <c r="P628" s="3" t="s">
        <v>19</v>
      </c>
    </row>
    <row r="629" spans="1:16" x14ac:dyDescent="0.25">
      <c r="A629" s="2" t="s">
        <v>964</v>
      </c>
      <c r="B629" s="4">
        <v>45663</v>
      </c>
      <c r="C629" s="2" t="s">
        <v>433</v>
      </c>
      <c r="D629" s="2" t="s">
        <v>100</v>
      </c>
      <c r="E629" s="2" t="s">
        <v>88</v>
      </c>
      <c r="F629" s="2" t="s">
        <v>43</v>
      </c>
      <c r="G629" s="2" t="s">
        <v>44</v>
      </c>
      <c r="H629" s="2">
        <v>3479.85</v>
      </c>
      <c r="I629" s="2">
        <v>5</v>
      </c>
      <c r="J629" s="2">
        <v>0</v>
      </c>
      <c r="K629" s="9">
        <f t="shared" si="27"/>
        <v>17399.25</v>
      </c>
      <c r="L629" s="9">
        <f t="shared" si="28"/>
        <v>0</v>
      </c>
      <c r="M629" s="10">
        <f t="shared" si="29"/>
        <v>17399.25</v>
      </c>
      <c r="N629" s="2" t="s">
        <v>26</v>
      </c>
      <c r="O629" s="2" t="s">
        <v>27</v>
      </c>
      <c r="P629" s="2" t="s">
        <v>53</v>
      </c>
    </row>
    <row r="630" spans="1:16" x14ac:dyDescent="0.25">
      <c r="A630" s="3" t="s">
        <v>965</v>
      </c>
      <c r="B630" s="4">
        <v>45664</v>
      </c>
      <c r="C630" s="3" t="s">
        <v>966</v>
      </c>
      <c r="D630" s="3" t="s">
        <v>13</v>
      </c>
      <c r="E630" s="3" t="s">
        <v>14</v>
      </c>
      <c r="F630" s="3" t="s">
        <v>31</v>
      </c>
      <c r="G630" s="3" t="s">
        <v>32</v>
      </c>
      <c r="H630" s="3">
        <v>2478.09</v>
      </c>
      <c r="I630" s="3">
        <v>2</v>
      </c>
      <c r="J630" s="3">
        <v>0</v>
      </c>
      <c r="K630" s="9">
        <f t="shared" si="27"/>
        <v>4956.18</v>
      </c>
      <c r="L630" s="9">
        <f t="shared" si="28"/>
        <v>0</v>
      </c>
      <c r="M630" s="10">
        <f t="shared" si="29"/>
        <v>4956.18</v>
      </c>
      <c r="N630" s="3" t="s">
        <v>68</v>
      </c>
      <c r="O630" s="3" t="s">
        <v>39</v>
      </c>
      <c r="P630" s="3" t="s">
        <v>40</v>
      </c>
    </row>
    <row r="631" spans="1:16" x14ac:dyDescent="0.25">
      <c r="A631" s="2" t="s">
        <v>967</v>
      </c>
      <c r="B631" s="4">
        <v>45665</v>
      </c>
      <c r="C631" s="2" t="s">
        <v>751</v>
      </c>
      <c r="D631" s="2" t="s">
        <v>29</v>
      </c>
      <c r="E631" s="2" t="s">
        <v>30</v>
      </c>
      <c r="F631" s="2" t="s">
        <v>24</v>
      </c>
      <c r="G631" s="2" t="s">
        <v>92</v>
      </c>
      <c r="H631" s="2">
        <v>1591.34</v>
      </c>
      <c r="I631" s="2">
        <v>4</v>
      </c>
      <c r="J631" s="2">
        <v>15</v>
      </c>
      <c r="K631" s="9">
        <f t="shared" si="27"/>
        <v>6365.36</v>
      </c>
      <c r="L631" s="9">
        <f t="shared" si="28"/>
        <v>954.80399999999997</v>
      </c>
      <c r="M631" s="10">
        <f t="shared" si="29"/>
        <v>5410.5559999999996</v>
      </c>
      <c r="N631" s="2" t="s">
        <v>33</v>
      </c>
      <c r="O631" s="2" t="s">
        <v>18</v>
      </c>
      <c r="P631" s="2" t="s">
        <v>40</v>
      </c>
    </row>
    <row r="632" spans="1:16" x14ac:dyDescent="0.25">
      <c r="A632" s="3" t="s">
        <v>968</v>
      </c>
      <c r="B632" s="4">
        <v>45666</v>
      </c>
      <c r="C632" s="3" t="s">
        <v>126</v>
      </c>
      <c r="D632" s="3" t="s">
        <v>100</v>
      </c>
      <c r="E632" s="3" t="s">
        <v>88</v>
      </c>
      <c r="F632" s="3" t="s">
        <v>31</v>
      </c>
      <c r="G632" s="3" t="s">
        <v>186</v>
      </c>
      <c r="H632" s="3">
        <v>842.28</v>
      </c>
      <c r="I632" s="3">
        <v>5</v>
      </c>
      <c r="J632" s="3">
        <v>0</v>
      </c>
      <c r="K632" s="9">
        <f t="shared" si="27"/>
        <v>4211.3999999999996</v>
      </c>
      <c r="L632" s="9">
        <f t="shared" si="28"/>
        <v>0</v>
      </c>
      <c r="M632" s="10">
        <f t="shared" si="29"/>
        <v>4211.3999999999996</v>
      </c>
      <c r="N632" s="3" t="s">
        <v>38</v>
      </c>
      <c r="O632" s="3" t="s">
        <v>18</v>
      </c>
      <c r="P632" s="3" t="s">
        <v>40</v>
      </c>
    </row>
    <row r="633" spans="1:16" x14ac:dyDescent="0.25">
      <c r="A633" s="2" t="s">
        <v>969</v>
      </c>
      <c r="B633" s="4">
        <v>45667</v>
      </c>
      <c r="C633" s="2" t="s">
        <v>541</v>
      </c>
      <c r="D633" s="2" t="s">
        <v>100</v>
      </c>
      <c r="E633" s="2" t="s">
        <v>88</v>
      </c>
      <c r="F633" s="2" t="s">
        <v>15</v>
      </c>
      <c r="G633" s="2" t="s">
        <v>16</v>
      </c>
      <c r="H633" s="2">
        <v>1516.02</v>
      </c>
      <c r="I633" s="2">
        <v>4</v>
      </c>
      <c r="J633" s="2">
        <v>0</v>
      </c>
      <c r="K633" s="9">
        <f t="shared" si="27"/>
        <v>6064.08</v>
      </c>
      <c r="L633" s="9">
        <f t="shared" si="28"/>
        <v>0</v>
      </c>
      <c r="M633" s="10">
        <f t="shared" si="29"/>
        <v>6064.08</v>
      </c>
      <c r="N633" s="2" t="s">
        <v>17</v>
      </c>
      <c r="O633" s="2" t="s">
        <v>18</v>
      </c>
      <c r="P633" s="2" t="s">
        <v>53</v>
      </c>
    </row>
    <row r="634" spans="1:16" x14ac:dyDescent="0.25">
      <c r="A634" s="3" t="s">
        <v>970</v>
      </c>
      <c r="B634" s="4">
        <v>45668</v>
      </c>
      <c r="C634" s="3" t="s">
        <v>616</v>
      </c>
      <c r="D634" s="3" t="s">
        <v>65</v>
      </c>
      <c r="E634" s="3" t="s">
        <v>66</v>
      </c>
      <c r="F634" s="3" t="s">
        <v>72</v>
      </c>
      <c r="G634" s="3" t="s">
        <v>102</v>
      </c>
      <c r="H634" s="3">
        <v>587.03</v>
      </c>
      <c r="I634" s="3">
        <v>4</v>
      </c>
      <c r="J634" s="3">
        <v>0</v>
      </c>
      <c r="K634" s="9">
        <f t="shared" si="27"/>
        <v>2348.12</v>
      </c>
      <c r="L634" s="9">
        <f t="shared" si="28"/>
        <v>0</v>
      </c>
      <c r="M634" s="10">
        <f t="shared" si="29"/>
        <v>2348.12</v>
      </c>
      <c r="N634" s="3" t="s">
        <v>68</v>
      </c>
      <c r="O634" s="3" t="s">
        <v>18</v>
      </c>
      <c r="P634" s="3" t="s">
        <v>53</v>
      </c>
    </row>
    <row r="635" spans="1:16" x14ac:dyDescent="0.25">
      <c r="A635" s="2" t="s">
        <v>971</v>
      </c>
      <c r="B635" s="4">
        <v>45669</v>
      </c>
      <c r="C635" s="2" t="s">
        <v>647</v>
      </c>
      <c r="D635" s="2" t="s">
        <v>29</v>
      </c>
      <c r="E635" s="2" t="s">
        <v>30</v>
      </c>
      <c r="F635" s="2" t="s">
        <v>31</v>
      </c>
      <c r="G635" s="2" t="s">
        <v>70</v>
      </c>
      <c r="H635" s="2">
        <v>623.22</v>
      </c>
      <c r="I635" s="2">
        <v>4</v>
      </c>
      <c r="J635" s="2">
        <v>15</v>
      </c>
      <c r="K635" s="9">
        <f t="shared" si="27"/>
        <v>2492.88</v>
      </c>
      <c r="L635" s="9">
        <f t="shared" si="28"/>
        <v>373.93200000000002</v>
      </c>
      <c r="M635" s="10">
        <f t="shared" si="29"/>
        <v>2118.9480000000003</v>
      </c>
      <c r="N635" s="2" t="s">
        <v>26</v>
      </c>
      <c r="O635" s="2" t="s">
        <v>18</v>
      </c>
      <c r="P635" s="2" t="s">
        <v>53</v>
      </c>
    </row>
    <row r="636" spans="1:16" x14ac:dyDescent="0.25">
      <c r="A636" s="3" t="s">
        <v>972</v>
      </c>
      <c r="B636" s="4">
        <v>45670</v>
      </c>
      <c r="C636" s="3" t="s">
        <v>217</v>
      </c>
      <c r="D636" s="3" t="s">
        <v>76</v>
      </c>
      <c r="E636" s="3" t="s">
        <v>77</v>
      </c>
      <c r="F636" s="3" t="s">
        <v>43</v>
      </c>
      <c r="G636" s="3" t="s">
        <v>127</v>
      </c>
      <c r="H636" s="3">
        <v>5981.9</v>
      </c>
      <c r="I636" s="3">
        <v>5</v>
      </c>
      <c r="J636" s="3">
        <v>15</v>
      </c>
      <c r="K636" s="9">
        <f t="shared" si="27"/>
        <v>29909.5</v>
      </c>
      <c r="L636" s="9">
        <f t="shared" si="28"/>
        <v>4486.4250000000002</v>
      </c>
      <c r="M636" s="10">
        <f t="shared" si="29"/>
        <v>25423.075000000001</v>
      </c>
      <c r="N636" s="3" t="s">
        <v>68</v>
      </c>
      <c r="O636" s="3" t="s">
        <v>52</v>
      </c>
      <c r="P636" s="3" t="s">
        <v>53</v>
      </c>
    </row>
    <row r="637" spans="1:16" x14ac:dyDescent="0.25">
      <c r="A637" s="2" t="s">
        <v>973</v>
      </c>
      <c r="B637" s="4">
        <v>45671</v>
      </c>
      <c r="C637" s="2" t="s">
        <v>751</v>
      </c>
      <c r="D637" s="2" t="s">
        <v>22</v>
      </c>
      <c r="E637" s="2" t="s">
        <v>23</v>
      </c>
      <c r="F637" s="2" t="s">
        <v>15</v>
      </c>
      <c r="G637" s="2" t="s">
        <v>16</v>
      </c>
      <c r="H637" s="2">
        <v>1454.36</v>
      </c>
      <c r="I637" s="2">
        <v>1</v>
      </c>
      <c r="J637" s="2">
        <v>10</v>
      </c>
      <c r="K637" s="9">
        <f t="shared" si="27"/>
        <v>1454.36</v>
      </c>
      <c r="L637" s="9">
        <f t="shared" si="28"/>
        <v>145.43599999999998</v>
      </c>
      <c r="M637" s="10">
        <f t="shared" si="29"/>
        <v>1308.924</v>
      </c>
      <c r="N637" s="2" t="s">
        <v>26</v>
      </c>
      <c r="O637" s="2" t="s">
        <v>18</v>
      </c>
      <c r="P637" s="2" t="s">
        <v>40</v>
      </c>
    </row>
    <row r="638" spans="1:16" x14ac:dyDescent="0.25">
      <c r="A638" s="3" t="s">
        <v>974</v>
      </c>
      <c r="B638" s="4">
        <v>45672</v>
      </c>
      <c r="C638" s="3" t="s">
        <v>628</v>
      </c>
      <c r="D638" s="3" t="s">
        <v>87</v>
      </c>
      <c r="E638" s="3" t="s">
        <v>88</v>
      </c>
      <c r="F638" s="3" t="s">
        <v>72</v>
      </c>
      <c r="G638" s="3" t="s">
        <v>73</v>
      </c>
      <c r="H638" s="3">
        <v>350.53</v>
      </c>
      <c r="I638" s="3">
        <v>4</v>
      </c>
      <c r="J638" s="3">
        <v>0</v>
      </c>
      <c r="K638" s="9">
        <f t="shared" si="27"/>
        <v>1402.12</v>
      </c>
      <c r="L638" s="9">
        <f t="shared" si="28"/>
        <v>0</v>
      </c>
      <c r="M638" s="10">
        <f t="shared" si="29"/>
        <v>1402.12</v>
      </c>
      <c r="N638" s="3" t="s">
        <v>26</v>
      </c>
      <c r="O638" s="3" t="s">
        <v>18</v>
      </c>
      <c r="P638" s="3" t="s">
        <v>40</v>
      </c>
    </row>
    <row r="639" spans="1:16" x14ac:dyDescent="0.25">
      <c r="A639" s="2" t="s">
        <v>975</v>
      </c>
      <c r="B639" s="4">
        <v>45673</v>
      </c>
      <c r="C639" s="2" t="s">
        <v>545</v>
      </c>
      <c r="D639" s="2" t="s">
        <v>76</v>
      </c>
      <c r="E639" s="2" t="s">
        <v>77</v>
      </c>
      <c r="F639" s="2" t="s">
        <v>43</v>
      </c>
      <c r="G639" s="2" t="s">
        <v>127</v>
      </c>
      <c r="H639" s="2">
        <v>5125.74</v>
      </c>
      <c r="I639" s="2">
        <v>1</v>
      </c>
      <c r="J639" s="2">
        <v>5</v>
      </c>
      <c r="K639" s="9">
        <f t="shared" si="27"/>
        <v>5125.74</v>
      </c>
      <c r="L639" s="9">
        <f t="shared" si="28"/>
        <v>256.28699999999998</v>
      </c>
      <c r="M639" s="10">
        <f t="shared" si="29"/>
        <v>4869.4529999999995</v>
      </c>
      <c r="N639" s="2" t="s">
        <v>38</v>
      </c>
      <c r="O639" s="2" t="s">
        <v>18</v>
      </c>
      <c r="P639" s="2" t="s">
        <v>53</v>
      </c>
    </row>
    <row r="640" spans="1:16" x14ac:dyDescent="0.25">
      <c r="A640" s="3" t="s">
        <v>976</v>
      </c>
      <c r="B640" s="4">
        <v>45674</v>
      </c>
      <c r="C640" s="3" t="s">
        <v>917</v>
      </c>
      <c r="D640" s="3" t="s">
        <v>29</v>
      </c>
      <c r="E640" s="3" t="s">
        <v>30</v>
      </c>
      <c r="F640" s="3" t="s">
        <v>72</v>
      </c>
      <c r="G640" s="3" t="s">
        <v>129</v>
      </c>
      <c r="H640" s="3">
        <v>1635.59</v>
      </c>
      <c r="I640" s="3">
        <v>1</v>
      </c>
      <c r="J640" s="3">
        <v>5</v>
      </c>
      <c r="K640" s="9">
        <f t="shared" si="27"/>
        <v>1635.59</v>
      </c>
      <c r="L640" s="9">
        <f t="shared" si="28"/>
        <v>81.779499999999999</v>
      </c>
      <c r="M640" s="10">
        <f t="shared" si="29"/>
        <v>1553.8104999999998</v>
      </c>
      <c r="N640" s="3" t="s">
        <v>26</v>
      </c>
      <c r="O640" s="3" t="s">
        <v>18</v>
      </c>
      <c r="P640" s="3" t="s">
        <v>40</v>
      </c>
    </row>
    <row r="641" spans="1:16" x14ac:dyDescent="0.25">
      <c r="A641" s="2" t="s">
        <v>977</v>
      </c>
      <c r="B641" s="4">
        <v>45675</v>
      </c>
      <c r="C641" s="2" t="s">
        <v>53</v>
      </c>
      <c r="D641" s="2" t="s">
        <v>22</v>
      </c>
      <c r="E641" s="2" t="s">
        <v>23</v>
      </c>
      <c r="F641" s="2" t="s">
        <v>24</v>
      </c>
      <c r="G641" s="2" t="s">
        <v>170</v>
      </c>
      <c r="H641" s="2">
        <v>1186.76</v>
      </c>
      <c r="I641" s="2">
        <v>5</v>
      </c>
      <c r="J641" s="2">
        <v>0</v>
      </c>
      <c r="K641" s="9">
        <f t="shared" si="27"/>
        <v>5933.8</v>
      </c>
      <c r="L641" s="9">
        <f t="shared" si="28"/>
        <v>0</v>
      </c>
      <c r="M641" s="10">
        <f t="shared" si="29"/>
        <v>5933.8</v>
      </c>
      <c r="N641" s="2" t="s">
        <v>33</v>
      </c>
      <c r="O641" s="2" t="s">
        <v>18</v>
      </c>
      <c r="P641" s="2" t="s">
        <v>34</v>
      </c>
    </row>
    <row r="642" spans="1:16" x14ac:dyDescent="0.25">
      <c r="A642" s="3" t="s">
        <v>978</v>
      </c>
      <c r="B642" s="4">
        <v>45676</v>
      </c>
      <c r="C642" s="3" t="s">
        <v>601</v>
      </c>
      <c r="D642" s="3" t="s">
        <v>51</v>
      </c>
      <c r="E642" s="3" t="s">
        <v>14</v>
      </c>
      <c r="F642" s="3" t="s">
        <v>36</v>
      </c>
      <c r="G642" s="3" t="s">
        <v>49</v>
      </c>
      <c r="H642" s="3">
        <v>157132.44</v>
      </c>
      <c r="I642" s="3">
        <v>2</v>
      </c>
      <c r="J642" s="3">
        <v>10</v>
      </c>
      <c r="K642" s="9">
        <f t="shared" ref="K642:K705" si="30">I642*H642</f>
        <v>314264.88</v>
      </c>
      <c r="L642" s="9">
        <f t="shared" ref="L642:L705" si="31">K642*J642/100</f>
        <v>31426.487999999998</v>
      </c>
      <c r="M642" s="10">
        <f t="shared" ref="M642:M705" si="32">K642-L642</f>
        <v>282838.39199999999</v>
      </c>
      <c r="N642" s="3" t="s">
        <v>26</v>
      </c>
      <c r="O642" s="3" t="s">
        <v>18</v>
      </c>
      <c r="P642" s="3" t="s">
        <v>60</v>
      </c>
    </row>
    <row r="643" spans="1:16" x14ac:dyDescent="0.25">
      <c r="A643" s="2" t="s">
        <v>979</v>
      </c>
      <c r="B643" s="4">
        <v>45677</v>
      </c>
      <c r="C643" s="2" t="s">
        <v>721</v>
      </c>
      <c r="D643" s="2" t="s">
        <v>65</v>
      </c>
      <c r="E643" s="2" t="s">
        <v>66</v>
      </c>
      <c r="F643" s="2" t="s">
        <v>24</v>
      </c>
      <c r="G643" s="2" t="s">
        <v>25</v>
      </c>
      <c r="H643" s="2">
        <v>4885.1000000000004</v>
      </c>
      <c r="I643" s="2">
        <v>4</v>
      </c>
      <c r="J643" s="2">
        <v>5</v>
      </c>
      <c r="K643" s="9">
        <f t="shared" si="30"/>
        <v>19540.400000000001</v>
      </c>
      <c r="L643" s="9">
        <f t="shared" si="31"/>
        <v>977.02</v>
      </c>
      <c r="M643" s="10">
        <f t="shared" si="32"/>
        <v>18563.38</v>
      </c>
      <c r="N643" s="2" t="s">
        <v>33</v>
      </c>
      <c r="O643" s="2" t="s">
        <v>18</v>
      </c>
      <c r="P643" s="2" t="s">
        <v>53</v>
      </c>
    </row>
    <row r="644" spans="1:16" x14ac:dyDescent="0.25">
      <c r="A644" s="3" t="s">
        <v>980</v>
      </c>
      <c r="B644" s="4">
        <v>45678</v>
      </c>
      <c r="C644" s="3" t="s">
        <v>981</v>
      </c>
      <c r="D644" s="3" t="s">
        <v>87</v>
      </c>
      <c r="E644" s="3" t="s">
        <v>88</v>
      </c>
      <c r="F644" s="3" t="s">
        <v>31</v>
      </c>
      <c r="G644" s="3" t="s">
        <v>186</v>
      </c>
      <c r="H644" s="3">
        <v>773.74</v>
      </c>
      <c r="I644" s="3">
        <v>1</v>
      </c>
      <c r="J644" s="3">
        <v>0</v>
      </c>
      <c r="K644" s="9">
        <f t="shared" si="30"/>
        <v>773.74</v>
      </c>
      <c r="L644" s="9">
        <f t="shared" si="31"/>
        <v>0</v>
      </c>
      <c r="M644" s="10">
        <f t="shared" si="32"/>
        <v>773.74</v>
      </c>
      <c r="N644" s="3" t="s">
        <v>17</v>
      </c>
      <c r="O644" s="3" t="s">
        <v>18</v>
      </c>
      <c r="P644" s="3" t="s">
        <v>34</v>
      </c>
    </row>
    <row r="645" spans="1:16" x14ac:dyDescent="0.25">
      <c r="A645" s="2" t="s">
        <v>982</v>
      </c>
      <c r="B645" s="4">
        <v>45679</v>
      </c>
      <c r="C645" s="2" t="s">
        <v>559</v>
      </c>
      <c r="D645" s="2" t="s">
        <v>76</v>
      </c>
      <c r="E645" s="2" t="s">
        <v>77</v>
      </c>
      <c r="F645" s="2" t="s">
        <v>43</v>
      </c>
      <c r="G645" s="2" t="s">
        <v>127</v>
      </c>
      <c r="H645" s="2">
        <v>5786.37</v>
      </c>
      <c r="I645" s="2">
        <v>2</v>
      </c>
      <c r="J645" s="2">
        <v>0</v>
      </c>
      <c r="K645" s="9">
        <f t="shared" si="30"/>
        <v>11572.74</v>
      </c>
      <c r="L645" s="9">
        <f t="shared" si="31"/>
        <v>0</v>
      </c>
      <c r="M645" s="10">
        <f t="shared" si="32"/>
        <v>11572.74</v>
      </c>
      <c r="N645" s="2" t="s">
        <v>17</v>
      </c>
      <c r="O645" s="2" t="s">
        <v>18</v>
      </c>
      <c r="P645" s="2" t="s">
        <v>19</v>
      </c>
    </row>
    <row r="646" spans="1:16" x14ac:dyDescent="0.25">
      <c r="A646" s="3" t="s">
        <v>983</v>
      </c>
      <c r="B646" s="4">
        <v>45680</v>
      </c>
      <c r="C646" s="3" t="s">
        <v>126</v>
      </c>
      <c r="D646" s="3" t="s">
        <v>51</v>
      </c>
      <c r="E646" s="3" t="s">
        <v>14</v>
      </c>
      <c r="F646" s="3" t="s">
        <v>36</v>
      </c>
      <c r="G646" s="3" t="s">
        <v>37</v>
      </c>
      <c r="H646" s="3">
        <v>12856.74</v>
      </c>
      <c r="I646" s="3">
        <v>4</v>
      </c>
      <c r="J646" s="3">
        <v>0</v>
      </c>
      <c r="K646" s="9">
        <f t="shared" si="30"/>
        <v>51426.96</v>
      </c>
      <c r="L646" s="9">
        <f t="shared" si="31"/>
        <v>0</v>
      </c>
      <c r="M646" s="10">
        <f t="shared" si="32"/>
        <v>51426.96</v>
      </c>
      <c r="N646" s="3" t="s">
        <v>17</v>
      </c>
      <c r="O646" s="3" t="s">
        <v>18</v>
      </c>
      <c r="P646" s="3" t="s">
        <v>60</v>
      </c>
    </row>
    <row r="647" spans="1:16" x14ac:dyDescent="0.25">
      <c r="A647" s="2" t="s">
        <v>984</v>
      </c>
      <c r="B647" s="4">
        <v>45681</v>
      </c>
      <c r="C647" s="2" t="s">
        <v>511</v>
      </c>
      <c r="D647" s="2" t="s">
        <v>65</v>
      </c>
      <c r="E647" s="2" t="s">
        <v>66</v>
      </c>
      <c r="F647" s="2" t="s">
        <v>15</v>
      </c>
      <c r="G647" s="2" t="s">
        <v>163</v>
      </c>
      <c r="H647" s="2">
        <v>2373.92</v>
      </c>
      <c r="I647" s="2">
        <v>4</v>
      </c>
      <c r="J647" s="2">
        <v>10</v>
      </c>
      <c r="K647" s="9">
        <f t="shared" si="30"/>
        <v>9495.68</v>
      </c>
      <c r="L647" s="9">
        <f t="shared" si="31"/>
        <v>949.56799999999998</v>
      </c>
      <c r="M647" s="10">
        <f t="shared" si="32"/>
        <v>8546.112000000001</v>
      </c>
      <c r="N647" s="2" t="s">
        <v>26</v>
      </c>
      <c r="O647" s="2" t="s">
        <v>52</v>
      </c>
      <c r="P647" s="2" t="s">
        <v>53</v>
      </c>
    </row>
    <row r="648" spans="1:16" x14ac:dyDescent="0.25">
      <c r="A648" s="3" t="s">
        <v>985</v>
      </c>
      <c r="B648" s="4">
        <v>45682</v>
      </c>
      <c r="C648" s="3" t="s">
        <v>986</v>
      </c>
      <c r="D648" s="3" t="s">
        <v>13</v>
      </c>
      <c r="E648" s="3" t="s">
        <v>14</v>
      </c>
      <c r="F648" s="3" t="s">
        <v>36</v>
      </c>
      <c r="G648" s="3" t="s">
        <v>37</v>
      </c>
      <c r="H648" s="3">
        <v>12560.34</v>
      </c>
      <c r="I648" s="3">
        <v>5</v>
      </c>
      <c r="J648" s="3">
        <v>5</v>
      </c>
      <c r="K648" s="9">
        <f t="shared" si="30"/>
        <v>62801.7</v>
      </c>
      <c r="L648" s="9">
        <f t="shared" si="31"/>
        <v>3140.085</v>
      </c>
      <c r="M648" s="10">
        <f t="shared" si="32"/>
        <v>59661.614999999998</v>
      </c>
      <c r="N648" s="3" t="s">
        <v>33</v>
      </c>
      <c r="O648" s="3" t="s">
        <v>52</v>
      </c>
      <c r="P648" s="3" t="s">
        <v>60</v>
      </c>
    </row>
    <row r="649" spans="1:16" x14ac:dyDescent="0.25">
      <c r="A649" s="2" t="s">
        <v>987</v>
      </c>
      <c r="B649" s="4">
        <v>45683</v>
      </c>
      <c r="C649" s="2" t="s">
        <v>406</v>
      </c>
      <c r="D649" s="2" t="s">
        <v>76</v>
      </c>
      <c r="E649" s="2" t="s">
        <v>77</v>
      </c>
      <c r="F649" s="2" t="s">
        <v>43</v>
      </c>
      <c r="G649" s="2" t="s">
        <v>127</v>
      </c>
      <c r="H649" s="2">
        <v>5041.3999999999996</v>
      </c>
      <c r="I649" s="2">
        <v>1</v>
      </c>
      <c r="J649" s="2">
        <v>0</v>
      </c>
      <c r="K649" s="9">
        <f t="shared" si="30"/>
        <v>5041.3999999999996</v>
      </c>
      <c r="L649" s="9">
        <f t="shared" si="31"/>
        <v>0</v>
      </c>
      <c r="M649" s="10">
        <f t="shared" si="32"/>
        <v>5041.3999999999996</v>
      </c>
      <c r="N649" s="2" t="s">
        <v>33</v>
      </c>
      <c r="O649" s="2" t="s">
        <v>18</v>
      </c>
      <c r="P649" s="2" t="s">
        <v>53</v>
      </c>
    </row>
    <row r="650" spans="1:16" x14ac:dyDescent="0.25">
      <c r="A650" s="3" t="s">
        <v>988</v>
      </c>
      <c r="B650" s="4">
        <v>45684</v>
      </c>
      <c r="C650" s="3" t="s">
        <v>340</v>
      </c>
      <c r="D650" s="3" t="s">
        <v>22</v>
      </c>
      <c r="E650" s="3" t="s">
        <v>23</v>
      </c>
      <c r="F650" s="3" t="s">
        <v>36</v>
      </c>
      <c r="G650" s="3" t="s">
        <v>37</v>
      </c>
      <c r="H650" s="3">
        <v>12405.69</v>
      </c>
      <c r="I650" s="3">
        <v>2</v>
      </c>
      <c r="J650" s="3">
        <v>15</v>
      </c>
      <c r="K650" s="9">
        <f t="shared" si="30"/>
        <v>24811.38</v>
      </c>
      <c r="L650" s="9">
        <f t="shared" si="31"/>
        <v>3721.7070000000003</v>
      </c>
      <c r="M650" s="10">
        <f t="shared" si="32"/>
        <v>21089.673000000003</v>
      </c>
      <c r="N650" s="3" t="s">
        <v>33</v>
      </c>
      <c r="O650" s="3" t="s">
        <v>39</v>
      </c>
      <c r="P650" s="3" t="s">
        <v>19</v>
      </c>
    </row>
    <row r="651" spans="1:16" x14ac:dyDescent="0.25">
      <c r="A651" s="2" t="s">
        <v>989</v>
      </c>
      <c r="B651" s="4">
        <v>45685</v>
      </c>
      <c r="C651" s="2" t="s">
        <v>734</v>
      </c>
      <c r="D651" s="2" t="s">
        <v>76</v>
      </c>
      <c r="E651" s="2" t="s">
        <v>77</v>
      </c>
      <c r="F651" s="2" t="s">
        <v>43</v>
      </c>
      <c r="G651" s="2" t="s">
        <v>127</v>
      </c>
      <c r="H651" s="2">
        <v>5911.62</v>
      </c>
      <c r="I651" s="2">
        <v>4</v>
      </c>
      <c r="J651" s="2">
        <v>15</v>
      </c>
      <c r="K651" s="9">
        <f t="shared" si="30"/>
        <v>23646.48</v>
      </c>
      <c r="L651" s="9">
        <f t="shared" si="31"/>
        <v>3546.9720000000002</v>
      </c>
      <c r="M651" s="10">
        <f t="shared" si="32"/>
        <v>20099.507999999998</v>
      </c>
      <c r="N651" s="2" t="s">
        <v>38</v>
      </c>
      <c r="O651" s="2" t="s">
        <v>27</v>
      </c>
      <c r="P651" s="2" t="s">
        <v>60</v>
      </c>
    </row>
    <row r="652" spans="1:16" x14ac:dyDescent="0.25">
      <c r="A652" s="3" t="s">
        <v>990</v>
      </c>
      <c r="B652" s="4">
        <v>45686</v>
      </c>
      <c r="C652" s="3" t="s">
        <v>290</v>
      </c>
      <c r="D652" s="3" t="s">
        <v>22</v>
      </c>
      <c r="E652" s="3" t="s">
        <v>23</v>
      </c>
      <c r="F652" s="3" t="s">
        <v>43</v>
      </c>
      <c r="G652" s="3" t="s">
        <v>105</v>
      </c>
      <c r="H652" s="3">
        <v>2817.32</v>
      </c>
      <c r="I652" s="3">
        <v>3</v>
      </c>
      <c r="J652" s="3">
        <v>10</v>
      </c>
      <c r="K652" s="9">
        <f t="shared" si="30"/>
        <v>8451.9600000000009</v>
      </c>
      <c r="L652" s="9">
        <f t="shared" si="31"/>
        <v>845.19600000000003</v>
      </c>
      <c r="M652" s="10">
        <f t="shared" si="32"/>
        <v>7606.764000000001</v>
      </c>
      <c r="N652" s="3" t="s">
        <v>38</v>
      </c>
      <c r="O652" s="3" t="s">
        <v>27</v>
      </c>
      <c r="P652" s="3" t="s">
        <v>19</v>
      </c>
    </row>
    <row r="653" spans="1:16" x14ac:dyDescent="0.25">
      <c r="A653" s="2" t="s">
        <v>991</v>
      </c>
      <c r="B653" s="4">
        <v>45687</v>
      </c>
      <c r="C653" s="2" t="s">
        <v>643</v>
      </c>
      <c r="D653" s="2" t="s">
        <v>22</v>
      </c>
      <c r="E653" s="2" t="s">
        <v>23</v>
      </c>
      <c r="F653" s="2" t="s">
        <v>110</v>
      </c>
      <c r="G653" s="2" t="s">
        <v>215</v>
      </c>
      <c r="H653" s="2">
        <v>2617.88</v>
      </c>
      <c r="I653" s="2">
        <v>1</v>
      </c>
      <c r="J653" s="2">
        <v>5</v>
      </c>
      <c r="K653" s="9">
        <f t="shared" si="30"/>
        <v>2617.88</v>
      </c>
      <c r="L653" s="9">
        <f t="shared" si="31"/>
        <v>130.89400000000001</v>
      </c>
      <c r="M653" s="10">
        <f t="shared" si="32"/>
        <v>2486.9859999999999</v>
      </c>
      <c r="N653" s="2" t="s">
        <v>38</v>
      </c>
      <c r="O653" s="2" t="s">
        <v>18</v>
      </c>
      <c r="P653" s="2" t="s">
        <v>40</v>
      </c>
    </row>
    <row r="654" spans="1:16" x14ac:dyDescent="0.25">
      <c r="A654" s="3" t="s">
        <v>992</v>
      </c>
      <c r="B654" s="4">
        <v>45688</v>
      </c>
      <c r="C654" s="3" t="s">
        <v>532</v>
      </c>
      <c r="D654" s="3" t="s">
        <v>29</v>
      </c>
      <c r="E654" s="3" t="s">
        <v>30</v>
      </c>
      <c r="F654" s="3" t="s">
        <v>36</v>
      </c>
      <c r="G654" s="3" t="s">
        <v>338</v>
      </c>
      <c r="H654" s="3">
        <v>63263.63</v>
      </c>
      <c r="I654" s="3">
        <v>5</v>
      </c>
      <c r="J654" s="3">
        <v>0</v>
      </c>
      <c r="K654" s="9">
        <f t="shared" si="30"/>
        <v>316318.14999999997</v>
      </c>
      <c r="L654" s="9">
        <f t="shared" si="31"/>
        <v>0</v>
      </c>
      <c r="M654" s="10">
        <f t="shared" si="32"/>
        <v>316318.14999999997</v>
      </c>
      <c r="N654" s="3" t="s">
        <v>68</v>
      </c>
      <c r="O654" s="3" t="s">
        <v>52</v>
      </c>
      <c r="P654" s="3" t="s">
        <v>53</v>
      </c>
    </row>
    <row r="655" spans="1:16" x14ac:dyDescent="0.25">
      <c r="A655" s="2" t="s">
        <v>993</v>
      </c>
      <c r="B655" s="4">
        <v>45689</v>
      </c>
      <c r="C655" s="2" t="s">
        <v>613</v>
      </c>
      <c r="D655" s="2" t="s">
        <v>83</v>
      </c>
      <c r="E655" s="2" t="s">
        <v>84</v>
      </c>
      <c r="F655" s="2" t="s">
        <v>36</v>
      </c>
      <c r="G655" s="2" t="s">
        <v>121</v>
      </c>
      <c r="H655" s="2">
        <v>94591.38</v>
      </c>
      <c r="I655" s="2">
        <v>5</v>
      </c>
      <c r="J655" s="2">
        <v>0</v>
      </c>
      <c r="K655" s="9">
        <f t="shared" si="30"/>
        <v>472956.9</v>
      </c>
      <c r="L655" s="9">
        <f t="shared" si="31"/>
        <v>0</v>
      </c>
      <c r="M655" s="10">
        <f t="shared" si="32"/>
        <v>472956.9</v>
      </c>
      <c r="N655" s="2" t="s">
        <v>26</v>
      </c>
      <c r="O655" s="2" t="s">
        <v>39</v>
      </c>
      <c r="P655" s="2" t="s">
        <v>53</v>
      </c>
    </row>
    <row r="656" spans="1:16" x14ac:dyDescent="0.25">
      <c r="A656" s="3" t="s">
        <v>994</v>
      </c>
      <c r="B656" s="4">
        <v>45690</v>
      </c>
      <c r="C656" s="3" t="s">
        <v>311</v>
      </c>
      <c r="D656" s="3" t="s">
        <v>83</v>
      </c>
      <c r="E656" s="3" t="s">
        <v>84</v>
      </c>
      <c r="F656" s="3" t="s">
        <v>15</v>
      </c>
      <c r="G656" s="3" t="s">
        <v>95</v>
      </c>
      <c r="H656" s="3">
        <v>1146.51</v>
      </c>
      <c r="I656" s="3">
        <v>1</v>
      </c>
      <c r="J656" s="3">
        <v>10</v>
      </c>
      <c r="K656" s="9">
        <f t="shared" si="30"/>
        <v>1146.51</v>
      </c>
      <c r="L656" s="9">
        <f t="shared" si="31"/>
        <v>114.65100000000001</v>
      </c>
      <c r="M656" s="10">
        <f t="shared" si="32"/>
        <v>1031.8589999999999</v>
      </c>
      <c r="N656" s="3" t="s">
        <v>38</v>
      </c>
      <c r="O656" s="3" t="s">
        <v>18</v>
      </c>
      <c r="P656" s="3" t="s">
        <v>60</v>
      </c>
    </row>
    <row r="657" spans="1:16" x14ac:dyDescent="0.25">
      <c r="A657" s="2" t="s">
        <v>995</v>
      </c>
      <c r="B657" s="4">
        <v>45691</v>
      </c>
      <c r="C657" s="2" t="s">
        <v>53</v>
      </c>
      <c r="D657" s="2" t="s">
        <v>76</v>
      </c>
      <c r="E657" s="2" t="s">
        <v>77</v>
      </c>
      <c r="F657" s="2" t="s">
        <v>15</v>
      </c>
      <c r="G657" s="2" t="s">
        <v>56</v>
      </c>
      <c r="H657" s="2">
        <v>1864.19</v>
      </c>
      <c r="I657" s="2">
        <v>5</v>
      </c>
      <c r="J657" s="2">
        <v>15</v>
      </c>
      <c r="K657" s="9">
        <f t="shared" si="30"/>
        <v>9320.9500000000007</v>
      </c>
      <c r="L657" s="9">
        <f t="shared" si="31"/>
        <v>1398.1424999999999</v>
      </c>
      <c r="M657" s="10">
        <f t="shared" si="32"/>
        <v>7922.8075000000008</v>
      </c>
      <c r="N657" s="2" t="s">
        <v>33</v>
      </c>
      <c r="O657" s="2" t="s">
        <v>52</v>
      </c>
      <c r="P657" s="2" t="s">
        <v>34</v>
      </c>
    </row>
    <row r="658" spans="1:16" x14ac:dyDescent="0.25">
      <c r="A658" s="3" t="s">
        <v>996</v>
      </c>
      <c r="B658" s="4">
        <v>45692</v>
      </c>
      <c r="C658" s="3" t="s">
        <v>406</v>
      </c>
      <c r="D658" s="3" t="s">
        <v>51</v>
      </c>
      <c r="E658" s="3" t="s">
        <v>14</v>
      </c>
      <c r="F658" s="3" t="s">
        <v>43</v>
      </c>
      <c r="G658" s="3" t="s">
        <v>44</v>
      </c>
      <c r="H658" s="3">
        <v>3206.12</v>
      </c>
      <c r="I658" s="3">
        <v>2</v>
      </c>
      <c r="J658" s="3">
        <v>0</v>
      </c>
      <c r="K658" s="9">
        <f t="shared" si="30"/>
        <v>6412.24</v>
      </c>
      <c r="L658" s="9">
        <f t="shared" si="31"/>
        <v>0</v>
      </c>
      <c r="M658" s="10">
        <f t="shared" si="32"/>
        <v>6412.24</v>
      </c>
      <c r="N658" s="3" t="s">
        <v>68</v>
      </c>
      <c r="O658" s="3" t="s">
        <v>18</v>
      </c>
      <c r="P658" s="3" t="s">
        <v>53</v>
      </c>
    </row>
    <row r="659" spans="1:16" x14ac:dyDescent="0.25">
      <c r="A659" s="2" t="s">
        <v>997</v>
      </c>
      <c r="B659" s="4">
        <v>45693</v>
      </c>
      <c r="C659" s="2" t="s">
        <v>455</v>
      </c>
      <c r="D659" s="2" t="s">
        <v>100</v>
      </c>
      <c r="E659" s="2" t="s">
        <v>88</v>
      </c>
      <c r="F659" s="2" t="s">
        <v>43</v>
      </c>
      <c r="G659" s="2" t="s">
        <v>127</v>
      </c>
      <c r="H659" s="2">
        <v>5912.49</v>
      </c>
      <c r="I659" s="2">
        <v>5</v>
      </c>
      <c r="J659" s="2">
        <v>15</v>
      </c>
      <c r="K659" s="9">
        <f t="shared" si="30"/>
        <v>29562.449999999997</v>
      </c>
      <c r="L659" s="9">
        <f t="shared" si="31"/>
        <v>4434.3674999999994</v>
      </c>
      <c r="M659" s="10">
        <f t="shared" si="32"/>
        <v>25128.082499999997</v>
      </c>
      <c r="N659" s="2" t="s">
        <v>68</v>
      </c>
      <c r="O659" s="2" t="s">
        <v>18</v>
      </c>
      <c r="P659" s="2" t="s">
        <v>60</v>
      </c>
    </row>
    <row r="660" spans="1:16" x14ac:dyDescent="0.25">
      <c r="A660" s="3" t="s">
        <v>998</v>
      </c>
      <c r="B660" s="4">
        <v>45694</v>
      </c>
      <c r="C660" s="3" t="s">
        <v>892</v>
      </c>
      <c r="D660" s="3" t="s">
        <v>76</v>
      </c>
      <c r="E660" s="3" t="s">
        <v>77</v>
      </c>
      <c r="F660" s="3" t="s">
        <v>31</v>
      </c>
      <c r="G660" s="3" t="s">
        <v>70</v>
      </c>
      <c r="H660" s="3">
        <v>593.26</v>
      </c>
      <c r="I660" s="3">
        <v>1</v>
      </c>
      <c r="J660" s="3">
        <v>0</v>
      </c>
      <c r="K660" s="9">
        <f t="shared" si="30"/>
        <v>593.26</v>
      </c>
      <c r="L660" s="9">
        <f t="shared" si="31"/>
        <v>0</v>
      </c>
      <c r="M660" s="10">
        <f t="shared" si="32"/>
        <v>593.26</v>
      </c>
      <c r="N660" s="3" t="s">
        <v>26</v>
      </c>
      <c r="O660" s="3" t="s">
        <v>18</v>
      </c>
      <c r="P660" s="3" t="s">
        <v>40</v>
      </c>
    </row>
    <row r="661" spans="1:16" x14ac:dyDescent="0.25">
      <c r="A661" s="2" t="s">
        <v>999</v>
      </c>
      <c r="B661" s="4">
        <v>45695</v>
      </c>
      <c r="C661" s="2" t="s">
        <v>305</v>
      </c>
      <c r="D661" s="2" t="s">
        <v>87</v>
      </c>
      <c r="E661" s="2" t="s">
        <v>88</v>
      </c>
      <c r="F661" s="2" t="s">
        <v>43</v>
      </c>
      <c r="G661" s="2" t="s">
        <v>89</v>
      </c>
      <c r="H661" s="2">
        <v>4358.51</v>
      </c>
      <c r="I661" s="2">
        <v>3</v>
      </c>
      <c r="J661" s="2">
        <v>10</v>
      </c>
      <c r="K661" s="9">
        <f t="shared" si="30"/>
        <v>13075.53</v>
      </c>
      <c r="L661" s="9">
        <f t="shared" si="31"/>
        <v>1307.5530000000001</v>
      </c>
      <c r="M661" s="10">
        <f t="shared" si="32"/>
        <v>11767.977000000001</v>
      </c>
      <c r="N661" s="2" t="s">
        <v>17</v>
      </c>
      <c r="O661" s="2" t="s">
        <v>27</v>
      </c>
      <c r="P661" s="2" t="s">
        <v>19</v>
      </c>
    </row>
    <row r="662" spans="1:16" x14ac:dyDescent="0.25">
      <c r="A662" s="3" t="s">
        <v>1000</v>
      </c>
      <c r="B662" s="4">
        <v>45696</v>
      </c>
      <c r="C662" s="3" t="s">
        <v>698</v>
      </c>
      <c r="D662" s="3" t="s">
        <v>47</v>
      </c>
      <c r="E662" s="3" t="s">
        <v>48</v>
      </c>
      <c r="F662" s="3" t="s">
        <v>110</v>
      </c>
      <c r="G662" s="3" t="s">
        <v>153</v>
      </c>
      <c r="H662" s="3">
        <v>3778.8</v>
      </c>
      <c r="I662" s="3">
        <v>3</v>
      </c>
      <c r="J662" s="3">
        <v>0</v>
      </c>
      <c r="K662" s="9">
        <f t="shared" si="30"/>
        <v>11336.400000000001</v>
      </c>
      <c r="L662" s="9">
        <f t="shared" si="31"/>
        <v>0</v>
      </c>
      <c r="M662" s="10">
        <f t="shared" si="32"/>
        <v>11336.400000000001</v>
      </c>
      <c r="N662" s="3" t="s">
        <v>38</v>
      </c>
      <c r="O662" s="3" t="s">
        <v>18</v>
      </c>
      <c r="P662" s="3" t="s">
        <v>60</v>
      </c>
    </row>
    <row r="663" spans="1:16" x14ac:dyDescent="0.25">
      <c r="A663" s="2" t="s">
        <v>1001</v>
      </c>
      <c r="B663" s="4">
        <v>45697</v>
      </c>
      <c r="C663" s="2" t="s">
        <v>234</v>
      </c>
      <c r="D663" s="2" t="s">
        <v>100</v>
      </c>
      <c r="E663" s="2" t="s">
        <v>88</v>
      </c>
      <c r="F663" s="2" t="s">
        <v>31</v>
      </c>
      <c r="G663" s="2" t="s">
        <v>116</v>
      </c>
      <c r="H663" s="2">
        <v>1189.42</v>
      </c>
      <c r="I663" s="2">
        <v>2</v>
      </c>
      <c r="J663" s="2">
        <v>0</v>
      </c>
      <c r="K663" s="9">
        <f t="shared" si="30"/>
        <v>2378.84</v>
      </c>
      <c r="L663" s="9">
        <f t="shared" si="31"/>
        <v>0</v>
      </c>
      <c r="M663" s="10">
        <f t="shared" si="32"/>
        <v>2378.84</v>
      </c>
      <c r="N663" s="2" t="s">
        <v>26</v>
      </c>
      <c r="O663" s="2" t="s">
        <v>27</v>
      </c>
      <c r="P663" s="2" t="s">
        <v>19</v>
      </c>
    </row>
    <row r="664" spans="1:16" x14ac:dyDescent="0.25">
      <c r="A664" s="3" t="s">
        <v>1002</v>
      </c>
      <c r="B664" s="4">
        <v>45698</v>
      </c>
      <c r="C664" s="3" t="s">
        <v>435</v>
      </c>
      <c r="D664" s="3" t="s">
        <v>100</v>
      </c>
      <c r="E664" s="3" t="s">
        <v>88</v>
      </c>
      <c r="F664" s="3" t="s">
        <v>24</v>
      </c>
      <c r="G664" s="3" t="s">
        <v>25</v>
      </c>
      <c r="H664" s="3">
        <v>4155.2299999999996</v>
      </c>
      <c r="I664" s="3">
        <v>3</v>
      </c>
      <c r="J664" s="3">
        <v>0</v>
      </c>
      <c r="K664" s="9">
        <f t="shared" si="30"/>
        <v>12465.689999999999</v>
      </c>
      <c r="L664" s="9">
        <f t="shared" si="31"/>
        <v>0</v>
      </c>
      <c r="M664" s="10">
        <f t="shared" si="32"/>
        <v>12465.689999999999</v>
      </c>
      <c r="N664" s="3" t="s">
        <v>26</v>
      </c>
      <c r="O664" s="3" t="s">
        <v>18</v>
      </c>
      <c r="P664" s="3" t="s">
        <v>34</v>
      </c>
    </row>
    <row r="665" spans="1:16" x14ac:dyDescent="0.25">
      <c r="A665" s="2" t="s">
        <v>1003</v>
      </c>
      <c r="B665" s="4">
        <v>45699</v>
      </c>
      <c r="C665" s="2" t="s">
        <v>188</v>
      </c>
      <c r="D665" s="2" t="s">
        <v>83</v>
      </c>
      <c r="E665" s="2" t="s">
        <v>84</v>
      </c>
      <c r="F665" s="2" t="s">
        <v>15</v>
      </c>
      <c r="G665" s="2" t="s">
        <v>198</v>
      </c>
      <c r="H665" s="2">
        <v>826.49</v>
      </c>
      <c r="I665" s="2">
        <v>3</v>
      </c>
      <c r="J665" s="2">
        <v>0</v>
      </c>
      <c r="K665" s="9">
        <f t="shared" si="30"/>
        <v>2479.4700000000003</v>
      </c>
      <c r="L665" s="9">
        <f t="shared" si="31"/>
        <v>0</v>
      </c>
      <c r="M665" s="10">
        <f t="shared" si="32"/>
        <v>2479.4700000000003</v>
      </c>
      <c r="N665" s="2" t="s">
        <v>38</v>
      </c>
      <c r="O665" s="2" t="s">
        <v>18</v>
      </c>
      <c r="P665" s="2" t="s">
        <v>19</v>
      </c>
    </row>
    <row r="666" spans="1:16" x14ac:dyDescent="0.25">
      <c r="A666" s="3" t="s">
        <v>1004</v>
      </c>
      <c r="B666" s="4">
        <v>45700</v>
      </c>
      <c r="C666" s="3" t="s">
        <v>355</v>
      </c>
      <c r="D666" s="3" t="s">
        <v>22</v>
      </c>
      <c r="E666" s="3" t="s">
        <v>23</v>
      </c>
      <c r="F666" s="3" t="s">
        <v>36</v>
      </c>
      <c r="G666" s="3" t="s">
        <v>37</v>
      </c>
      <c r="H666" s="3">
        <v>13034.57</v>
      </c>
      <c r="I666" s="3">
        <v>2</v>
      </c>
      <c r="J666" s="3">
        <v>15</v>
      </c>
      <c r="K666" s="9">
        <f t="shared" si="30"/>
        <v>26069.14</v>
      </c>
      <c r="L666" s="9">
        <f t="shared" si="31"/>
        <v>3910.3709999999996</v>
      </c>
      <c r="M666" s="10">
        <f t="shared" si="32"/>
        <v>22158.769</v>
      </c>
      <c r="N666" s="3" t="s">
        <v>38</v>
      </c>
      <c r="O666" s="3" t="s">
        <v>18</v>
      </c>
      <c r="P666" s="3" t="s">
        <v>40</v>
      </c>
    </row>
    <row r="667" spans="1:16" x14ac:dyDescent="0.25">
      <c r="A667" s="2" t="s">
        <v>1005</v>
      </c>
      <c r="B667" s="4">
        <v>45701</v>
      </c>
      <c r="C667" s="2" t="s">
        <v>519</v>
      </c>
      <c r="D667" s="2" t="s">
        <v>87</v>
      </c>
      <c r="E667" s="2" t="s">
        <v>88</v>
      </c>
      <c r="F667" s="2" t="s">
        <v>15</v>
      </c>
      <c r="G667" s="2" t="s">
        <v>16</v>
      </c>
      <c r="H667" s="2">
        <v>1492.17</v>
      </c>
      <c r="I667" s="2">
        <v>3</v>
      </c>
      <c r="J667" s="2">
        <v>15</v>
      </c>
      <c r="K667" s="9">
        <f t="shared" si="30"/>
        <v>4476.51</v>
      </c>
      <c r="L667" s="9">
        <f t="shared" si="31"/>
        <v>671.4765000000001</v>
      </c>
      <c r="M667" s="10">
        <f t="shared" si="32"/>
        <v>3805.0335</v>
      </c>
      <c r="N667" s="2" t="s">
        <v>26</v>
      </c>
      <c r="O667" s="2" t="s">
        <v>39</v>
      </c>
      <c r="P667" s="2" t="s">
        <v>19</v>
      </c>
    </row>
    <row r="668" spans="1:16" x14ac:dyDescent="0.25">
      <c r="A668" s="3" t="s">
        <v>1006</v>
      </c>
      <c r="B668" s="4">
        <v>45702</v>
      </c>
      <c r="C668" s="3" t="s">
        <v>270</v>
      </c>
      <c r="D668" s="3" t="s">
        <v>22</v>
      </c>
      <c r="E668" s="3" t="s">
        <v>23</v>
      </c>
      <c r="F668" s="3" t="s">
        <v>15</v>
      </c>
      <c r="G668" s="3" t="s">
        <v>95</v>
      </c>
      <c r="H668" s="3">
        <v>1296.04</v>
      </c>
      <c r="I668" s="3">
        <v>2</v>
      </c>
      <c r="J668" s="3">
        <v>0</v>
      </c>
      <c r="K668" s="9">
        <f t="shared" si="30"/>
        <v>2592.08</v>
      </c>
      <c r="L668" s="9">
        <f t="shared" si="31"/>
        <v>0</v>
      </c>
      <c r="M668" s="10">
        <f t="shared" si="32"/>
        <v>2592.08</v>
      </c>
      <c r="N668" s="3" t="s">
        <v>17</v>
      </c>
      <c r="O668" s="3" t="s">
        <v>18</v>
      </c>
      <c r="P668" s="3" t="s">
        <v>34</v>
      </c>
    </row>
    <row r="669" spans="1:16" x14ac:dyDescent="0.25">
      <c r="A669" s="2" t="s">
        <v>1007</v>
      </c>
      <c r="B669" s="4">
        <v>45703</v>
      </c>
      <c r="C669" s="2" t="s">
        <v>159</v>
      </c>
      <c r="D669" s="2" t="s">
        <v>51</v>
      </c>
      <c r="E669" s="2" t="s">
        <v>14</v>
      </c>
      <c r="F669" s="2" t="s">
        <v>43</v>
      </c>
      <c r="G669" s="2" t="s">
        <v>105</v>
      </c>
      <c r="H669" s="2">
        <v>2571.79</v>
      </c>
      <c r="I669" s="2">
        <v>1</v>
      </c>
      <c r="J669" s="2">
        <v>0</v>
      </c>
      <c r="K669" s="9">
        <f t="shared" si="30"/>
        <v>2571.79</v>
      </c>
      <c r="L669" s="9">
        <f t="shared" si="31"/>
        <v>0</v>
      </c>
      <c r="M669" s="10">
        <f t="shared" si="32"/>
        <v>2571.79</v>
      </c>
      <c r="N669" s="2" t="s">
        <v>26</v>
      </c>
      <c r="O669" s="2" t="s">
        <v>52</v>
      </c>
      <c r="P669" s="2" t="s">
        <v>19</v>
      </c>
    </row>
    <row r="670" spans="1:16" x14ac:dyDescent="0.25">
      <c r="A670" s="3" t="s">
        <v>1008</v>
      </c>
      <c r="B670" s="4">
        <v>45704</v>
      </c>
      <c r="C670" s="3" t="s">
        <v>307</v>
      </c>
      <c r="D670" s="3" t="s">
        <v>13</v>
      </c>
      <c r="E670" s="3" t="s">
        <v>14</v>
      </c>
      <c r="F670" s="3" t="s">
        <v>36</v>
      </c>
      <c r="G670" s="3" t="s">
        <v>113</v>
      </c>
      <c r="H670" s="3">
        <v>128386.83</v>
      </c>
      <c r="I670" s="3">
        <v>1</v>
      </c>
      <c r="J670" s="3">
        <v>0</v>
      </c>
      <c r="K670" s="9">
        <f t="shared" si="30"/>
        <v>128386.83</v>
      </c>
      <c r="L670" s="9">
        <f t="shared" si="31"/>
        <v>0</v>
      </c>
      <c r="M670" s="10">
        <f t="shared" si="32"/>
        <v>128386.83</v>
      </c>
      <c r="N670" s="3" t="s">
        <v>33</v>
      </c>
      <c r="O670" s="3" t="s">
        <v>18</v>
      </c>
      <c r="P670" s="3" t="s">
        <v>60</v>
      </c>
    </row>
    <row r="671" spans="1:16" x14ac:dyDescent="0.25">
      <c r="A671" s="2" t="s">
        <v>1009</v>
      </c>
      <c r="B671" s="4">
        <v>45705</v>
      </c>
      <c r="C671" s="2" t="s">
        <v>173</v>
      </c>
      <c r="D671" s="2" t="s">
        <v>83</v>
      </c>
      <c r="E671" s="2" t="s">
        <v>84</v>
      </c>
      <c r="F671" s="2" t="s">
        <v>36</v>
      </c>
      <c r="G671" s="2" t="s">
        <v>121</v>
      </c>
      <c r="H671" s="2">
        <v>92360.23</v>
      </c>
      <c r="I671" s="2">
        <v>2</v>
      </c>
      <c r="J671" s="2">
        <v>0</v>
      </c>
      <c r="K671" s="9">
        <f t="shared" si="30"/>
        <v>184720.46</v>
      </c>
      <c r="L671" s="9">
        <f t="shared" si="31"/>
        <v>0</v>
      </c>
      <c r="M671" s="10">
        <f t="shared" si="32"/>
        <v>184720.46</v>
      </c>
      <c r="N671" s="2" t="s">
        <v>38</v>
      </c>
      <c r="O671" s="2" t="s">
        <v>18</v>
      </c>
      <c r="P671" s="2" t="s">
        <v>34</v>
      </c>
    </row>
    <row r="672" spans="1:16" x14ac:dyDescent="0.25">
      <c r="A672" s="3" t="s">
        <v>1010</v>
      </c>
      <c r="B672" s="4">
        <v>45706</v>
      </c>
      <c r="C672" s="3" t="s">
        <v>865</v>
      </c>
      <c r="D672" s="3" t="s">
        <v>87</v>
      </c>
      <c r="E672" s="3" t="s">
        <v>88</v>
      </c>
      <c r="F672" s="3" t="s">
        <v>31</v>
      </c>
      <c r="G672" s="3" t="s">
        <v>70</v>
      </c>
      <c r="H672" s="3">
        <v>644.91999999999996</v>
      </c>
      <c r="I672" s="3">
        <v>1</v>
      </c>
      <c r="J672" s="3">
        <v>5</v>
      </c>
      <c r="K672" s="9">
        <f t="shared" si="30"/>
        <v>644.91999999999996</v>
      </c>
      <c r="L672" s="9">
        <f t="shared" si="31"/>
        <v>32.246000000000002</v>
      </c>
      <c r="M672" s="10">
        <f t="shared" si="32"/>
        <v>612.67399999999998</v>
      </c>
      <c r="N672" s="3" t="s">
        <v>33</v>
      </c>
      <c r="O672" s="3" t="s">
        <v>27</v>
      </c>
      <c r="P672" s="3" t="s">
        <v>60</v>
      </c>
    </row>
    <row r="673" spans="1:16" x14ac:dyDescent="0.25">
      <c r="A673" s="2" t="s">
        <v>1011</v>
      </c>
      <c r="B673" s="4">
        <v>45707</v>
      </c>
      <c r="C673" s="2" t="s">
        <v>444</v>
      </c>
      <c r="D673" s="2" t="s">
        <v>65</v>
      </c>
      <c r="E673" s="2" t="s">
        <v>66</v>
      </c>
      <c r="F673" s="2" t="s">
        <v>15</v>
      </c>
      <c r="G673" s="2" t="s">
        <v>95</v>
      </c>
      <c r="H673" s="2">
        <v>1113.5</v>
      </c>
      <c r="I673" s="2">
        <v>5</v>
      </c>
      <c r="J673" s="2">
        <v>0</v>
      </c>
      <c r="K673" s="9">
        <f t="shared" si="30"/>
        <v>5567.5</v>
      </c>
      <c r="L673" s="9">
        <f t="shared" si="31"/>
        <v>0</v>
      </c>
      <c r="M673" s="10">
        <f t="shared" si="32"/>
        <v>5567.5</v>
      </c>
      <c r="N673" s="2" t="s">
        <v>68</v>
      </c>
      <c r="O673" s="2" t="s">
        <v>18</v>
      </c>
      <c r="P673" s="2" t="s">
        <v>53</v>
      </c>
    </row>
    <row r="674" spans="1:16" x14ac:dyDescent="0.25">
      <c r="A674" s="3" t="s">
        <v>1012</v>
      </c>
      <c r="B674" s="4">
        <v>45708</v>
      </c>
      <c r="C674" s="3" t="s">
        <v>700</v>
      </c>
      <c r="D674" s="3" t="s">
        <v>87</v>
      </c>
      <c r="E674" s="3" t="s">
        <v>88</v>
      </c>
      <c r="F674" s="3" t="s">
        <v>36</v>
      </c>
      <c r="G674" s="3" t="s">
        <v>113</v>
      </c>
      <c r="H674" s="3">
        <v>126146.74</v>
      </c>
      <c r="I674" s="3">
        <v>1</v>
      </c>
      <c r="J674" s="3">
        <v>5</v>
      </c>
      <c r="K674" s="9">
        <f t="shared" si="30"/>
        <v>126146.74</v>
      </c>
      <c r="L674" s="9">
        <f t="shared" si="31"/>
        <v>6307.3370000000004</v>
      </c>
      <c r="M674" s="10">
        <f t="shared" si="32"/>
        <v>119839.40300000001</v>
      </c>
      <c r="N674" s="3" t="s">
        <v>33</v>
      </c>
      <c r="O674" s="3" t="s">
        <v>27</v>
      </c>
      <c r="P674" s="3" t="s">
        <v>34</v>
      </c>
    </row>
    <row r="675" spans="1:16" x14ac:dyDescent="0.25">
      <c r="A675" s="2" t="s">
        <v>1013</v>
      </c>
      <c r="B675" s="4">
        <v>45709</v>
      </c>
      <c r="C675" s="2" t="s">
        <v>791</v>
      </c>
      <c r="D675" s="2" t="s">
        <v>76</v>
      </c>
      <c r="E675" s="2" t="s">
        <v>77</v>
      </c>
      <c r="F675" s="2" t="s">
        <v>15</v>
      </c>
      <c r="G675" s="2" t="s">
        <v>56</v>
      </c>
      <c r="H675" s="2">
        <v>1891.89</v>
      </c>
      <c r="I675" s="2">
        <v>2</v>
      </c>
      <c r="J675" s="2">
        <v>0</v>
      </c>
      <c r="K675" s="9">
        <f t="shared" si="30"/>
        <v>3783.78</v>
      </c>
      <c r="L675" s="9">
        <f t="shared" si="31"/>
        <v>0</v>
      </c>
      <c r="M675" s="10">
        <f t="shared" si="32"/>
        <v>3783.78</v>
      </c>
      <c r="N675" s="2" t="s">
        <v>26</v>
      </c>
      <c r="O675" s="2" t="s">
        <v>39</v>
      </c>
      <c r="P675" s="2" t="s">
        <v>60</v>
      </c>
    </row>
    <row r="676" spans="1:16" x14ac:dyDescent="0.25">
      <c r="A676" s="3" t="s">
        <v>1014</v>
      </c>
      <c r="B676" s="4">
        <v>45710</v>
      </c>
      <c r="C676" s="3" t="s">
        <v>178</v>
      </c>
      <c r="D676" s="3" t="s">
        <v>13</v>
      </c>
      <c r="E676" s="3" t="s">
        <v>14</v>
      </c>
      <c r="F676" s="3" t="s">
        <v>72</v>
      </c>
      <c r="G676" s="3" t="s">
        <v>137</v>
      </c>
      <c r="H676" s="3">
        <v>2347.2199999999998</v>
      </c>
      <c r="I676" s="3">
        <v>3</v>
      </c>
      <c r="J676" s="3">
        <v>0</v>
      </c>
      <c r="K676" s="9">
        <f t="shared" si="30"/>
        <v>7041.66</v>
      </c>
      <c r="L676" s="9">
        <f t="shared" si="31"/>
        <v>0</v>
      </c>
      <c r="M676" s="10">
        <f t="shared" si="32"/>
        <v>7041.66</v>
      </c>
      <c r="N676" s="3" t="s">
        <v>17</v>
      </c>
      <c r="O676" s="3" t="s">
        <v>27</v>
      </c>
      <c r="P676" s="3" t="s">
        <v>60</v>
      </c>
    </row>
    <row r="677" spans="1:16" x14ac:dyDescent="0.25">
      <c r="A677" s="2" t="s">
        <v>1015</v>
      </c>
      <c r="B677" s="4">
        <v>45711</v>
      </c>
      <c r="C677" s="2" t="s">
        <v>148</v>
      </c>
      <c r="D677" s="2" t="s">
        <v>100</v>
      </c>
      <c r="E677" s="2" t="s">
        <v>88</v>
      </c>
      <c r="F677" s="2" t="s">
        <v>31</v>
      </c>
      <c r="G677" s="2" t="s">
        <v>116</v>
      </c>
      <c r="H677" s="2">
        <v>1309.45</v>
      </c>
      <c r="I677" s="2">
        <v>4</v>
      </c>
      <c r="J677" s="2">
        <v>5</v>
      </c>
      <c r="K677" s="9">
        <f t="shared" si="30"/>
        <v>5237.8</v>
      </c>
      <c r="L677" s="9">
        <f t="shared" si="31"/>
        <v>261.89</v>
      </c>
      <c r="M677" s="10">
        <f t="shared" si="32"/>
        <v>4975.91</v>
      </c>
      <c r="N677" s="2" t="s">
        <v>38</v>
      </c>
      <c r="O677" s="2" t="s">
        <v>18</v>
      </c>
      <c r="P677" s="2" t="s">
        <v>53</v>
      </c>
    </row>
    <row r="678" spans="1:16" x14ac:dyDescent="0.25">
      <c r="A678" s="3" t="s">
        <v>1016</v>
      </c>
      <c r="B678" s="4">
        <v>45712</v>
      </c>
      <c r="C678" s="3" t="s">
        <v>647</v>
      </c>
      <c r="D678" s="3" t="s">
        <v>51</v>
      </c>
      <c r="E678" s="3" t="s">
        <v>14</v>
      </c>
      <c r="F678" s="3" t="s">
        <v>36</v>
      </c>
      <c r="G678" s="3" t="s">
        <v>78</v>
      </c>
      <c r="H678" s="3">
        <v>89500.21</v>
      </c>
      <c r="I678" s="3">
        <v>4</v>
      </c>
      <c r="J678" s="3">
        <v>10</v>
      </c>
      <c r="K678" s="9">
        <f t="shared" si="30"/>
        <v>358000.84</v>
      </c>
      <c r="L678" s="9">
        <f t="shared" si="31"/>
        <v>35800.084000000003</v>
      </c>
      <c r="M678" s="10">
        <f t="shared" si="32"/>
        <v>322200.75600000005</v>
      </c>
      <c r="N678" s="3" t="s">
        <v>17</v>
      </c>
      <c r="O678" s="3" t="s">
        <v>27</v>
      </c>
      <c r="P678" s="3" t="s">
        <v>34</v>
      </c>
    </row>
    <row r="679" spans="1:16" x14ac:dyDescent="0.25">
      <c r="A679" s="2" t="s">
        <v>1017</v>
      </c>
      <c r="B679" s="4">
        <v>45713</v>
      </c>
      <c r="C679" s="2" t="s">
        <v>751</v>
      </c>
      <c r="D679" s="2" t="s">
        <v>65</v>
      </c>
      <c r="E679" s="2" t="s">
        <v>66</v>
      </c>
      <c r="F679" s="2" t="s">
        <v>72</v>
      </c>
      <c r="G679" s="2" t="s">
        <v>137</v>
      </c>
      <c r="H679" s="2">
        <v>2256.3200000000002</v>
      </c>
      <c r="I679" s="2">
        <v>4</v>
      </c>
      <c r="J679" s="2">
        <v>15</v>
      </c>
      <c r="K679" s="9">
        <f t="shared" si="30"/>
        <v>9025.2800000000007</v>
      </c>
      <c r="L679" s="9">
        <f t="shared" si="31"/>
        <v>1353.7920000000001</v>
      </c>
      <c r="M679" s="10">
        <f t="shared" si="32"/>
        <v>7671.4880000000003</v>
      </c>
      <c r="N679" s="2" t="s">
        <v>68</v>
      </c>
      <c r="O679" s="2" t="s">
        <v>18</v>
      </c>
      <c r="P679" s="2" t="s">
        <v>19</v>
      </c>
    </row>
    <row r="680" spans="1:16" x14ac:dyDescent="0.25">
      <c r="A680" s="3" t="s">
        <v>1018</v>
      </c>
      <c r="B680" s="4">
        <v>45714</v>
      </c>
      <c r="C680" s="3" t="s">
        <v>734</v>
      </c>
      <c r="D680" s="3" t="s">
        <v>47</v>
      </c>
      <c r="E680" s="3" t="s">
        <v>48</v>
      </c>
      <c r="F680" s="3" t="s">
        <v>24</v>
      </c>
      <c r="G680" s="3" t="s">
        <v>59</v>
      </c>
      <c r="H680" s="3">
        <v>4558.51</v>
      </c>
      <c r="I680" s="3">
        <v>3</v>
      </c>
      <c r="J680" s="3">
        <v>0</v>
      </c>
      <c r="K680" s="9">
        <f t="shared" si="30"/>
        <v>13675.53</v>
      </c>
      <c r="L680" s="9">
        <f t="shared" si="31"/>
        <v>0</v>
      </c>
      <c r="M680" s="10">
        <f t="shared" si="32"/>
        <v>13675.53</v>
      </c>
      <c r="N680" s="3" t="s">
        <v>26</v>
      </c>
      <c r="O680" s="3" t="s">
        <v>18</v>
      </c>
      <c r="P680" s="3" t="s">
        <v>53</v>
      </c>
    </row>
    <row r="681" spans="1:16" x14ac:dyDescent="0.25">
      <c r="A681" s="2" t="s">
        <v>1019</v>
      </c>
      <c r="B681" s="4">
        <v>45715</v>
      </c>
      <c r="C681" s="2" t="s">
        <v>917</v>
      </c>
      <c r="D681" s="2" t="s">
        <v>65</v>
      </c>
      <c r="E681" s="2" t="s">
        <v>66</v>
      </c>
      <c r="F681" s="2" t="s">
        <v>15</v>
      </c>
      <c r="G681" s="2" t="s">
        <v>16</v>
      </c>
      <c r="H681" s="2">
        <v>1364.61</v>
      </c>
      <c r="I681" s="2">
        <v>3</v>
      </c>
      <c r="J681" s="2">
        <v>15</v>
      </c>
      <c r="K681" s="9">
        <f t="shared" si="30"/>
        <v>4093.83</v>
      </c>
      <c r="L681" s="9">
        <f t="shared" si="31"/>
        <v>614.07449999999994</v>
      </c>
      <c r="M681" s="10">
        <f t="shared" si="32"/>
        <v>3479.7555000000002</v>
      </c>
      <c r="N681" s="2" t="s">
        <v>68</v>
      </c>
      <c r="O681" s="2" t="s">
        <v>52</v>
      </c>
      <c r="P681" s="2" t="s">
        <v>53</v>
      </c>
    </row>
    <row r="682" spans="1:16" x14ac:dyDescent="0.25">
      <c r="A682" s="3" t="s">
        <v>1020</v>
      </c>
      <c r="B682" s="4">
        <v>45716</v>
      </c>
      <c r="C682" s="3" t="s">
        <v>1021</v>
      </c>
      <c r="D682" s="3" t="s">
        <v>29</v>
      </c>
      <c r="E682" s="3" t="s">
        <v>30</v>
      </c>
      <c r="F682" s="3" t="s">
        <v>72</v>
      </c>
      <c r="G682" s="3" t="s">
        <v>102</v>
      </c>
      <c r="H682" s="3">
        <v>655.68</v>
      </c>
      <c r="I682" s="3">
        <v>3</v>
      </c>
      <c r="J682" s="3">
        <v>0</v>
      </c>
      <c r="K682" s="9">
        <f t="shared" si="30"/>
        <v>1967.04</v>
      </c>
      <c r="L682" s="9">
        <f t="shared" si="31"/>
        <v>0</v>
      </c>
      <c r="M682" s="10">
        <f t="shared" si="32"/>
        <v>1967.04</v>
      </c>
      <c r="N682" s="3" t="s">
        <v>38</v>
      </c>
      <c r="O682" s="3" t="s">
        <v>18</v>
      </c>
      <c r="P682" s="3" t="s">
        <v>34</v>
      </c>
    </row>
    <row r="683" spans="1:16" x14ac:dyDescent="0.25">
      <c r="A683" s="2" t="s">
        <v>1022</v>
      </c>
      <c r="B683" s="4">
        <v>45717</v>
      </c>
      <c r="C683" s="2" t="s">
        <v>771</v>
      </c>
      <c r="D683" s="2" t="s">
        <v>87</v>
      </c>
      <c r="E683" s="2" t="s">
        <v>88</v>
      </c>
      <c r="F683" s="2" t="s">
        <v>72</v>
      </c>
      <c r="G683" s="2" t="s">
        <v>102</v>
      </c>
      <c r="H683" s="2">
        <v>586.67999999999995</v>
      </c>
      <c r="I683" s="2">
        <v>5</v>
      </c>
      <c r="J683" s="2">
        <v>5</v>
      </c>
      <c r="K683" s="9">
        <f t="shared" si="30"/>
        <v>2933.3999999999996</v>
      </c>
      <c r="L683" s="9">
        <f t="shared" si="31"/>
        <v>146.66999999999999</v>
      </c>
      <c r="M683" s="10">
        <f t="shared" si="32"/>
        <v>2786.7299999999996</v>
      </c>
      <c r="N683" s="2" t="s">
        <v>38</v>
      </c>
      <c r="O683" s="2" t="s">
        <v>39</v>
      </c>
      <c r="P683" s="2" t="s">
        <v>60</v>
      </c>
    </row>
    <row r="684" spans="1:16" x14ac:dyDescent="0.25">
      <c r="A684" s="3" t="s">
        <v>1023</v>
      </c>
      <c r="B684" s="4">
        <v>45718</v>
      </c>
      <c r="C684" s="3" t="s">
        <v>192</v>
      </c>
      <c r="D684" s="3" t="s">
        <v>22</v>
      </c>
      <c r="E684" s="3" t="s">
        <v>23</v>
      </c>
      <c r="F684" s="3" t="s">
        <v>24</v>
      </c>
      <c r="G684" s="3" t="s">
        <v>25</v>
      </c>
      <c r="H684" s="3">
        <v>4503.04</v>
      </c>
      <c r="I684" s="3">
        <v>2</v>
      </c>
      <c r="J684" s="3">
        <v>10</v>
      </c>
      <c r="K684" s="9">
        <f t="shared" si="30"/>
        <v>9006.08</v>
      </c>
      <c r="L684" s="9">
        <f t="shared" si="31"/>
        <v>900.60800000000006</v>
      </c>
      <c r="M684" s="10">
        <f t="shared" si="32"/>
        <v>8105.4719999999998</v>
      </c>
      <c r="N684" s="3" t="s">
        <v>17</v>
      </c>
      <c r="O684" s="3" t="s">
        <v>27</v>
      </c>
      <c r="P684" s="3" t="s">
        <v>19</v>
      </c>
    </row>
    <row r="685" spans="1:16" x14ac:dyDescent="0.25">
      <c r="A685" s="2" t="s">
        <v>1024</v>
      </c>
      <c r="B685" s="4">
        <v>45719</v>
      </c>
      <c r="C685" s="2" t="s">
        <v>500</v>
      </c>
      <c r="D685" s="2" t="s">
        <v>22</v>
      </c>
      <c r="E685" s="2" t="s">
        <v>23</v>
      </c>
      <c r="F685" s="2" t="s">
        <v>43</v>
      </c>
      <c r="G685" s="2" t="s">
        <v>145</v>
      </c>
      <c r="H685" s="2">
        <v>12998.47</v>
      </c>
      <c r="I685" s="2">
        <v>1</v>
      </c>
      <c r="J685" s="2">
        <v>0</v>
      </c>
      <c r="K685" s="9">
        <f t="shared" si="30"/>
        <v>12998.47</v>
      </c>
      <c r="L685" s="9">
        <f t="shared" si="31"/>
        <v>0</v>
      </c>
      <c r="M685" s="10">
        <f t="shared" si="32"/>
        <v>12998.47</v>
      </c>
      <c r="N685" s="2" t="s">
        <v>68</v>
      </c>
      <c r="O685" s="2" t="s">
        <v>18</v>
      </c>
      <c r="P685" s="2" t="s">
        <v>34</v>
      </c>
    </row>
    <row r="686" spans="1:16" x14ac:dyDescent="0.25">
      <c r="A686" s="3" t="s">
        <v>1025</v>
      </c>
      <c r="B686" s="4">
        <v>45720</v>
      </c>
      <c r="C686" s="3" t="s">
        <v>1026</v>
      </c>
      <c r="D686" s="3" t="s">
        <v>100</v>
      </c>
      <c r="E686" s="3" t="s">
        <v>88</v>
      </c>
      <c r="F686" s="3" t="s">
        <v>72</v>
      </c>
      <c r="G686" s="3" t="s">
        <v>129</v>
      </c>
      <c r="H686" s="3">
        <v>1940.3</v>
      </c>
      <c r="I686" s="3">
        <v>5</v>
      </c>
      <c r="J686" s="3">
        <v>0</v>
      </c>
      <c r="K686" s="9">
        <f t="shared" si="30"/>
        <v>9701.5</v>
      </c>
      <c r="L686" s="9">
        <f t="shared" si="31"/>
        <v>0</v>
      </c>
      <c r="M686" s="10">
        <f t="shared" si="32"/>
        <v>9701.5</v>
      </c>
      <c r="N686" s="3" t="s">
        <v>38</v>
      </c>
      <c r="O686" s="3" t="s">
        <v>18</v>
      </c>
      <c r="P686" s="3" t="s">
        <v>34</v>
      </c>
    </row>
    <row r="687" spans="1:16" x14ac:dyDescent="0.25">
      <c r="A687" s="2" t="s">
        <v>1027</v>
      </c>
      <c r="B687" s="4">
        <v>45721</v>
      </c>
      <c r="C687" s="2" t="s">
        <v>942</v>
      </c>
      <c r="D687" s="2" t="s">
        <v>51</v>
      </c>
      <c r="E687" s="2" t="s">
        <v>14</v>
      </c>
      <c r="F687" s="2" t="s">
        <v>24</v>
      </c>
      <c r="G687" s="2" t="s">
        <v>170</v>
      </c>
      <c r="H687" s="2">
        <v>1114.17</v>
      </c>
      <c r="I687" s="2">
        <v>2</v>
      </c>
      <c r="J687" s="2">
        <v>0</v>
      </c>
      <c r="K687" s="9">
        <f t="shared" si="30"/>
        <v>2228.34</v>
      </c>
      <c r="L687" s="9">
        <f t="shared" si="31"/>
        <v>0</v>
      </c>
      <c r="M687" s="10">
        <f t="shared" si="32"/>
        <v>2228.34</v>
      </c>
      <c r="N687" s="2" t="s">
        <v>26</v>
      </c>
      <c r="O687" s="2" t="s">
        <v>18</v>
      </c>
      <c r="P687" s="2" t="s">
        <v>53</v>
      </c>
    </row>
    <row r="688" spans="1:16" x14ac:dyDescent="0.25">
      <c r="A688" s="3" t="s">
        <v>1028</v>
      </c>
      <c r="B688" s="4">
        <v>45722</v>
      </c>
      <c r="C688" s="3" t="s">
        <v>539</v>
      </c>
      <c r="D688" s="3" t="s">
        <v>22</v>
      </c>
      <c r="E688" s="3" t="s">
        <v>23</v>
      </c>
      <c r="F688" s="3" t="s">
        <v>36</v>
      </c>
      <c r="G688" s="3" t="s">
        <v>78</v>
      </c>
      <c r="H688" s="3">
        <v>89669.77</v>
      </c>
      <c r="I688" s="3">
        <v>4</v>
      </c>
      <c r="J688" s="3">
        <v>15</v>
      </c>
      <c r="K688" s="9">
        <f t="shared" si="30"/>
        <v>358679.08</v>
      </c>
      <c r="L688" s="9">
        <f t="shared" si="31"/>
        <v>53801.862000000001</v>
      </c>
      <c r="M688" s="10">
        <f t="shared" si="32"/>
        <v>304877.21799999999</v>
      </c>
      <c r="N688" s="3" t="s">
        <v>26</v>
      </c>
      <c r="O688" s="3" t="s">
        <v>18</v>
      </c>
      <c r="P688" s="3" t="s">
        <v>40</v>
      </c>
    </row>
    <row r="689" spans="1:16" x14ac:dyDescent="0.25">
      <c r="A689" s="2" t="s">
        <v>1029</v>
      </c>
      <c r="B689" s="4">
        <v>45723</v>
      </c>
      <c r="C689" s="2" t="s">
        <v>228</v>
      </c>
      <c r="D689" s="2" t="s">
        <v>13</v>
      </c>
      <c r="E689" s="2" t="s">
        <v>14</v>
      </c>
      <c r="F689" s="2" t="s">
        <v>43</v>
      </c>
      <c r="G689" s="2" t="s">
        <v>44</v>
      </c>
      <c r="H689" s="2">
        <v>3785.97</v>
      </c>
      <c r="I689" s="2">
        <v>1</v>
      </c>
      <c r="J689" s="2">
        <v>0</v>
      </c>
      <c r="K689" s="9">
        <f t="shared" si="30"/>
        <v>3785.97</v>
      </c>
      <c r="L689" s="9">
        <f t="shared" si="31"/>
        <v>0</v>
      </c>
      <c r="M689" s="10">
        <f t="shared" si="32"/>
        <v>3785.97</v>
      </c>
      <c r="N689" s="2" t="s">
        <v>38</v>
      </c>
      <c r="O689" s="2" t="s">
        <v>27</v>
      </c>
      <c r="P689" s="2" t="s">
        <v>40</v>
      </c>
    </row>
    <row r="690" spans="1:16" x14ac:dyDescent="0.25">
      <c r="A690" s="3" t="s">
        <v>1030</v>
      </c>
      <c r="B690" s="4">
        <v>45724</v>
      </c>
      <c r="C690" s="3" t="s">
        <v>628</v>
      </c>
      <c r="D690" s="3" t="s">
        <v>51</v>
      </c>
      <c r="E690" s="3" t="s">
        <v>14</v>
      </c>
      <c r="F690" s="3" t="s">
        <v>110</v>
      </c>
      <c r="G690" s="3" t="s">
        <v>153</v>
      </c>
      <c r="H690" s="3">
        <v>3279.35</v>
      </c>
      <c r="I690" s="3">
        <v>3</v>
      </c>
      <c r="J690" s="3">
        <v>10</v>
      </c>
      <c r="K690" s="9">
        <f t="shared" si="30"/>
        <v>9838.0499999999993</v>
      </c>
      <c r="L690" s="9">
        <f t="shared" si="31"/>
        <v>983.80499999999995</v>
      </c>
      <c r="M690" s="10">
        <f t="shared" si="32"/>
        <v>8854.244999999999</v>
      </c>
      <c r="N690" s="3" t="s">
        <v>68</v>
      </c>
      <c r="O690" s="3" t="s">
        <v>18</v>
      </c>
      <c r="P690" s="3" t="s">
        <v>34</v>
      </c>
    </row>
    <row r="691" spans="1:16" x14ac:dyDescent="0.25">
      <c r="A691" s="2" t="s">
        <v>1031</v>
      </c>
      <c r="B691" s="4">
        <v>45725</v>
      </c>
      <c r="C691" s="2" t="s">
        <v>316</v>
      </c>
      <c r="D691" s="2" t="s">
        <v>100</v>
      </c>
      <c r="E691" s="2" t="s">
        <v>88</v>
      </c>
      <c r="F691" s="2" t="s">
        <v>72</v>
      </c>
      <c r="G691" s="2" t="s">
        <v>73</v>
      </c>
      <c r="H691" s="2">
        <v>369.66</v>
      </c>
      <c r="I691" s="2">
        <v>5</v>
      </c>
      <c r="J691" s="2">
        <v>0</v>
      </c>
      <c r="K691" s="9">
        <f t="shared" si="30"/>
        <v>1848.3000000000002</v>
      </c>
      <c r="L691" s="9">
        <f t="shared" si="31"/>
        <v>0</v>
      </c>
      <c r="M691" s="10">
        <f t="shared" si="32"/>
        <v>1848.3000000000002</v>
      </c>
      <c r="N691" s="2" t="s">
        <v>17</v>
      </c>
      <c r="O691" s="2" t="s">
        <v>52</v>
      </c>
      <c r="P691" s="2" t="s">
        <v>40</v>
      </c>
    </row>
    <row r="692" spans="1:16" x14ac:dyDescent="0.25">
      <c r="A692" s="3" t="s">
        <v>1032</v>
      </c>
      <c r="B692" s="4">
        <v>45726</v>
      </c>
      <c r="C692" s="3" t="s">
        <v>734</v>
      </c>
      <c r="D692" s="3" t="s">
        <v>83</v>
      </c>
      <c r="E692" s="3" t="s">
        <v>84</v>
      </c>
      <c r="F692" s="3" t="s">
        <v>24</v>
      </c>
      <c r="G692" s="3" t="s">
        <v>170</v>
      </c>
      <c r="H692" s="3">
        <v>1125.97</v>
      </c>
      <c r="I692" s="3">
        <v>3</v>
      </c>
      <c r="J692" s="3">
        <v>0</v>
      </c>
      <c r="K692" s="9">
        <f t="shared" si="30"/>
        <v>3377.91</v>
      </c>
      <c r="L692" s="9">
        <f t="shared" si="31"/>
        <v>0</v>
      </c>
      <c r="M692" s="10">
        <f t="shared" si="32"/>
        <v>3377.91</v>
      </c>
      <c r="N692" s="3" t="s">
        <v>17</v>
      </c>
      <c r="O692" s="3" t="s">
        <v>18</v>
      </c>
      <c r="P692" s="3" t="s">
        <v>40</v>
      </c>
    </row>
    <row r="693" spans="1:16" x14ac:dyDescent="0.25">
      <c r="A693" s="2" t="s">
        <v>1033</v>
      </c>
      <c r="B693" s="4">
        <v>45727</v>
      </c>
      <c r="C693" s="2" t="s">
        <v>423</v>
      </c>
      <c r="D693" s="2" t="s">
        <v>76</v>
      </c>
      <c r="E693" s="2" t="s">
        <v>77</v>
      </c>
      <c r="F693" s="2" t="s">
        <v>31</v>
      </c>
      <c r="G693" s="2" t="s">
        <v>242</v>
      </c>
      <c r="H693" s="2">
        <v>843.32</v>
      </c>
      <c r="I693" s="2">
        <v>1</v>
      </c>
      <c r="J693" s="2">
        <v>0</v>
      </c>
      <c r="K693" s="9">
        <f t="shared" si="30"/>
        <v>843.32</v>
      </c>
      <c r="L693" s="9">
        <f t="shared" si="31"/>
        <v>0</v>
      </c>
      <c r="M693" s="10">
        <f t="shared" si="32"/>
        <v>843.32</v>
      </c>
      <c r="N693" s="2" t="s">
        <v>38</v>
      </c>
      <c r="O693" s="2" t="s">
        <v>18</v>
      </c>
      <c r="P693" s="2" t="s">
        <v>60</v>
      </c>
    </row>
    <row r="694" spans="1:16" x14ac:dyDescent="0.25">
      <c r="A694" s="3" t="s">
        <v>1034</v>
      </c>
      <c r="B694" s="4">
        <v>45728</v>
      </c>
      <c r="C694" s="3" t="s">
        <v>94</v>
      </c>
      <c r="D694" s="3" t="s">
        <v>65</v>
      </c>
      <c r="E694" s="3" t="s">
        <v>66</v>
      </c>
      <c r="F694" s="3" t="s">
        <v>36</v>
      </c>
      <c r="G694" s="3" t="s">
        <v>338</v>
      </c>
      <c r="H694" s="3">
        <v>60107</v>
      </c>
      <c r="I694" s="3">
        <v>1</v>
      </c>
      <c r="J694" s="3">
        <v>15</v>
      </c>
      <c r="K694" s="9">
        <f t="shared" si="30"/>
        <v>60107</v>
      </c>
      <c r="L694" s="9">
        <f t="shared" si="31"/>
        <v>9016.0499999999993</v>
      </c>
      <c r="M694" s="10">
        <f t="shared" si="32"/>
        <v>51090.95</v>
      </c>
      <c r="N694" s="3" t="s">
        <v>26</v>
      </c>
      <c r="O694" s="3" t="s">
        <v>18</v>
      </c>
      <c r="P694" s="3" t="s">
        <v>34</v>
      </c>
    </row>
    <row r="695" spans="1:16" x14ac:dyDescent="0.25">
      <c r="A695" s="2" t="s">
        <v>1035</v>
      </c>
      <c r="B695" s="4">
        <v>45729</v>
      </c>
      <c r="C695" s="2" t="s">
        <v>851</v>
      </c>
      <c r="D695" s="2" t="s">
        <v>13</v>
      </c>
      <c r="E695" s="2" t="s">
        <v>14</v>
      </c>
      <c r="F695" s="2" t="s">
        <v>36</v>
      </c>
      <c r="G695" s="2" t="s">
        <v>338</v>
      </c>
      <c r="H695" s="2">
        <v>64918.27</v>
      </c>
      <c r="I695" s="2">
        <v>4</v>
      </c>
      <c r="J695" s="2">
        <v>15</v>
      </c>
      <c r="K695" s="9">
        <f t="shared" si="30"/>
        <v>259673.08</v>
      </c>
      <c r="L695" s="9">
        <f t="shared" si="31"/>
        <v>38950.962</v>
      </c>
      <c r="M695" s="10">
        <f t="shared" si="32"/>
        <v>220722.11799999999</v>
      </c>
      <c r="N695" s="2" t="s">
        <v>33</v>
      </c>
      <c r="O695" s="2" t="s">
        <v>52</v>
      </c>
      <c r="P695" s="2" t="s">
        <v>34</v>
      </c>
    </row>
    <row r="696" spans="1:16" x14ac:dyDescent="0.25">
      <c r="A696" s="3" t="s">
        <v>1036</v>
      </c>
      <c r="B696" s="4">
        <v>45730</v>
      </c>
      <c r="C696" s="3" t="s">
        <v>1037</v>
      </c>
      <c r="D696" s="3" t="s">
        <v>83</v>
      </c>
      <c r="E696" s="3" t="s">
        <v>84</v>
      </c>
      <c r="F696" s="3" t="s">
        <v>43</v>
      </c>
      <c r="G696" s="3" t="s">
        <v>105</v>
      </c>
      <c r="H696" s="3">
        <v>3071.58</v>
      </c>
      <c r="I696" s="3">
        <v>4</v>
      </c>
      <c r="J696" s="3">
        <v>15</v>
      </c>
      <c r="K696" s="9">
        <f t="shared" si="30"/>
        <v>12286.32</v>
      </c>
      <c r="L696" s="9">
        <f t="shared" si="31"/>
        <v>1842.9479999999999</v>
      </c>
      <c r="M696" s="10">
        <f t="shared" si="32"/>
        <v>10443.371999999999</v>
      </c>
      <c r="N696" s="3" t="s">
        <v>68</v>
      </c>
      <c r="O696" s="3" t="s">
        <v>39</v>
      </c>
      <c r="P696" s="3" t="s">
        <v>60</v>
      </c>
    </row>
    <row r="697" spans="1:16" x14ac:dyDescent="0.25">
      <c r="A697" s="2" t="s">
        <v>1038</v>
      </c>
      <c r="B697" s="4">
        <v>45731</v>
      </c>
      <c r="C697" s="2" t="s">
        <v>1039</v>
      </c>
      <c r="D697" s="2" t="s">
        <v>13</v>
      </c>
      <c r="E697" s="2" t="s">
        <v>14</v>
      </c>
      <c r="F697" s="2" t="s">
        <v>15</v>
      </c>
      <c r="G697" s="2" t="s">
        <v>95</v>
      </c>
      <c r="H697" s="2">
        <v>1241.3</v>
      </c>
      <c r="I697" s="2">
        <v>4</v>
      </c>
      <c r="J697" s="2">
        <v>0</v>
      </c>
      <c r="K697" s="9">
        <f t="shared" si="30"/>
        <v>4965.2</v>
      </c>
      <c r="L697" s="9">
        <f t="shared" si="31"/>
        <v>0</v>
      </c>
      <c r="M697" s="10">
        <f t="shared" si="32"/>
        <v>4965.2</v>
      </c>
      <c r="N697" s="2" t="s">
        <v>17</v>
      </c>
      <c r="O697" s="2" t="s">
        <v>27</v>
      </c>
      <c r="P697" s="2" t="s">
        <v>40</v>
      </c>
    </row>
    <row r="698" spans="1:16" x14ac:dyDescent="0.25">
      <c r="A698" s="3" t="s">
        <v>1040</v>
      </c>
      <c r="B698" s="4">
        <v>45732</v>
      </c>
      <c r="C698" s="3" t="s">
        <v>541</v>
      </c>
      <c r="D698" s="3" t="s">
        <v>65</v>
      </c>
      <c r="E698" s="3" t="s">
        <v>66</v>
      </c>
      <c r="F698" s="3" t="s">
        <v>15</v>
      </c>
      <c r="G698" s="3" t="s">
        <v>56</v>
      </c>
      <c r="H698" s="3">
        <v>1971.93</v>
      </c>
      <c r="I698" s="3">
        <v>2</v>
      </c>
      <c r="J698" s="3">
        <v>0</v>
      </c>
      <c r="K698" s="9">
        <f t="shared" si="30"/>
        <v>3943.86</v>
      </c>
      <c r="L698" s="9">
        <f t="shared" si="31"/>
        <v>0</v>
      </c>
      <c r="M698" s="10">
        <f t="shared" si="32"/>
        <v>3943.86</v>
      </c>
      <c r="N698" s="3" t="s">
        <v>38</v>
      </c>
      <c r="O698" s="3" t="s">
        <v>18</v>
      </c>
      <c r="P698" s="3" t="s">
        <v>34</v>
      </c>
    </row>
    <row r="699" spans="1:16" x14ac:dyDescent="0.25">
      <c r="A699" s="2" t="s">
        <v>1041</v>
      </c>
      <c r="B699" s="4">
        <v>45733</v>
      </c>
      <c r="C699" s="2" t="s">
        <v>1042</v>
      </c>
      <c r="D699" s="2" t="s">
        <v>22</v>
      </c>
      <c r="E699" s="2" t="s">
        <v>23</v>
      </c>
      <c r="F699" s="2" t="s">
        <v>24</v>
      </c>
      <c r="G699" s="2" t="s">
        <v>134</v>
      </c>
      <c r="H699" s="2">
        <v>2612.6</v>
      </c>
      <c r="I699" s="2">
        <v>3</v>
      </c>
      <c r="J699" s="2">
        <v>15</v>
      </c>
      <c r="K699" s="9">
        <f t="shared" si="30"/>
        <v>7837.7999999999993</v>
      </c>
      <c r="L699" s="9">
        <f t="shared" si="31"/>
        <v>1175.6699999999998</v>
      </c>
      <c r="M699" s="10">
        <f t="shared" si="32"/>
        <v>6662.1299999999992</v>
      </c>
      <c r="N699" s="2" t="s">
        <v>17</v>
      </c>
      <c r="O699" s="2" t="s">
        <v>52</v>
      </c>
      <c r="P699" s="2" t="s">
        <v>34</v>
      </c>
    </row>
    <row r="700" spans="1:16" x14ac:dyDescent="0.25">
      <c r="A700" s="3" t="s">
        <v>1043</v>
      </c>
      <c r="B700" s="4">
        <v>45734</v>
      </c>
      <c r="C700" s="3" t="s">
        <v>1044</v>
      </c>
      <c r="D700" s="3" t="s">
        <v>76</v>
      </c>
      <c r="E700" s="3" t="s">
        <v>77</v>
      </c>
      <c r="F700" s="3" t="s">
        <v>15</v>
      </c>
      <c r="G700" s="3" t="s">
        <v>56</v>
      </c>
      <c r="H700" s="3">
        <v>1962.05</v>
      </c>
      <c r="I700" s="3">
        <v>4</v>
      </c>
      <c r="J700" s="3">
        <v>0</v>
      </c>
      <c r="K700" s="9">
        <f t="shared" si="30"/>
        <v>7848.2</v>
      </c>
      <c r="L700" s="9">
        <f t="shared" si="31"/>
        <v>0</v>
      </c>
      <c r="M700" s="10">
        <f t="shared" si="32"/>
        <v>7848.2</v>
      </c>
      <c r="N700" s="3" t="s">
        <v>38</v>
      </c>
      <c r="O700" s="3" t="s">
        <v>18</v>
      </c>
      <c r="P700" s="3" t="s">
        <v>60</v>
      </c>
    </row>
    <row r="701" spans="1:16" x14ac:dyDescent="0.25">
      <c r="A701" s="2" t="s">
        <v>1045</v>
      </c>
      <c r="B701" s="4">
        <v>45735</v>
      </c>
      <c r="C701" s="2" t="s">
        <v>295</v>
      </c>
      <c r="D701" s="2" t="s">
        <v>76</v>
      </c>
      <c r="E701" s="2" t="s">
        <v>77</v>
      </c>
      <c r="F701" s="2" t="s">
        <v>43</v>
      </c>
      <c r="G701" s="2" t="s">
        <v>127</v>
      </c>
      <c r="H701" s="2">
        <v>5641.21</v>
      </c>
      <c r="I701" s="2">
        <v>2</v>
      </c>
      <c r="J701" s="2">
        <v>0</v>
      </c>
      <c r="K701" s="9">
        <f t="shared" si="30"/>
        <v>11282.42</v>
      </c>
      <c r="L701" s="9">
        <f t="shared" si="31"/>
        <v>0</v>
      </c>
      <c r="M701" s="10">
        <f t="shared" si="32"/>
        <v>11282.42</v>
      </c>
      <c r="N701" s="2" t="s">
        <v>68</v>
      </c>
      <c r="O701" s="2" t="s">
        <v>27</v>
      </c>
      <c r="P701" s="2" t="s">
        <v>40</v>
      </c>
    </row>
    <row r="702" spans="1:16" x14ac:dyDescent="0.25">
      <c r="A702" s="3" t="s">
        <v>1046</v>
      </c>
      <c r="B702" s="4">
        <v>45736</v>
      </c>
      <c r="C702" s="3" t="s">
        <v>550</v>
      </c>
      <c r="D702" s="3" t="s">
        <v>13</v>
      </c>
      <c r="E702" s="3" t="s">
        <v>14</v>
      </c>
      <c r="F702" s="3" t="s">
        <v>24</v>
      </c>
      <c r="G702" s="3" t="s">
        <v>134</v>
      </c>
      <c r="H702" s="3">
        <v>2552.29</v>
      </c>
      <c r="I702" s="3">
        <v>3</v>
      </c>
      <c r="J702" s="3">
        <v>0</v>
      </c>
      <c r="K702" s="9">
        <f t="shared" si="30"/>
        <v>7656.87</v>
      </c>
      <c r="L702" s="9">
        <f t="shared" si="31"/>
        <v>0</v>
      </c>
      <c r="M702" s="10">
        <f t="shared" si="32"/>
        <v>7656.87</v>
      </c>
      <c r="N702" s="3" t="s">
        <v>38</v>
      </c>
      <c r="O702" s="3" t="s">
        <v>52</v>
      </c>
      <c r="P702" s="3" t="s">
        <v>19</v>
      </c>
    </row>
    <row r="703" spans="1:16" x14ac:dyDescent="0.25">
      <c r="A703" s="2" t="s">
        <v>1047</v>
      </c>
      <c r="B703" s="4">
        <v>45737</v>
      </c>
      <c r="C703" s="2" t="s">
        <v>1048</v>
      </c>
      <c r="D703" s="2" t="s">
        <v>83</v>
      </c>
      <c r="E703" s="2" t="s">
        <v>84</v>
      </c>
      <c r="F703" s="2" t="s">
        <v>72</v>
      </c>
      <c r="G703" s="2" t="s">
        <v>129</v>
      </c>
      <c r="H703" s="2">
        <v>1905.38</v>
      </c>
      <c r="I703" s="2">
        <v>2</v>
      </c>
      <c r="J703" s="2">
        <v>0</v>
      </c>
      <c r="K703" s="9">
        <f t="shared" si="30"/>
        <v>3810.76</v>
      </c>
      <c r="L703" s="9">
        <f t="shared" si="31"/>
        <v>0</v>
      </c>
      <c r="M703" s="10">
        <f t="shared" si="32"/>
        <v>3810.76</v>
      </c>
      <c r="N703" s="2" t="s">
        <v>33</v>
      </c>
      <c r="O703" s="2" t="s">
        <v>18</v>
      </c>
      <c r="P703" s="2" t="s">
        <v>19</v>
      </c>
    </row>
    <row r="704" spans="1:16" x14ac:dyDescent="0.25">
      <c r="A704" s="3" t="s">
        <v>1049</v>
      </c>
      <c r="B704" s="4">
        <v>45738</v>
      </c>
      <c r="C704" s="3" t="s">
        <v>641</v>
      </c>
      <c r="D704" s="3" t="s">
        <v>83</v>
      </c>
      <c r="E704" s="3" t="s">
        <v>84</v>
      </c>
      <c r="F704" s="3" t="s">
        <v>110</v>
      </c>
      <c r="G704" s="3" t="s">
        <v>207</v>
      </c>
      <c r="H704" s="3">
        <v>9269.39</v>
      </c>
      <c r="I704" s="3">
        <v>1</v>
      </c>
      <c r="J704" s="3">
        <v>0</v>
      </c>
      <c r="K704" s="9">
        <f t="shared" si="30"/>
        <v>9269.39</v>
      </c>
      <c r="L704" s="9">
        <f t="shared" si="31"/>
        <v>0</v>
      </c>
      <c r="M704" s="10">
        <f t="shared" si="32"/>
        <v>9269.39</v>
      </c>
      <c r="N704" s="3" t="s">
        <v>68</v>
      </c>
      <c r="O704" s="3" t="s">
        <v>18</v>
      </c>
      <c r="P704" s="3" t="s">
        <v>60</v>
      </c>
    </row>
    <row r="705" spans="1:16" x14ac:dyDescent="0.25">
      <c r="A705" s="2" t="s">
        <v>1050</v>
      </c>
      <c r="B705" s="4">
        <v>45739</v>
      </c>
      <c r="C705" s="2" t="s">
        <v>457</v>
      </c>
      <c r="D705" s="2" t="s">
        <v>76</v>
      </c>
      <c r="E705" s="2" t="s">
        <v>77</v>
      </c>
      <c r="F705" s="2" t="s">
        <v>36</v>
      </c>
      <c r="G705" s="2" t="s">
        <v>78</v>
      </c>
      <c r="H705" s="2">
        <v>79506.78</v>
      </c>
      <c r="I705" s="2">
        <v>3</v>
      </c>
      <c r="J705" s="2">
        <v>0</v>
      </c>
      <c r="K705" s="9">
        <f t="shared" si="30"/>
        <v>238520.34</v>
      </c>
      <c r="L705" s="9">
        <f t="shared" si="31"/>
        <v>0</v>
      </c>
      <c r="M705" s="10">
        <f t="shared" si="32"/>
        <v>238520.34</v>
      </c>
      <c r="N705" s="2" t="s">
        <v>26</v>
      </c>
      <c r="O705" s="2" t="s">
        <v>18</v>
      </c>
      <c r="P705" s="2" t="s">
        <v>60</v>
      </c>
    </row>
    <row r="706" spans="1:16" x14ac:dyDescent="0.25">
      <c r="A706" s="3" t="s">
        <v>1051</v>
      </c>
      <c r="B706" s="4">
        <v>45740</v>
      </c>
      <c r="C706" s="3" t="s">
        <v>495</v>
      </c>
      <c r="D706" s="3" t="s">
        <v>65</v>
      </c>
      <c r="E706" s="3" t="s">
        <v>66</v>
      </c>
      <c r="F706" s="3" t="s">
        <v>43</v>
      </c>
      <c r="G706" s="3" t="s">
        <v>44</v>
      </c>
      <c r="H706" s="3">
        <v>3548.2</v>
      </c>
      <c r="I706" s="3">
        <v>4</v>
      </c>
      <c r="J706" s="3">
        <v>10</v>
      </c>
      <c r="K706" s="9">
        <f t="shared" ref="K706:K769" si="33">I706*H706</f>
        <v>14192.8</v>
      </c>
      <c r="L706" s="9">
        <f t="shared" ref="L706:L769" si="34">K706*J706/100</f>
        <v>1419.28</v>
      </c>
      <c r="M706" s="10">
        <f t="shared" ref="M706:M769" si="35">K706-L706</f>
        <v>12773.519999999999</v>
      </c>
      <c r="N706" s="3" t="s">
        <v>17</v>
      </c>
      <c r="O706" s="3" t="s">
        <v>27</v>
      </c>
      <c r="P706" s="3" t="s">
        <v>19</v>
      </c>
    </row>
    <row r="707" spans="1:16" x14ac:dyDescent="0.25">
      <c r="A707" s="2" t="s">
        <v>1052</v>
      </c>
      <c r="B707" s="4">
        <v>45741</v>
      </c>
      <c r="C707" s="2" t="s">
        <v>155</v>
      </c>
      <c r="D707" s="2" t="s">
        <v>83</v>
      </c>
      <c r="E707" s="2" t="s">
        <v>84</v>
      </c>
      <c r="F707" s="2" t="s">
        <v>72</v>
      </c>
      <c r="G707" s="2" t="s">
        <v>102</v>
      </c>
      <c r="H707" s="2">
        <v>650.87</v>
      </c>
      <c r="I707" s="2">
        <v>4</v>
      </c>
      <c r="J707" s="2">
        <v>10</v>
      </c>
      <c r="K707" s="9">
        <f t="shared" si="33"/>
        <v>2603.48</v>
      </c>
      <c r="L707" s="9">
        <f t="shared" si="34"/>
        <v>260.34800000000001</v>
      </c>
      <c r="M707" s="10">
        <f t="shared" si="35"/>
        <v>2343.1320000000001</v>
      </c>
      <c r="N707" s="2" t="s">
        <v>33</v>
      </c>
      <c r="O707" s="2" t="s">
        <v>52</v>
      </c>
      <c r="P707" s="2" t="s">
        <v>60</v>
      </c>
    </row>
    <row r="708" spans="1:16" x14ac:dyDescent="0.25">
      <c r="A708" s="3" t="s">
        <v>1053</v>
      </c>
      <c r="B708" s="4">
        <v>45742</v>
      </c>
      <c r="C708" s="3" t="s">
        <v>680</v>
      </c>
      <c r="D708" s="3" t="s">
        <v>47</v>
      </c>
      <c r="E708" s="3" t="s">
        <v>48</v>
      </c>
      <c r="F708" s="3" t="s">
        <v>31</v>
      </c>
      <c r="G708" s="3" t="s">
        <v>32</v>
      </c>
      <c r="H708" s="3">
        <v>2264.0700000000002</v>
      </c>
      <c r="I708" s="3">
        <v>1</v>
      </c>
      <c r="J708" s="3">
        <v>0</v>
      </c>
      <c r="K708" s="9">
        <f t="shared" si="33"/>
        <v>2264.0700000000002</v>
      </c>
      <c r="L708" s="9">
        <f t="shared" si="34"/>
        <v>0</v>
      </c>
      <c r="M708" s="10">
        <f t="shared" si="35"/>
        <v>2264.0700000000002</v>
      </c>
      <c r="N708" s="3" t="s">
        <v>38</v>
      </c>
      <c r="O708" s="3" t="s">
        <v>18</v>
      </c>
      <c r="P708" s="3" t="s">
        <v>19</v>
      </c>
    </row>
    <row r="709" spans="1:16" x14ac:dyDescent="0.25">
      <c r="A709" s="2" t="s">
        <v>1054</v>
      </c>
      <c r="B709" s="4">
        <v>45743</v>
      </c>
      <c r="C709" s="2" t="s">
        <v>336</v>
      </c>
      <c r="D709" s="2" t="s">
        <v>65</v>
      </c>
      <c r="E709" s="2" t="s">
        <v>66</v>
      </c>
      <c r="F709" s="2" t="s">
        <v>36</v>
      </c>
      <c r="G709" s="2" t="s">
        <v>37</v>
      </c>
      <c r="H709" s="2">
        <v>11628.34</v>
      </c>
      <c r="I709" s="2">
        <v>3</v>
      </c>
      <c r="J709" s="2">
        <v>0</v>
      </c>
      <c r="K709" s="9">
        <f t="shared" si="33"/>
        <v>34885.020000000004</v>
      </c>
      <c r="L709" s="9">
        <f t="shared" si="34"/>
        <v>0</v>
      </c>
      <c r="M709" s="10">
        <f t="shared" si="35"/>
        <v>34885.020000000004</v>
      </c>
      <c r="N709" s="2" t="s">
        <v>38</v>
      </c>
      <c r="O709" s="2" t="s">
        <v>18</v>
      </c>
      <c r="P709" s="2" t="s">
        <v>53</v>
      </c>
    </row>
    <row r="710" spans="1:16" x14ac:dyDescent="0.25">
      <c r="A710" s="3" t="s">
        <v>1055</v>
      </c>
      <c r="B710" s="4">
        <v>45744</v>
      </c>
      <c r="C710" s="3" t="s">
        <v>605</v>
      </c>
      <c r="D710" s="3" t="s">
        <v>47</v>
      </c>
      <c r="E710" s="3" t="s">
        <v>48</v>
      </c>
      <c r="F710" s="3" t="s">
        <v>110</v>
      </c>
      <c r="G710" s="3" t="s">
        <v>207</v>
      </c>
      <c r="H710" s="3">
        <v>9197.66</v>
      </c>
      <c r="I710" s="3">
        <v>1</v>
      </c>
      <c r="J710" s="3">
        <v>0</v>
      </c>
      <c r="K710" s="9">
        <f t="shared" si="33"/>
        <v>9197.66</v>
      </c>
      <c r="L710" s="9">
        <f t="shared" si="34"/>
        <v>0</v>
      </c>
      <c r="M710" s="10">
        <f t="shared" si="35"/>
        <v>9197.66</v>
      </c>
      <c r="N710" s="3" t="s">
        <v>68</v>
      </c>
      <c r="O710" s="3" t="s">
        <v>18</v>
      </c>
      <c r="P710" s="3" t="s">
        <v>53</v>
      </c>
    </row>
    <row r="711" spans="1:16" x14ac:dyDescent="0.25">
      <c r="A711" s="2" t="s">
        <v>1056</v>
      </c>
      <c r="B711" s="4">
        <v>45745</v>
      </c>
      <c r="C711" s="2" t="s">
        <v>641</v>
      </c>
      <c r="D711" s="2" t="s">
        <v>13</v>
      </c>
      <c r="E711" s="2" t="s">
        <v>14</v>
      </c>
      <c r="F711" s="2" t="s">
        <v>43</v>
      </c>
      <c r="G711" s="2" t="s">
        <v>145</v>
      </c>
      <c r="H711" s="2">
        <v>12163.32</v>
      </c>
      <c r="I711" s="2">
        <v>4</v>
      </c>
      <c r="J711" s="2">
        <v>10</v>
      </c>
      <c r="K711" s="9">
        <f t="shared" si="33"/>
        <v>48653.279999999999</v>
      </c>
      <c r="L711" s="9">
        <f t="shared" si="34"/>
        <v>4865.3279999999995</v>
      </c>
      <c r="M711" s="10">
        <f t="shared" si="35"/>
        <v>43787.951999999997</v>
      </c>
      <c r="N711" s="2" t="s">
        <v>68</v>
      </c>
      <c r="O711" s="2" t="s">
        <v>27</v>
      </c>
      <c r="P711" s="2" t="s">
        <v>60</v>
      </c>
    </row>
    <row r="712" spans="1:16" x14ac:dyDescent="0.25">
      <c r="A712" s="3" t="s">
        <v>1057</v>
      </c>
      <c r="B712" s="4">
        <v>45746</v>
      </c>
      <c r="C712" s="3" t="s">
        <v>610</v>
      </c>
      <c r="D712" s="3" t="s">
        <v>65</v>
      </c>
      <c r="E712" s="3" t="s">
        <v>66</v>
      </c>
      <c r="F712" s="3" t="s">
        <v>110</v>
      </c>
      <c r="G712" s="3" t="s">
        <v>67</v>
      </c>
      <c r="H712" s="3">
        <v>4340.18</v>
      </c>
      <c r="I712" s="3">
        <v>1</v>
      </c>
      <c r="J712" s="3">
        <v>0</v>
      </c>
      <c r="K712" s="9">
        <f t="shared" si="33"/>
        <v>4340.18</v>
      </c>
      <c r="L712" s="9">
        <f t="shared" si="34"/>
        <v>0</v>
      </c>
      <c r="M712" s="10">
        <f t="shared" si="35"/>
        <v>4340.18</v>
      </c>
      <c r="N712" s="3" t="s">
        <v>68</v>
      </c>
      <c r="O712" s="3" t="s">
        <v>27</v>
      </c>
      <c r="P712" s="3" t="s">
        <v>53</v>
      </c>
    </row>
    <row r="713" spans="1:16" x14ac:dyDescent="0.25">
      <c r="A713" s="2" t="s">
        <v>1058</v>
      </c>
      <c r="B713" s="4">
        <v>45747</v>
      </c>
      <c r="C713" s="2" t="s">
        <v>700</v>
      </c>
      <c r="D713" s="2" t="s">
        <v>87</v>
      </c>
      <c r="E713" s="2" t="s">
        <v>88</v>
      </c>
      <c r="F713" s="2" t="s">
        <v>24</v>
      </c>
      <c r="G713" s="2" t="s">
        <v>59</v>
      </c>
      <c r="H713" s="2">
        <v>4799.5200000000004</v>
      </c>
      <c r="I713" s="2">
        <v>4</v>
      </c>
      <c r="J713" s="2">
        <v>10</v>
      </c>
      <c r="K713" s="9">
        <f t="shared" si="33"/>
        <v>19198.080000000002</v>
      </c>
      <c r="L713" s="9">
        <f t="shared" si="34"/>
        <v>1919.8080000000002</v>
      </c>
      <c r="M713" s="10">
        <f t="shared" si="35"/>
        <v>17278.272000000001</v>
      </c>
      <c r="N713" s="2" t="s">
        <v>33</v>
      </c>
      <c r="O713" s="2" t="s">
        <v>27</v>
      </c>
      <c r="P713" s="2" t="s">
        <v>40</v>
      </c>
    </row>
    <row r="714" spans="1:16" x14ac:dyDescent="0.25">
      <c r="A714" s="3" t="s">
        <v>1059</v>
      </c>
      <c r="B714" s="4">
        <v>45748</v>
      </c>
      <c r="C714" s="3" t="s">
        <v>297</v>
      </c>
      <c r="D714" s="3" t="s">
        <v>47</v>
      </c>
      <c r="E714" s="3" t="s">
        <v>48</v>
      </c>
      <c r="F714" s="3" t="s">
        <v>36</v>
      </c>
      <c r="G714" s="3" t="s">
        <v>338</v>
      </c>
      <c r="H714" s="3">
        <v>71450.960000000006</v>
      </c>
      <c r="I714" s="3">
        <v>4</v>
      </c>
      <c r="J714" s="3">
        <v>15</v>
      </c>
      <c r="K714" s="9">
        <f t="shared" si="33"/>
        <v>285803.84000000003</v>
      </c>
      <c r="L714" s="9">
        <f t="shared" si="34"/>
        <v>42870.576000000008</v>
      </c>
      <c r="M714" s="10">
        <f t="shared" si="35"/>
        <v>242933.26400000002</v>
      </c>
      <c r="N714" s="3" t="s">
        <v>17</v>
      </c>
      <c r="O714" s="3" t="s">
        <v>27</v>
      </c>
      <c r="P714" s="3" t="s">
        <v>40</v>
      </c>
    </row>
    <row r="715" spans="1:16" x14ac:dyDescent="0.25">
      <c r="A715" s="2" t="s">
        <v>1060</v>
      </c>
      <c r="B715" s="4">
        <v>45749</v>
      </c>
      <c r="C715" s="2" t="s">
        <v>1061</v>
      </c>
      <c r="D715" s="2" t="s">
        <v>29</v>
      </c>
      <c r="E715" s="2" t="s">
        <v>30</v>
      </c>
      <c r="F715" s="2" t="s">
        <v>31</v>
      </c>
      <c r="G715" s="2" t="s">
        <v>116</v>
      </c>
      <c r="H715" s="2">
        <v>1096.1400000000001</v>
      </c>
      <c r="I715" s="2">
        <v>5</v>
      </c>
      <c r="J715" s="2">
        <v>0</v>
      </c>
      <c r="K715" s="9">
        <f t="shared" si="33"/>
        <v>5480.7000000000007</v>
      </c>
      <c r="L715" s="9">
        <f t="shared" si="34"/>
        <v>0</v>
      </c>
      <c r="M715" s="10">
        <f t="shared" si="35"/>
        <v>5480.7000000000007</v>
      </c>
      <c r="N715" s="2" t="s">
        <v>33</v>
      </c>
      <c r="O715" s="2" t="s">
        <v>18</v>
      </c>
      <c r="P715" s="2" t="s">
        <v>34</v>
      </c>
    </row>
    <row r="716" spans="1:16" x14ac:dyDescent="0.25">
      <c r="A716" s="3" t="s">
        <v>1062</v>
      </c>
      <c r="B716" s="4">
        <v>45750</v>
      </c>
      <c r="C716" s="3" t="s">
        <v>118</v>
      </c>
      <c r="D716" s="3" t="s">
        <v>83</v>
      </c>
      <c r="E716" s="3" t="s">
        <v>84</v>
      </c>
      <c r="F716" s="3" t="s">
        <v>72</v>
      </c>
      <c r="G716" s="3" t="s">
        <v>137</v>
      </c>
      <c r="H716" s="3">
        <v>2170.48</v>
      </c>
      <c r="I716" s="3">
        <v>5</v>
      </c>
      <c r="J716" s="3">
        <v>0</v>
      </c>
      <c r="K716" s="9">
        <f t="shared" si="33"/>
        <v>10852.4</v>
      </c>
      <c r="L716" s="9">
        <f t="shared" si="34"/>
        <v>0</v>
      </c>
      <c r="M716" s="10">
        <f t="shared" si="35"/>
        <v>10852.4</v>
      </c>
      <c r="N716" s="3" t="s">
        <v>26</v>
      </c>
      <c r="O716" s="3" t="s">
        <v>18</v>
      </c>
      <c r="P716" s="3" t="s">
        <v>60</v>
      </c>
    </row>
    <row r="717" spans="1:16" x14ac:dyDescent="0.25">
      <c r="A717" s="2" t="s">
        <v>1063</v>
      </c>
      <c r="B717" s="4">
        <v>45751</v>
      </c>
      <c r="C717" s="2" t="s">
        <v>275</v>
      </c>
      <c r="D717" s="2" t="s">
        <v>76</v>
      </c>
      <c r="E717" s="2" t="s">
        <v>77</v>
      </c>
      <c r="F717" s="2" t="s">
        <v>15</v>
      </c>
      <c r="G717" s="2" t="s">
        <v>56</v>
      </c>
      <c r="H717" s="2">
        <v>1685.02</v>
      </c>
      <c r="I717" s="2">
        <v>1</v>
      </c>
      <c r="J717" s="2">
        <v>10</v>
      </c>
      <c r="K717" s="9">
        <f t="shared" si="33"/>
        <v>1685.02</v>
      </c>
      <c r="L717" s="9">
        <f t="shared" si="34"/>
        <v>168.50200000000001</v>
      </c>
      <c r="M717" s="10">
        <f t="shared" si="35"/>
        <v>1516.518</v>
      </c>
      <c r="N717" s="2" t="s">
        <v>17</v>
      </c>
      <c r="O717" s="2" t="s">
        <v>39</v>
      </c>
      <c r="P717" s="2" t="s">
        <v>53</v>
      </c>
    </row>
    <row r="718" spans="1:16" x14ac:dyDescent="0.25">
      <c r="A718" s="3" t="s">
        <v>1064</v>
      </c>
      <c r="B718" s="4">
        <v>45752</v>
      </c>
      <c r="C718" s="3" t="s">
        <v>480</v>
      </c>
      <c r="D718" s="3" t="s">
        <v>76</v>
      </c>
      <c r="E718" s="3" t="s">
        <v>77</v>
      </c>
      <c r="F718" s="3" t="s">
        <v>31</v>
      </c>
      <c r="G718" s="3" t="s">
        <v>242</v>
      </c>
      <c r="H718" s="3">
        <v>955.61</v>
      </c>
      <c r="I718" s="3">
        <v>4</v>
      </c>
      <c r="J718" s="3">
        <v>0</v>
      </c>
      <c r="K718" s="9">
        <f t="shared" si="33"/>
        <v>3822.44</v>
      </c>
      <c r="L718" s="9">
        <f t="shared" si="34"/>
        <v>0</v>
      </c>
      <c r="M718" s="10">
        <f t="shared" si="35"/>
        <v>3822.44</v>
      </c>
      <c r="N718" s="3" t="s">
        <v>68</v>
      </c>
      <c r="O718" s="3" t="s">
        <v>52</v>
      </c>
      <c r="P718" s="3" t="s">
        <v>53</v>
      </c>
    </row>
    <row r="719" spans="1:16" x14ac:dyDescent="0.25">
      <c r="A719" s="2" t="s">
        <v>1065</v>
      </c>
      <c r="B719" s="4">
        <v>45753</v>
      </c>
      <c r="C719" s="2" t="s">
        <v>660</v>
      </c>
      <c r="D719" s="2" t="s">
        <v>51</v>
      </c>
      <c r="E719" s="2" t="s">
        <v>14</v>
      </c>
      <c r="F719" s="2" t="s">
        <v>24</v>
      </c>
      <c r="G719" s="2" t="s">
        <v>170</v>
      </c>
      <c r="H719" s="2">
        <v>1244.47</v>
      </c>
      <c r="I719" s="2">
        <v>3</v>
      </c>
      <c r="J719" s="2">
        <v>15</v>
      </c>
      <c r="K719" s="9">
        <f t="shared" si="33"/>
        <v>3733.41</v>
      </c>
      <c r="L719" s="9">
        <f t="shared" si="34"/>
        <v>560.01149999999996</v>
      </c>
      <c r="M719" s="10">
        <f t="shared" si="35"/>
        <v>3173.3984999999998</v>
      </c>
      <c r="N719" s="2" t="s">
        <v>33</v>
      </c>
      <c r="O719" s="2" t="s">
        <v>18</v>
      </c>
      <c r="P719" s="2" t="s">
        <v>40</v>
      </c>
    </row>
    <row r="720" spans="1:16" x14ac:dyDescent="0.25">
      <c r="A720" s="3" t="s">
        <v>1066</v>
      </c>
      <c r="B720" s="4">
        <v>45754</v>
      </c>
      <c r="C720" s="3" t="s">
        <v>277</v>
      </c>
      <c r="D720" s="3" t="s">
        <v>47</v>
      </c>
      <c r="E720" s="3" t="s">
        <v>48</v>
      </c>
      <c r="F720" s="3" t="s">
        <v>72</v>
      </c>
      <c r="G720" s="3" t="s">
        <v>137</v>
      </c>
      <c r="H720" s="3">
        <v>2264.2600000000002</v>
      </c>
      <c r="I720" s="3">
        <v>3</v>
      </c>
      <c r="J720" s="3">
        <v>0</v>
      </c>
      <c r="K720" s="9">
        <f t="shared" si="33"/>
        <v>6792.7800000000007</v>
      </c>
      <c r="L720" s="9">
        <f t="shared" si="34"/>
        <v>0</v>
      </c>
      <c r="M720" s="10">
        <f t="shared" si="35"/>
        <v>6792.7800000000007</v>
      </c>
      <c r="N720" s="3" t="s">
        <v>17</v>
      </c>
      <c r="O720" s="3" t="s">
        <v>18</v>
      </c>
      <c r="P720" s="3" t="s">
        <v>60</v>
      </c>
    </row>
    <row r="721" spans="1:16" x14ac:dyDescent="0.25">
      <c r="A721" s="2" t="s">
        <v>1067</v>
      </c>
      <c r="B721" s="4">
        <v>45755</v>
      </c>
      <c r="C721" s="2" t="s">
        <v>545</v>
      </c>
      <c r="D721" s="2" t="s">
        <v>51</v>
      </c>
      <c r="E721" s="2" t="s">
        <v>14</v>
      </c>
      <c r="F721" s="2" t="s">
        <v>36</v>
      </c>
      <c r="G721" s="2" t="s">
        <v>49</v>
      </c>
      <c r="H721" s="2">
        <v>158911.34</v>
      </c>
      <c r="I721" s="2">
        <v>3</v>
      </c>
      <c r="J721" s="2">
        <v>5</v>
      </c>
      <c r="K721" s="9">
        <f t="shared" si="33"/>
        <v>476734.02</v>
      </c>
      <c r="L721" s="9">
        <f t="shared" si="34"/>
        <v>23836.701000000001</v>
      </c>
      <c r="M721" s="10">
        <f t="shared" si="35"/>
        <v>452897.31900000002</v>
      </c>
      <c r="N721" s="2" t="s">
        <v>33</v>
      </c>
      <c r="O721" s="2" t="s">
        <v>52</v>
      </c>
      <c r="P721" s="2" t="s">
        <v>60</v>
      </c>
    </row>
    <row r="722" spans="1:16" x14ac:dyDescent="0.25">
      <c r="A722" s="3" t="s">
        <v>1068</v>
      </c>
      <c r="B722" s="4">
        <v>45756</v>
      </c>
      <c r="C722" s="3" t="s">
        <v>290</v>
      </c>
      <c r="D722" s="3" t="s">
        <v>51</v>
      </c>
      <c r="E722" s="3" t="s">
        <v>14</v>
      </c>
      <c r="F722" s="3" t="s">
        <v>24</v>
      </c>
      <c r="G722" s="3" t="s">
        <v>108</v>
      </c>
      <c r="H722" s="3">
        <v>7418.29</v>
      </c>
      <c r="I722" s="3">
        <v>3</v>
      </c>
      <c r="J722" s="3">
        <v>15</v>
      </c>
      <c r="K722" s="9">
        <f t="shared" si="33"/>
        <v>22254.87</v>
      </c>
      <c r="L722" s="9">
        <f t="shared" si="34"/>
        <v>3338.2304999999997</v>
      </c>
      <c r="M722" s="10">
        <f t="shared" si="35"/>
        <v>18916.639499999997</v>
      </c>
      <c r="N722" s="3" t="s">
        <v>17</v>
      </c>
      <c r="O722" s="3" t="s">
        <v>18</v>
      </c>
      <c r="P722" s="3" t="s">
        <v>40</v>
      </c>
    </row>
    <row r="723" spans="1:16" x14ac:dyDescent="0.25">
      <c r="A723" s="2" t="s">
        <v>1069</v>
      </c>
      <c r="B723" s="4">
        <v>45757</v>
      </c>
      <c r="C723" s="2" t="s">
        <v>721</v>
      </c>
      <c r="D723" s="2" t="s">
        <v>13</v>
      </c>
      <c r="E723" s="2" t="s">
        <v>14</v>
      </c>
      <c r="F723" s="2" t="s">
        <v>72</v>
      </c>
      <c r="G723" s="2" t="s">
        <v>81</v>
      </c>
      <c r="H723" s="2">
        <v>1444.17</v>
      </c>
      <c r="I723" s="2">
        <v>3</v>
      </c>
      <c r="J723" s="2">
        <v>5</v>
      </c>
      <c r="K723" s="9">
        <f t="shared" si="33"/>
        <v>4332.51</v>
      </c>
      <c r="L723" s="9">
        <f t="shared" si="34"/>
        <v>216.62550000000002</v>
      </c>
      <c r="M723" s="10">
        <f t="shared" si="35"/>
        <v>4115.8845000000001</v>
      </c>
      <c r="N723" s="2" t="s">
        <v>33</v>
      </c>
      <c r="O723" s="2" t="s">
        <v>18</v>
      </c>
      <c r="P723" s="2" t="s">
        <v>40</v>
      </c>
    </row>
    <row r="724" spans="1:16" x14ac:dyDescent="0.25">
      <c r="A724" s="3" t="s">
        <v>1070</v>
      </c>
      <c r="B724" s="4">
        <v>45758</v>
      </c>
      <c r="C724" s="3" t="s">
        <v>248</v>
      </c>
      <c r="D724" s="3" t="s">
        <v>51</v>
      </c>
      <c r="E724" s="3" t="s">
        <v>14</v>
      </c>
      <c r="F724" s="3" t="s">
        <v>36</v>
      </c>
      <c r="G724" s="3" t="s">
        <v>113</v>
      </c>
      <c r="H724" s="3">
        <v>125627.53</v>
      </c>
      <c r="I724" s="3">
        <v>1</v>
      </c>
      <c r="J724" s="3">
        <v>0</v>
      </c>
      <c r="K724" s="9">
        <f t="shared" si="33"/>
        <v>125627.53</v>
      </c>
      <c r="L724" s="9">
        <f t="shared" si="34"/>
        <v>0</v>
      </c>
      <c r="M724" s="10">
        <f t="shared" si="35"/>
        <v>125627.53</v>
      </c>
      <c r="N724" s="3" t="s">
        <v>17</v>
      </c>
      <c r="O724" s="3" t="s">
        <v>39</v>
      </c>
      <c r="P724" s="3" t="s">
        <v>19</v>
      </c>
    </row>
    <row r="725" spans="1:16" x14ac:dyDescent="0.25">
      <c r="A725" s="2" t="s">
        <v>1071</v>
      </c>
      <c r="B725" s="4">
        <v>45759</v>
      </c>
      <c r="C725" s="2" t="s">
        <v>919</v>
      </c>
      <c r="D725" s="2" t="s">
        <v>51</v>
      </c>
      <c r="E725" s="2" t="s">
        <v>14</v>
      </c>
      <c r="F725" s="2" t="s">
        <v>110</v>
      </c>
      <c r="G725" s="2" t="s">
        <v>207</v>
      </c>
      <c r="H725" s="2">
        <v>8964.42</v>
      </c>
      <c r="I725" s="2">
        <v>3</v>
      </c>
      <c r="J725" s="2">
        <v>15</v>
      </c>
      <c r="K725" s="9">
        <f t="shared" si="33"/>
        <v>26893.260000000002</v>
      </c>
      <c r="L725" s="9">
        <f t="shared" si="34"/>
        <v>4033.989</v>
      </c>
      <c r="M725" s="10">
        <f t="shared" si="35"/>
        <v>22859.271000000001</v>
      </c>
      <c r="N725" s="2" t="s">
        <v>17</v>
      </c>
      <c r="O725" s="2" t="s">
        <v>27</v>
      </c>
      <c r="P725" s="2" t="s">
        <v>60</v>
      </c>
    </row>
    <row r="726" spans="1:16" x14ac:dyDescent="0.25">
      <c r="A726" s="3" t="s">
        <v>1072</v>
      </c>
      <c r="B726" s="4">
        <v>45760</v>
      </c>
      <c r="C726" s="3" t="s">
        <v>981</v>
      </c>
      <c r="D726" s="3" t="s">
        <v>65</v>
      </c>
      <c r="E726" s="3" t="s">
        <v>66</v>
      </c>
      <c r="F726" s="3" t="s">
        <v>24</v>
      </c>
      <c r="G726" s="3" t="s">
        <v>25</v>
      </c>
      <c r="H726" s="3">
        <v>4146.13</v>
      </c>
      <c r="I726" s="3">
        <v>2</v>
      </c>
      <c r="J726" s="3">
        <v>10</v>
      </c>
      <c r="K726" s="9">
        <f t="shared" si="33"/>
        <v>8292.26</v>
      </c>
      <c r="L726" s="9">
        <f t="shared" si="34"/>
        <v>829.22600000000011</v>
      </c>
      <c r="M726" s="10">
        <f t="shared" si="35"/>
        <v>7463.0339999999997</v>
      </c>
      <c r="N726" s="3" t="s">
        <v>33</v>
      </c>
      <c r="O726" s="3" t="s">
        <v>18</v>
      </c>
      <c r="P726" s="3" t="s">
        <v>34</v>
      </c>
    </row>
    <row r="727" spans="1:16" x14ac:dyDescent="0.25">
      <c r="A727" s="2" t="s">
        <v>1073</v>
      </c>
      <c r="B727" s="4">
        <v>45761</v>
      </c>
      <c r="C727" s="2" t="s">
        <v>133</v>
      </c>
      <c r="D727" s="2" t="s">
        <v>83</v>
      </c>
      <c r="E727" s="2" t="s">
        <v>84</v>
      </c>
      <c r="F727" s="2" t="s">
        <v>31</v>
      </c>
      <c r="G727" s="2" t="s">
        <v>32</v>
      </c>
      <c r="H727" s="2">
        <v>2408.2399999999998</v>
      </c>
      <c r="I727" s="2">
        <v>4</v>
      </c>
      <c r="J727" s="2">
        <v>0</v>
      </c>
      <c r="K727" s="9">
        <f t="shared" si="33"/>
        <v>9632.9599999999991</v>
      </c>
      <c r="L727" s="9">
        <f t="shared" si="34"/>
        <v>0</v>
      </c>
      <c r="M727" s="10">
        <f t="shared" si="35"/>
        <v>9632.9599999999991</v>
      </c>
      <c r="N727" s="2" t="s">
        <v>26</v>
      </c>
      <c r="O727" s="2" t="s">
        <v>18</v>
      </c>
      <c r="P727" s="2" t="s">
        <v>53</v>
      </c>
    </row>
    <row r="728" spans="1:16" x14ac:dyDescent="0.25">
      <c r="A728" s="3" t="s">
        <v>1074</v>
      </c>
      <c r="B728" s="4">
        <v>45762</v>
      </c>
      <c r="C728" s="3" t="s">
        <v>353</v>
      </c>
      <c r="D728" s="3" t="s">
        <v>87</v>
      </c>
      <c r="E728" s="3" t="s">
        <v>88</v>
      </c>
      <c r="F728" s="3" t="s">
        <v>72</v>
      </c>
      <c r="G728" s="3" t="s">
        <v>137</v>
      </c>
      <c r="H728" s="3">
        <v>1989.27</v>
      </c>
      <c r="I728" s="3">
        <v>5</v>
      </c>
      <c r="J728" s="3">
        <v>0</v>
      </c>
      <c r="K728" s="9">
        <f t="shared" si="33"/>
        <v>9946.35</v>
      </c>
      <c r="L728" s="9">
        <f t="shared" si="34"/>
        <v>0</v>
      </c>
      <c r="M728" s="10">
        <f t="shared" si="35"/>
        <v>9946.35</v>
      </c>
      <c r="N728" s="3" t="s">
        <v>68</v>
      </c>
      <c r="O728" s="3" t="s">
        <v>27</v>
      </c>
      <c r="P728" s="3" t="s">
        <v>53</v>
      </c>
    </row>
    <row r="729" spans="1:16" x14ac:dyDescent="0.25">
      <c r="A729" s="2" t="s">
        <v>1075</v>
      </c>
      <c r="B729" s="4">
        <v>45763</v>
      </c>
      <c r="C729" s="2" t="s">
        <v>449</v>
      </c>
      <c r="D729" s="2" t="s">
        <v>47</v>
      </c>
      <c r="E729" s="2" t="s">
        <v>48</v>
      </c>
      <c r="F729" s="2" t="s">
        <v>15</v>
      </c>
      <c r="G729" s="2" t="s">
        <v>16</v>
      </c>
      <c r="H729" s="2">
        <v>1620.95</v>
      </c>
      <c r="I729" s="2">
        <v>1</v>
      </c>
      <c r="J729" s="2">
        <v>5</v>
      </c>
      <c r="K729" s="9">
        <f t="shared" si="33"/>
        <v>1620.95</v>
      </c>
      <c r="L729" s="9">
        <f t="shared" si="34"/>
        <v>81.047499999999999</v>
      </c>
      <c r="M729" s="10">
        <f t="shared" si="35"/>
        <v>1539.9025000000001</v>
      </c>
      <c r="N729" s="2" t="s">
        <v>26</v>
      </c>
      <c r="O729" s="2" t="s">
        <v>39</v>
      </c>
      <c r="P729" s="2" t="s">
        <v>60</v>
      </c>
    </row>
    <row r="730" spans="1:16" x14ac:dyDescent="0.25">
      <c r="A730" s="3" t="s">
        <v>1076</v>
      </c>
      <c r="B730" s="4">
        <v>45764</v>
      </c>
      <c r="C730" s="3" t="s">
        <v>986</v>
      </c>
      <c r="D730" s="3" t="s">
        <v>47</v>
      </c>
      <c r="E730" s="3" t="s">
        <v>48</v>
      </c>
      <c r="F730" s="3" t="s">
        <v>31</v>
      </c>
      <c r="G730" s="3" t="s">
        <v>32</v>
      </c>
      <c r="H730" s="3">
        <v>2718.16</v>
      </c>
      <c r="I730" s="3">
        <v>2</v>
      </c>
      <c r="J730" s="3">
        <v>5</v>
      </c>
      <c r="K730" s="9">
        <f t="shared" si="33"/>
        <v>5436.32</v>
      </c>
      <c r="L730" s="9">
        <f t="shared" si="34"/>
        <v>271.81599999999997</v>
      </c>
      <c r="M730" s="10">
        <f t="shared" si="35"/>
        <v>5164.5039999999999</v>
      </c>
      <c r="N730" s="3" t="s">
        <v>26</v>
      </c>
      <c r="O730" s="3" t="s">
        <v>39</v>
      </c>
      <c r="P730" s="3" t="s">
        <v>53</v>
      </c>
    </row>
    <row r="731" spans="1:16" x14ac:dyDescent="0.25">
      <c r="A731" s="2" t="s">
        <v>1077</v>
      </c>
      <c r="B731" s="4">
        <v>45765</v>
      </c>
      <c r="C731" s="2" t="s">
        <v>336</v>
      </c>
      <c r="D731" s="2" t="s">
        <v>65</v>
      </c>
      <c r="E731" s="2" t="s">
        <v>66</v>
      </c>
      <c r="F731" s="2" t="s">
        <v>72</v>
      </c>
      <c r="G731" s="2" t="s">
        <v>81</v>
      </c>
      <c r="H731" s="2">
        <v>1432.21</v>
      </c>
      <c r="I731" s="2">
        <v>1</v>
      </c>
      <c r="J731" s="2">
        <v>0</v>
      </c>
      <c r="K731" s="9">
        <f t="shared" si="33"/>
        <v>1432.21</v>
      </c>
      <c r="L731" s="9">
        <f t="shared" si="34"/>
        <v>0</v>
      </c>
      <c r="M731" s="10">
        <f t="shared" si="35"/>
        <v>1432.21</v>
      </c>
      <c r="N731" s="2" t="s">
        <v>33</v>
      </c>
      <c r="O731" s="2" t="s">
        <v>27</v>
      </c>
      <c r="P731" s="2" t="s">
        <v>60</v>
      </c>
    </row>
    <row r="732" spans="1:16" x14ac:dyDescent="0.25">
      <c r="A732" s="3" t="s">
        <v>1078</v>
      </c>
      <c r="B732" s="4">
        <v>45766</v>
      </c>
      <c r="C732" s="3" t="s">
        <v>1079</v>
      </c>
      <c r="D732" s="3" t="s">
        <v>22</v>
      </c>
      <c r="E732" s="3" t="s">
        <v>23</v>
      </c>
      <c r="F732" s="3" t="s">
        <v>72</v>
      </c>
      <c r="G732" s="3" t="s">
        <v>102</v>
      </c>
      <c r="H732" s="3">
        <v>675.8</v>
      </c>
      <c r="I732" s="3">
        <v>5</v>
      </c>
      <c r="J732" s="3">
        <v>15</v>
      </c>
      <c r="K732" s="9">
        <f t="shared" si="33"/>
        <v>3379</v>
      </c>
      <c r="L732" s="9">
        <f t="shared" si="34"/>
        <v>506.85</v>
      </c>
      <c r="M732" s="10">
        <f t="shared" si="35"/>
        <v>2872.15</v>
      </c>
      <c r="N732" s="3" t="s">
        <v>38</v>
      </c>
      <c r="O732" s="3" t="s">
        <v>18</v>
      </c>
      <c r="P732" s="3" t="s">
        <v>19</v>
      </c>
    </row>
    <row r="733" spans="1:16" x14ac:dyDescent="0.25">
      <c r="A733" s="2" t="s">
        <v>1080</v>
      </c>
      <c r="B733" s="4">
        <v>45767</v>
      </c>
      <c r="C733" s="2" t="s">
        <v>161</v>
      </c>
      <c r="D733" s="2" t="s">
        <v>87</v>
      </c>
      <c r="E733" s="2" t="s">
        <v>88</v>
      </c>
      <c r="F733" s="2" t="s">
        <v>43</v>
      </c>
      <c r="G733" s="2" t="s">
        <v>44</v>
      </c>
      <c r="H733" s="2">
        <v>3683.38</v>
      </c>
      <c r="I733" s="2">
        <v>2</v>
      </c>
      <c r="J733" s="2">
        <v>0</v>
      </c>
      <c r="K733" s="9">
        <f t="shared" si="33"/>
        <v>7366.76</v>
      </c>
      <c r="L733" s="9">
        <f t="shared" si="34"/>
        <v>0</v>
      </c>
      <c r="M733" s="10">
        <f t="shared" si="35"/>
        <v>7366.76</v>
      </c>
      <c r="N733" s="2" t="s">
        <v>33</v>
      </c>
      <c r="O733" s="2" t="s">
        <v>39</v>
      </c>
      <c r="P733" s="2" t="s">
        <v>53</v>
      </c>
    </row>
    <row r="734" spans="1:16" x14ac:dyDescent="0.25">
      <c r="A734" s="3" t="s">
        <v>1081</v>
      </c>
      <c r="B734" s="4">
        <v>45768</v>
      </c>
      <c r="C734" s="3" t="s">
        <v>223</v>
      </c>
      <c r="D734" s="3" t="s">
        <v>47</v>
      </c>
      <c r="E734" s="3" t="s">
        <v>48</v>
      </c>
      <c r="F734" s="3" t="s">
        <v>31</v>
      </c>
      <c r="G734" s="3" t="s">
        <v>242</v>
      </c>
      <c r="H734" s="3">
        <v>824.8</v>
      </c>
      <c r="I734" s="3">
        <v>2</v>
      </c>
      <c r="J734" s="3">
        <v>10</v>
      </c>
      <c r="K734" s="9">
        <f t="shared" si="33"/>
        <v>1649.6</v>
      </c>
      <c r="L734" s="9">
        <f t="shared" si="34"/>
        <v>164.96</v>
      </c>
      <c r="M734" s="10">
        <f t="shared" si="35"/>
        <v>1484.6399999999999</v>
      </c>
      <c r="N734" s="3" t="s">
        <v>17</v>
      </c>
      <c r="O734" s="3" t="s">
        <v>27</v>
      </c>
      <c r="P734" s="3" t="s">
        <v>53</v>
      </c>
    </row>
    <row r="735" spans="1:16" x14ac:dyDescent="0.25">
      <c r="A735" s="2" t="s">
        <v>1082</v>
      </c>
      <c r="B735" s="4">
        <v>45769</v>
      </c>
      <c r="C735" s="2" t="s">
        <v>446</v>
      </c>
      <c r="D735" s="2" t="s">
        <v>87</v>
      </c>
      <c r="E735" s="2" t="s">
        <v>88</v>
      </c>
      <c r="F735" s="2" t="s">
        <v>43</v>
      </c>
      <c r="G735" s="2" t="s">
        <v>145</v>
      </c>
      <c r="H735" s="2">
        <v>12896.41</v>
      </c>
      <c r="I735" s="2">
        <v>2</v>
      </c>
      <c r="J735" s="2">
        <v>0</v>
      </c>
      <c r="K735" s="9">
        <f t="shared" si="33"/>
        <v>25792.82</v>
      </c>
      <c r="L735" s="9">
        <f t="shared" si="34"/>
        <v>0</v>
      </c>
      <c r="M735" s="10">
        <f t="shared" si="35"/>
        <v>25792.82</v>
      </c>
      <c r="N735" s="2" t="s">
        <v>26</v>
      </c>
      <c r="O735" s="2" t="s">
        <v>27</v>
      </c>
      <c r="P735" s="2" t="s">
        <v>19</v>
      </c>
    </row>
    <row r="736" spans="1:16" x14ac:dyDescent="0.25">
      <c r="A736" s="3" t="s">
        <v>1083</v>
      </c>
      <c r="B736" s="4">
        <v>45770</v>
      </c>
      <c r="C736" s="3" t="s">
        <v>340</v>
      </c>
      <c r="D736" s="3" t="s">
        <v>22</v>
      </c>
      <c r="E736" s="3" t="s">
        <v>23</v>
      </c>
      <c r="F736" s="3" t="s">
        <v>43</v>
      </c>
      <c r="G736" s="3" t="s">
        <v>105</v>
      </c>
      <c r="H736" s="3">
        <v>2621.86</v>
      </c>
      <c r="I736" s="3">
        <v>4</v>
      </c>
      <c r="J736" s="3">
        <v>10</v>
      </c>
      <c r="K736" s="9">
        <f t="shared" si="33"/>
        <v>10487.44</v>
      </c>
      <c r="L736" s="9">
        <f t="shared" si="34"/>
        <v>1048.7440000000001</v>
      </c>
      <c r="M736" s="10">
        <f t="shared" si="35"/>
        <v>9438.6959999999999</v>
      </c>
      <c r="N736" s="3" t="s">
        <v>26</v>
      </c>
      <c r="O736" s="3" t="s">
        <v>18</v>
      </c>
      <c r="P736" s="3" t="s">
        <v>40</v>
      </c>
    </row>
    <row r="737" spans="1:16" x14ac:dyDescent="0.25">
      <c r="A737" s="2" t="s">
        <v>1084</v>
      </c>
      <c r="B737" s="4">
        <v>45771</v>
      </c>
      <c r="C737" s="2" t="s">
        <v>616</v>
      </c>
      <c r="D737" s="2" t="s">
        <v>51</v>
      </c>
      <c r="E737" s="2" t="s">
        <v>14</v>
      </c>
      <c r="F737" s="2" t="s">
        <v>36</v>
      </c>
      <c r="G737" s="2" t="s">
        <v>37</v>
      </c>
      <c r="H737" s="2">
        <v>11275.84</v>
      </c>
      <c r="I737" s="2">
        <v>2</v>
      </c>
      <c r="J737" s="2">
        <v>10</v>
      </c>
      <c r="K737" s="9">
        <f t="shared" si="33"/>
        <v>22551.68</v>
      </c>
      <c r="L737" s="9">
        <f t="shared" si="34"/>
        <v>2255.1679999999997</v>
      </c>
      <c r="M737" s="10">
        <f t="shared" si="35"/>
        <v>20296.512000000002</v>
      </c>
      <c r="N737" s="2" t="s">
        <v>33</v>
      </c>
      <c r="O737" s="2" t="s">
        <v>52</v>
      </c>
      <c r="P737" s="2" t="s">
        <v>60</v>
      </c>
    </row>
    <row r="738" spans="1:16" x14ac:dyDescent="0.25">
      <c r="A738" s="3" t="s">
        <v>1085</v>
      </c>
      <c r="B738" s="4">
        <v>45772</v>
      </c>
      <c r="C738" s="3" t="s">
        <v>62</v>
      </c>
      <c r="D738" s="3" t="s">
        <v>22</v>
      </c>
      <c r="E738" s="3" t="s">
        <v>23</v>
      </c>
      <c r="F738" s="3" t="s">
        <v>31</v>
      </c>
      <c r="G738" s="3" t="s">
        <v>186</v>
      </c>
      <c r="H738" s="3">
        <v>871.56</v>
      </c>
      <c r="I738" s="3">
        <v>1</v>
      </c>
      <c r="J738" s="3">
        <v>15</v>
      </c>
      <c r="K738" s="9">
        <f t="shared" si="33"/>
        <v>871.56</v>
      </c>
      <c r="L738" s="9">
        <f t="shared" si="34"/>
        <v>130.73400000000001</v>
      </c>
      <c r="M738" s="10">
        <f t="shared" si="35"/>
        <v>740.82599999999991</v>
      </c>
      <c r="N738" s="3" t="s">
        <v>17</v>
      </c>
      <c r="O738" s="3" t="s">
        <v>18</v>
      </c>
      <c r="P738" s="3" t="s">
        <v>60</v>
      </c>
    </row>
    <row r="739" spans="1:16" x14ac:dyDescent="0.25">
      <c r="A739" s="2" t="s">
        <v>1086</v>
      </c>
      <c r="B739" s="4">
        <v>45773</v>
      </c>
      <c r="C739" s="2" t="s">
        <v>919</v>
      </c>
      <c r="D739" s="2" t="s">
        <v>51</v>
      </c>
      <c r="E739" s="2" t="s">
        <v>14</v>
      </c>
      <c r="F739" s="2" t="s">
        <v>15</v>
      </c>
      <c r="G739" s="2" t="s">
        <v>163</v>
      </c>
      <c r="H739" s="2">
        <v>2345.27</v>
      </c>
      <c r="I739" s="2">
        <v>3</v>
      </c>
      <c r="J739" s="2">
        <v>5</v>
      </c>
      <c r="K739" s="9">
        <f t="shared" si="33"/>
        <v>7035.8099999999995</v>
      </c>
      <c r="L739" s="9">
        <f t="shared" si="34"/>
        <v>351.79049999999995</v>
      </c>
      <c r="M739" s="10">
        <f t="shared" si="35"/>
        <v>6684.0194999999994</v>
      </c>
      <c r="N739" s="2" t="s">
        <v>33</v>
      </c>
      <c r="O739" s="2" t="s">
        <v>18</v>
      </c>
      <c r="P739" s="2" t="s">
        <v>53</v>
      </c>
    </row>
    <row r="740" spans="1:16" x14ac:dyDescent="0.25">
      <c r="A740" s="3" t="s">
        <v>1087</v>
      </c>
      <c r="B740" s="4">
        <v>45774</v>
      </c>
      <c r="C740" s="3" t="s">
        <v>453</v>
      </c>
      <c r="D740" s="3" t="s">
        <v>51</v>
      </c>
      <c r="E740" s="3" t="s">
        <v>14</v>
      </c>
      <c r="F740" s="3" t="s">
        <v>72</v>
      </c>
      <c r="G740" s="3" t="s">
        <v>137</v>
      </c>
      <c r="H740" s="3">
        <v>2299.75</v>
      </c>
      <c r="I740" s="3">
        <v>2</v>
      </c>
      <c r="J740" s="3">
        <v>0</v>
      </c>
      <c r="K740" s="9">
        <f t="shared" si="33"/>
        <v>4599.5</v>
      </c>
      <c r="L740" s="9">
        <f t="shared" si="34"/>
        <v>0</v>
      </c>
      <c r="M740" s="10">
        <f t="shared" si="35"/>
        <v>4599.5</v>
      </c>
      <c r="N740" s="3" t="s">
        <v>26</v>
      </c>
      <c r="O740" s="3" t="s">
        <v>18</v>
      </c>
      <c r="P740" s="3" t="s">
        <v>53</v>
      </c>
    </row>
    <row r="741" spans="1:16" x14ac:dyDescent="0.25">
      <c r="A741" s="2" t="s">
        <v>1088</v>
      </c>
      <c r="B741" s="4">
        <v>45775</v>
      </c>
      <c r="C741" s="2" t="s">
        <v>579</v>
      </c>
      <c r="D741" s="2" t="s">
        <v>51</v>
      </c>
      <c r="E741" s="2" t="s">
        <v>14</v>
      </c>
      <c r="F741" s="2" t="s">
        <v>110</v>
      </c>
      <c r="G741" s="2" t="s">
        <v>67</v>
      </c>
      <c r="H741" s="2">
        <v>4866.6000000000004</v>
      </c>
      <c r="I741" s="2">
        <v>3</v>
      </c>
      <c r="J741" s="2">
        <v>5</v>
      </c>
      <c r="K741" s="9">
        <f t="shared" si="33"/>
        <v>14599.800000000001</v>
      </c>
      <c r="L741" s="9">
        <f t="shared" si="34"/>
        <v>729.99</v>
      </c>
      <c r="M741" s="10">
        <f t="shared" si="35"/>
        <v>13869.810000000001</v>
      </c>
      <c r="N741" s="2" t="s">
        <v>33</v>
      </c>
      <c r="O741" s="2" t="s">
        <v>18</v>
      </c>
      <c r="P741" s="2" t="s">
        <v>40</v>
      </c>
    </row>
    <row r="742" spans="1:16" x14ac:dyDescent="0.25">
      <c r="A742" s="3" t="s">
        <v>1089</v>
      </c>
      <c r="B742" s="4">
        <v>45776</v>
      </c>
      <c r="C742" s="3" t="s">
        <v>320</v>
      </c>
      <c r="D742" s="3" t="s">
        <v>65</v>
      </c>
      <c r="E742" s="3" t="s">
        <v>66</v>
      </c>
      <c r="F742" s="3" t="s">
        <v>15</v>
      </c>
      <c r="G742" s="3" t="s">
        <v>163</v>
      </c>
      <c r="H742" s="3">
        <v>2606.67</v>
      </c>
      <c r="I742" s="3">
        <v>4</v>
      </c>
      <c r="J742" s="3">
        <v>10</v>
      </c>
      <c r="K742" s="9">
        <f t="shared" si="33"/>
        <v>10426.68</v>
      </c>
      <c r="L742" s="9">
        <f t="shared" si="34"/>
        <v>1042.6680000000001</v>
      </c>
      <c r="M742" s="10">
        <f t="shared" si="35"/>
        <v>9384.0120000000006</v>
      </c>
      <c r="N742" s="3" t="s">
        <v>38</v>
      </c>
      <c r="O742" s="3" t="s">
        <v>18</v>
      </c>
      <c r="P742" s="3" t="s">
        <v>40</v>
      </c>
    </row>
    <row r="743" spans="1:16" x14ac:dyDescent="0.25">
      <c r="A743" s="2" t="s">
        <v>1090</v>
      </c>
      <c r="B743" s="4">
        <v>45777</v>
      </c>
      <c r="C743" s="2" t="s">
        <v>21</v>
      </c>
      <c r="D743" s="2" t="s">
        <v>87</v>
      </c>
      <c r="E743" s="2" t="s">
        <v>88</v>
      </c>
      <c r="F743" s="2" t="s">
        <v>24</v>
      </c>
      <c r="G743" s="2" t="s">
        <v>134</v>
      </c>
      <c r="H743" s="2">
        <v>2704.11</v>
      </c>
      <c r="I743" s="2">
        <v>5</v>
      </c>
      <c r="J743" s="2">
        <v>0</v>
      </c>
      <c r="K743" s="9">
        <f t="shared" si="33"/>
        <v>13520.550000000001</v>
      </c>
      <c r="L743" s="9">
        <f t="shared" si="34"/>
        <v>0</v>
      </c>
      <c r="M743" s="10">
        <f t="shared" si="35"/>
        <v>13520.550000000001</v>
      </c>
      <c r="N743" s="2" t="s">
        <v>17</v>
      </c>
      <c r="O743" s="2" t="s">
        <v>27</v>
      </c>
      <c r="P743" s="2" t="s">
        <v>40</v>
      </c>
    </row>
    <row r="744" spans="1:16" x14ac:dyDescent="0.25">
      <c r="A744" s="3" t="s">
        <v>1091</v>
      </c>
      <c r="B744" s="4">
        <v>45778</v>
      </c>
      <c r="C744" s="3" t="s">
        <v>217</v>
      </c>
      <c r="D744" s="3" t="s">
        <v>29</v>
      </c>
      <c r="E744" s="3" t="s">
        <v>30</v>
      </c>
      <c r="F744" s="3" t="s">
        <v>43</v>
      </c>
      <c r="G744" s="3" t="s">
        <v>105</v>
      </c>
      <c r="H744" s="3">
        <v>3067.41</v>
      </c>
      <c r="I744" s="3">
        <v>3</v>
      </c>
      <c r="J744" s="3">
        <v>0</v>
      </c>
      <c r="K744" s="9">
        <f t="shared" si="33"/>
        <v>9202.23</v>
      </c>
      <c r="L744" s="9">
        <f t="shared" si="34"/>
        <v>0</v>
      </c>
      <c r="M744" s="10">
        <f t="shared" si="35"/>
        <v>9202.23</v>
      </c>
      <c r="N744" s="3" t="s">
        <v>17</v>
      </c>
      <c r="O744" s="3" t="s">
        <v>18</v>
      </c>
      <c r="P744" s="3" t="s">
        <v>19</v>
      </c>
    </row>
    <row r="745" spans="1:16" x14ac:dyDescent="0.25">
      <c r="A745" s="2" t="s">
        <v>1092</v>
      </c>
      <c r="B745" s="4">
        <v>45779</v>
      </c>
      <c r="C745" s="2" t="s">
        <v>62</v>
      </c>
      <c r="D745" s="2" t="s">
        <v>83</v>
      </c>
      <c r="E745" s="2" t="s">
        <v>84</v>
      </c>
      <c r="F745" s="2" t="s">
        <v>43</v>
      </c>
      <c r="G745" s="2" t="s">
        <v>105</v>
      </c>
      <c r="H745" s="2">
        <v>3011.62</v>
      </c>
      <c r="I745" s="2">
        <v>2</v>
      </c>
      <c r="J745" s="2">
        <v>5</v>
      </c>
      <c r="K745" s="9">
        <f t="shared" si="33"/>
        <v>6023.24</v>
      </c>
      <c r="L745" s="9">
        <f t="shared" si="34"/>
        <v>301.16199999999998</v>
      </c>
      <c r="M745" s="10">
        <f t="shared" si="35"/>
        <v>5722.0779999999995</v>
      </c>
      <c r="N745" s="2" t="s">
        <v>38</v>
      </c>
      <c r="O745" s="2" t="s">
        <v>27</v>
      </c>
      <c r="P745" s="2" t="s">
        <v>19</v>
      </c>
    </row>
    <row r="746" spans="1:16" x14ac:dyDescent="0.25">
      <c r="A746" s="3" t="s">
        <v>1093</v>
      </c>
      <c r="B746" s="4">
        <v>45780</v>
      </c>
      <c r="C746" s="3" t="s">
        <v>387</v>
      </c>
      <c r="D746" s="3" t="s">
        <v>22</v>
      </c>
      <c r="E746" s="3" t="s">
        <v>23</v>
      </c>
      <c r="F746" s="3" t="s">
        <v>31</v>
      </c>
      <c r="G746" s="3" t="s">
        <v>32</v>
      </c>
      <c r="H746" s="3">
        <v>2739.26</v>
      </c>
      <c r="I746" s="3">
        <v>4</v>
      </c>
      <c r="J746" s="3">
        <v>0</v>
      </c>
      <c r="K746" s="9">
        <f t="shared" si="33"/>
        <v>10957.04</v>
      </c>
      <c r="L746" s="9">
        <f t="shared" si="34"/>
        <v>0</v>
      </c>
      <c r="M746" s="10">
        <f t="shared" si="35"/>
        <v>10957.04</v>
      </c>
      <c r="N746" s="3" t="s">
        <v>38</v>
      </c>
      <c r="O746" s="3" t="s">
        <v>18</v>
      </c>
      <c r="P746" s="3" t="s">
        <v>34</v>
      </c>
    </row>
    <row r="747" spans="1:16" x14ac:dyDescent="0.25">
      <c r="A747" s="2" t="s">
        <v>1094</v>
      </c>
      <c r="B747" s="4">
        <v>45781</v>
      </c>
      <c r="C747" s="2" t="s">
        <v>328</v>
      </c>
      <c r="D747" s="2" t="s">
        <v>83</v>
      </c>
      <c r="E747" s="2" t="s">
        <v>84</v>
      </c>
      <c r="F747" s="2" t="s">
        <v>31</v>
      </c>
      <c r="G747" s="2" t="s">
        <v>70</v>
      </c>
      <c r="H747" s="2">
        <v>647.12</v>
      </c>
      <c r="I747" s="2">
        <v>3</v>
      </c>
      <c r="J747" s="2">
        <v>0</v>
      </c>
      <c r="K747" s="9">
        <f t="shared" si="33"/>
        <v>1941.3600000000001</v>
      </c>
      <c r="L747" s="9">
        <f t="shared" si="34"/>
        <v>0</v>
      </c>
      <c r="M747" s="10">
        <f t="shared" si="35"/>
        <v>1941.3600000000001</v>
      </c>
      <c r="N747" s="2" t="s">
        <v>26</v>
      </c>
      <c r="O747" s="2" t="s">
        <v>52</v>
      </c>
      <c r="P747" s="2" t="s">
        <v>60</v>
      </c>
    </row>
    <row r="748" spans="1:16" x14ac:dyDescent="0.25">
      <c r="A748" s="3" t="s">
        <v>1095</v>
      </c>
      <c r="B748" s="4">
        <v>45782</v>
      </c>
      <c r="C748" s="3" t="s">
        <v>285</v>
      </c>
      <c r="D748" s="3" t="s">
        <v>13</v>
      </c>
      <c r="E748" s="3" t="s">
        <v>14</v>
      </c>
      <c r="F748" s="3" t="s">
        <v>24</v>
      </c>
      <c r="G748" s="3" t="s">
        <v>25</v>
      </c>
      <c r="H748" s="3">
        <v>4082.28</v>
      </c>
      <c r="I748" s="3">
        <v>3</v>
      </c>
      <c r="J748" s="3">
        <v>5</v>
      </c>
      <c r="K748" s="9">
        <f t="shared" si="33"/>
        <v>12246.84</v>
      </c>
      <c r="L748" s="9">
        <f t="shared" si="34"/>
        <v>612.34199999999998</v>
      </c>
      <c r="M748" s="10">
        <f t="shared" si="35"/>
        <v>11634.498</v>
      </c>
      <c r="N748" s="3" t="s">
        <v>33</v>
      </c>
      <c r="O748" s="3" t="s">
        <v>18</v>
      </c>
      <c r="P748" s="3" t="s">
        <v>40</v>
      </c>
    </row>
    <row r="749" spans="1:16" x14ac:dyDescent="0.25">
      <c r="A749" s="2" t="s">
        <v>1096</v>
      </c>
      <c r="B749" s="4">
        <v>45783</v>
      </c>
      <c r="C749" s="2" t="s">
        <v>133</v>
      </c>
      <c r="D749" s="2" t="s">
        <v>87</v>
      </c>
      <c r="E749" s="2" t="s">
        <v>88</v>
      </c>
      <c r="F749" s="2" t="s">
        <v>15</v>
      </c>
      <c r="G749" s="2" t="s">
        <v>56</v>
      </c>
      <c r="H749" s="2">
        <v>1794.67</v>
      </c>
      <c r="I749" s="2">
        <v>4</v>
      </c>
      <c r="J749" s="2">
        <v>0</v>
      </c>
      <c r="K749" s="9">
        <f t="shared" si="33"/>
        <v>7178.68</v>
      </c>
      <c r="L749" s="9">
        <f t="shared" si="34"/>
        <v>0</v>
      </c>
      <c r="M749" s="10">
        <f t="shared" si="35"/>
        <v>7178.68</v>
      </c>
      <c r="N749" s="2" t="s">
        <v>26</v>
      </c>
      <c r="O749" s="2" t="s">
        <v>18</v>
      </c>
      <c r="P749" s="2" t="s">
        <v>34</v>
      </c>
    </row>
    <row r="750" spans="1:16" x14ac:dyDescent="0.25">
      <c r="A750" s="3" t="s">
        <v>1097</v>
      </c>
      <c r="B750" s="4">
        <v>45784</v>
      </c>
      <c r="C750" s="3" t="s">
        <v>297</v>
      </c>
      <c r="D750" s="3" t="s">
        <v>100</v>
      </c>
      <c r="E750" s="3" t="s">
        <v>88</v>
      </c>
      <c r="F750" s="3" t="s">
        <v>72</v>
      </c>
      <c r="G750" s="3" t="s">
        <v>102</v>
      </c>
      <c r="H750" s="3">
        <v>682.49</v>
      </c>
      <c r="I750" s="3">
        <v>3</v>
      </c>
      <c r="J750" s="3">
        <v>0</v>
      </c>
      <c r="K750" s="9">
        <f t="shared" si="33"/>
        <v>2047.47</v>
      </c>
      <c r="L750" s="9">
        <f t="shared" si="34"/>
        <v>0</v>
      </c>
      <c r="M750" s="10">
        <f t="shared" si="35"/>
        <v>2047.47</v>
      </c>
      <c r="N750" s="3" t="s">
        <v>17</v>
      </c>
      <c r="O750" s="3" t="s">
        <v>18</v>
      </c>
      <c r="P750" s="3" t="s">
        <v>19</v>
      </c>
    </row>
    <row r="751" spans="1:16" x14ac:dyDescent="0.25">
      <c r="A751" s="2" t="s">
        <v>1098</v>
      </c>
      <c r="B751" s="4">
        <v>45785</v>
      </c>
      <c r="C751" s="2" t="s">
        <v>228</v>
      </c>
      <c r="D751" s="2" t="s">
        <v>100</v>
      </c>
      <c r="E751" s="2" t="s">
        <v>88</v>
      </c>
      <c r="F751" s="2" t="s">
        <v>43</v>
      </c>
      <c r="G751" s="2" t="s">
        <v>44</v>
      </c>
      <c r="H751" s="2">
        <v>3322.31</v>
      </c>
      <c r="I751" s="2">
        <v>4</v>
      </c>
      <c r="J751" s="2">
        <v>0</v>
      </c>
      <c r="K751" s="9">
        <f t="shared" si="33"/>
        <v>13289.24</v>
      </c>
      <c r="L751" s="9">
        <f t="shared" si="34"/>
        <v>0</v>
      </c>
      <c r="M751" s="10">
        <f t="shared" si="35"/>
        <v>13289.24</v>
      </c>
      <c r="N751" s="2" t="s">
        <v>68</v>
      </c>
      <c r="O751" s="2" t="s">
        <v>18</v>
      </c>
      <c r="P751" s="2" t="s">
        <v>40</v>
      </c>
    </row>
    <row r="752" spans="1:16" x14ac:dyDescent="0.25">
      <c r="A752" s="3" t="s">
        <v>1099</v>
      </c>
      <c r="B752" s="4">
        <v>45786</v>
      </c>
      <c r="C752" s="3" t="s">
        <v>86</v>
      </c>
      <c r="D752" s="3" t="s">
        <v>22</v>
      </c>
      <c r="E752" s="3" t="s">
        <v>23</v>
      </c>
      <c r="F752" s="3" t="s">
        <v>43</v>
      </c>
      <c r="G752" s="3" t="s">
        <v>105</v>
      </c>
      <c r="H752" s="3">
        <v>2850.59</v>
      </c>
      <c r="I752" s="3">
        <v>1</v>
      </c>
      <c r="J752" s="3">
        <v>5</v>
      </c>
      <c r="K752" s="9">
        <f t="shared" si="33"/>
        <v>2850.59</v>
      </c>
      <c r="L752" s="9">
        <f t="shared" si="34"/>
        <v>142.52950000000001</v>
      </c>
      <c r="M752" s="10">
        <f t="shared" si="35"/>
        <v>2708.0605</v>
      </c>
      <c r="N752" s="3" t="s">
        <v>26</v>
      </c>
      <c r="O752" s="3" t="s">
        <v>18</v>
      </c>
      <c r="P752" s="3" t="s">
        <v>40</v>
      </c>
    </row>
    <row r="753" spans="1:16" x14ac:dyDescent="0.25">
      <c r="A753" s="2" t="s">
        <v>1100</v>
      </c>
      <c r="B753" s="4">
        <v>45787</v>
      </c>
      <c r="C753" s="2" t="s">
        <v>647</v>
      </c>
      <c r="D753" s="2" t="s">
        <v>76</v>
      </c>
      <c r="E753" s="2" t="s">
        <v>77</v>
      </c>
      <c r="F753" s="2" t="s">
        <v>43</v>
      </c>
      <c r="G753" s="2" t="s">
        <v>105</v>
      </c>
      <c r="H753" s="2">
        <v>2852.75</v>
      </c>
      <c r="I753" s="2">
        <v>1</v>
      </c>
      <c r="J753" s="2">
        <v>5</v>
      </c>
      <c r="K753" s="9">
        <f t="shared" si="33"/>
        <v>2852.75</v>
      </c>
      <c r="L753" s="9">
        <f t="shared" si="34"/>
        <v>142.63749999999999</v>
      </c>
      <c r="M753" s="10">
        <f t="shared" si="35"/>
        <v>2710.1125000000002</v>
      </c>
      <c r="N753" s="2" t="s">
        <v>68</v>
      </c>
      <c r="O753" s="2" t="s">
        <v>27</v>
      </c>
      <c r="P753" s="2" t="s">
        <v>19</v>
      </c>
    </row>
    <row r="754" spans="1:16" x14ac:dyDescent="0.25">
      <c r="A754" s="3" t="s">
        <v>1101</v>
      </c>
      <c r="B754" s="4">
        <v>45788</v>
      </c>
      <c r="C754" s="3" t="s">
        <v>314</v>
      </c>
      <c r="D754" s="3" t="s">
        <v>29</v>
      </c>
      <c r="E754" s="3" t="s">
        <v>30</v>
      </c>
      <c r="F754" s="3" t="s">
        <v>24</v>
      </c>
      <c r="G754" s="3" t="s">
        <v>25</v>
      </c>
      <c r="H754" s="3">
        <v>4826.95</v>
      </c>
      <c r="I754" s="3">
        <v>3</v>
      </c>
      <c r="J754" s="3">
        <v>10</v>
      </c>
      <c r="K754" s="9">
        <f t="shared" si="33"/>
        <v>14480.849999999999</v>
      </c>
      <c r="L754" s="9">
        <f t="shared" si="34"/>
        <v>1448.085</v>
      </c>
      <c r="M754" s="10">
        <f t="shared" si="35"/>
        <v>13032.764999999999</v>
      </c>
      <c r="N754" s="3" t="s">
        <v>68</v>
      </c>
      <c r="O754" s="3" t="s">
        <v>27</v>
      </c>
      <c r="P754" s="3" t="s">
        <v>40</v>
      </c>
    </row>
    <row r="755" spans="1:16" x14ac:dyDescent="0.25">
      <c r="A755" s="2" t="s">
        <v>1102</v>
      </c>
      <c r="B755" s="4">
        <v>45789</v>
      </c>
      <c r="C755" s="2" t="s">
        <v>1042</v>
      </c>
      <c r="D755" s="2" t="s">
        <v>22</v>
      </c>
      <c r="E755" s="2" t="s">
        <v>23</v>
      </c>
      <c r="F755" s="2" t="s">
        <v>43</v>
      </c>
      <c r="G755" s="2" t="s">
        <v>105</v>
      </c>
      <c r="H755" s="2">
        <v>2619.69</v>
      </c>
      <c r="I755" s="2">
        <v>4</v>
      </c>
      <c r="J755" s="2">
        <v>0</v>
      </c>
      <c r="K755" s="9">
        <f t="shared" si="33"/>
        <v>10478.76</v>
      </c>
      <c r="L755" s="9">
        <f t="shared" si="34"/>
        <v>0</v>
      </c>
      <c r="M755" s="10">
        <f t="shared" si="35"/>
        <v>10478.76</v>
      </c>
      <c r="N755" s="2" t="s">
        <v>68</v>
      </c>
      <c r="O755" s="2" t="s">
        <v>39</v>
      </c>
      <c r="P755" s="2" t="s">
        <v>53</v>
      </c>
    </row>
    <row r="756" spans="1:16" x14ac:dyDescent="0.25">
      <c r="A756" s="3" t="s">
        <v>1103</v>
      </c>
      <c r="B756" s="4">
        <v>45790</v>
      </c>
      <c r="C756" s="3" t="s">
        <v>418</v>
      </c>
      <c r="D756" s="3" t="s">
        <v>47</v>
      </c>
      <c r="E756" s="3" t="s">
        <v>48</v>
      </c>
      <c r="F756" s="3" t="s">
        <v>15</v>
      </c>
      <c r="G756" s="3" t="s">
        <v>163</v>
      </c>
      <c r="H756" s="3">
        <v>2310.3000000000002</v>
      </c>
      <c r="I756" s="3">
        <v>4</v>
      </c>
      <c r="J756" s="3">
        <v>0</v>
      </c>
      <c r="K756" s="9">
        <f t="shared" si="33"/>
        <v>9241.2000000000007</v>
      </c>
      <c r="L756" s="9">
        <f t="shared" si="34"/>
        <v>0</v>
      </c>
      <c r="M756" s="10">
        <f t="shared" si="35"/>
        <v>9241.2000000000007</v>
      </c>
      <c r="N756" s="3" t="s">
        <v>38</v>
      </c>
      <c r="O756" s="3" t="s">
        <v>27</v>
      </c>
      <c r="P756" s="3" t="s">
        <v>19</v>
      </c>
    </row>
    <row r="757" spans="1:16" x14ac:dyDescent="0.25">
      <c r="A757" s="2" t="s">
        <v>1104</v>
      </c>
      <c r="B757" s="4">
        <v>45791</v>
      </c>
      <c r="C757" s="2" t="s">
        <v>283</v>
      </c>
      <c r="D757" s="2" t="s">
        <v>22</v>
      </c>
      <c r="E757" s="2" t="s">
        <v>23</v>
      </c>
      <c r="F757" s="2" t="s">
        <v>72</v>
      </c>
      <c r="G757" s="2" t="s">
        <v>137</v>
      </c>
      <c r="H757" s="2">
        <v>2205.5700000000002</v>
      </c>
      <c r="I757" s="2">
        <v>4</v>
      </c>
      <c r="J757" s="2">
        <v>10</v>
      </c>
      <c r="K757" s="9">
        <f t="shared" si="33"/>
        <v>8822.2800000000007</v>
      </c>
      <c r="L757" s="9">
        <f t="shared" si="34"/>
        <v>882.22800000000007</v>
      </c>
      <c r="M757" s="10">
        <f t="shared" si="35"/>
        <v>7940.0520000000006</v>
      </c>
      <c r="N757" s="2" t="s">
        <v>33</v>
      </c>
      <c r="O757" s="2" t="s">
        <v>18</v>
      </c>
      <c r="P757" s="2" t="s">
        <v>34</v>
      </c>
    </row>
    <row r="758" spans="1:16" x14ac:dyDescent="0.25">
      <c r="A758" s="3" t="s">
        <v>1105</v>
      </c>
      <c r="B758" s="4">
        <v>45792</v>
      </c>
      <c r="C758" s="3" t="s">
        <v>1042</v>
      </c>
      <c r="D758" s="3" t="s">
        <v>22</v>
      </c>
      <c r="E758" s="3" t="s">
        <v>23</v>
      </c>
      <c r="F758" s="3" t="s">
        <v>72</v>
      </c>
      <c r="G758" s="3" t="s">
        <v>129</v>
      </c>
      <c r="H758" s="3">
        <v>1911.96</v>
      </c>
      <c r="I758" s="3">
        <v>5</v>
      </c>
      <c r="J758" s="3">
        <v>0</v>
      </c>
      <c r="K758" s="9">
        <f t="shared" si="33"/>
        <v>9559.7999999999993</v>
      </c>
      <c r="L758" s="9">
        <f t="shared" si="34"/>
        <v>0</v>
      </c>
      <c r="M758" s="10">
        <f t="shared" si="35"/>
        <v>9559.7999999999993</v>
      </c>
      <c r="N758" s="3" t="s">
        <v>33</v>
      </c>
      <c r="O758" s="3" t="s">
        <v>27</v>
      </c>
      <c r="P758" s="3" t="s">
        <v>60</v>
      </c>
    </row>
    <row r="759" spans="1:16" x14ac:dyDescent="0.25">
      <c r="A759" s="2" t="s">
        <v>1106</v>
      </c>
      <c r="B759" s="4">
        <v>45793</v>
      </c>
      <c r="C759" s="2" t="s">
        <v>431</v>
      </c>
      <c r="D759" s="2" t="s">
        <v>87</v>
      </c>
      <c r="E759" s="2" t="s">
        <v>88</v>
      </c>
      <c r="F759" s="2" t="s">
        <v>43</v>
      </c>
      <c r="G759" s="2" t="s">
        <v>127</v>
      </c>
      <c r="H759" s="2">
        <v>5662.37</v>
      </c>
      <c r="I759" s="2">
        <v>2</v>
      </c>
      <c r="J759" s="2">
        <v>0</v>
      </c>
      <c r="K759" s="9">
        <f t="shared" si="33"/>
        <v>11324.74</v>
      </c>
      <c r="L759" s="9">
        <f t="shared" si="34"/>
        <v>0</v>
      </c>
      <c r="M759" s="10">
        <f t="shared" si="35"/>
        <v>11324.74</v>
      </c>
      <c r="N759" s="2" t="s">
        <v>17</v>
      </c>
      <c r="O759" s="2" t="s">
        <v>27</v>
      </c>
      <c r="P759" s="2" t="s">
        <v>19</v>
      </c>
    </row>
    <row r="760" spans="1:16" x14ac:dyDescent="0.25">
      <c r="A760" s="3" t="s">
        <v>1107</v>
      </c>
      <c r="B760" s="4">
        <v>45794</v>
      </c>
      <c r="C760" s="3" t="s">
        <v>490</v>
      </c>
      <c r="D760" s="3" t="s">
        <v>65</v>
      </c>
      <c r="E760" s="3" t="s">
        <v>66</v>
      </c>
      <c r="F760" s="3" t="s">
        <v>36</v>
      </c>
      <c r="G760" s="3" t="s">
        <v>37</v>
      </c>
      <c r="H760" s="3">
        <v>11520.94</v>
      </c>
      <c r="I760" s="3">
        <v>2</v>
      </c>
      <c r="J760" s="3">
        <v>10</v>
      </c>
      <c r="K760" s="9">
        <f t="shared" si="33"/>
        <v>23041.88</v>
      </c>
      <c r="L760" s="9">
        <f t="shared" si="34"/>
        <v>2304.1880000000001</v>
      </c>
      <c r="M760" s="10">
        <f t="shared" si="35"/>
        <v>20737.692000000003</v>
      </c>
      <c r="N760" s="3" t="s">
        <v>38</v>
      </c>
      <c r="O760" s="3" t="s">
        <v>39</v>
      </c>
      <c r="P760" s="3" t="s">
        <v>53</v>
      </c>
    </row>
    <row r="761" spans="1:16" x14ac:dyDescent="0.25">
      <c r="A761" s="2" t="s">
        <v>1108</v>
      </c>
      <c r="B761" s="4">
        <v>45795</v>
      </c>
      <c r="C761" s="2" t="s">
        <v>764</v>
      </c>
      <c r="D761" s="2" t="s">
        <v>29</v>
      </c>
      <c r="E761" s="2" t="s">
        <v>30</v>
      </c>
      <c r="F761" s="2" t="s">
        <v>36</v>
      </c>
      <c r="G761" s="2" t="s">
        <v>113</v>
      </c>
      <c r="H761" s="2">
        <v>109836.78</v>
      </c>
      <c r="I761" s="2">
        <v>1</v>
      </c>
      <c r="J761" s="2">
        <v>5</v>
      </c>
      <c r="K761" s="9">
        <f t="shared" si="33"/>
        <v>109836.78</v>
      </c>
      <c r="L761" s="9">
        <f t="shared" si="34"/>
        <v>5491.8389999999999</v>
      </c>
      <c r="M761" s="10">
        <f t="shared" si="35"/>
        <v>104344.94099999999</v>
      </c>
      <c r="N761" s="2" t="s">
        <v>68</v>
      </c>
      <c r="O761" s="2" t="s">
        <v>52</v>
      </c>
      <c r="P761" s="2" t="s">
        <v>60</v>
      </c>
    </row>
    <row r="762" spans="1:16" x14ac:dyDescent="0.25">
      <c r="A762" s="3" t="s">
        <v>1109</v>
      </c>
      <c r="B762" s="4">
        <v>45796</v>
      </c>
      <c r="C762" s="3" t="s">
        <v>559</v>
      </c>
      <c r="D762" s="3" t="s">
        <v>29</v>
      </c>
      <c r="E762" s="3" t="s">
        <v>30</v>
      </c>
      <c r="F762" s="3" t="s">
        <v>72</v>
      </c>
      <c r="G762" s="3" t="s">
        <v>137</v>
      </c>
      <c r="H762" s="3">
        <v>2136.4</v>
      </c>
      <c r="I762" s="3">
        <v>5</v>
      </c>
      <c r="J762" s="3">
        <v>15</v>
      </c>
      <c r="K762" s="9">
        <f t="shared" si="33"/>
        <v>10682</v>
      </c>
      <c r="L762" s="9">
        <f t="shared" si="34"/>
        <v>1602.3</v>
      </c>
      <c r="M762" s="10">
        <f t="shared" si="35"/>
        <v>9079.7000000000007</v>
      </c>
      <c r="N762" s="3" t="s">
        <v>17</v>
      </c>
      <c r="O762" s="3" t="s">
        <v>18</v>
      </c>
      <c r="P762" s="3" t="s">
        <v>40</v>
      </c>
    </row>
    <row r="763" spans="1:16" x14ac:dyDescent="0.25">
      <c r="A763" s="2" t="s">
        <v>1110</v>
      </c>
      <c r="B763" s="4">
        <v>45797</v>
      </c>
      <c r="C763" s="2" t="s">
        <v>786</v>
      </c>
      <c r="D763" s="2" t="s">
        <v>100</v>
      </c>
      <c r="E763" s="2" t="s">
        <v>88</v>
      </c>
      <c r="F763" s="2" t="s">
        <v>72</v>
      </c>
      <c r="G763" s="2" t="s">
        <v>102</v>
      </c>
      <c r="H763" s="2">
        <v>694.58</v>
      </c>
      <c r="I763" s="2">
        <v>1</v>
      </c>
      <c r="J763" s="2">
        <v>0</v>
      </c>
      <c r="K763" s="9">
        <f t="shared" si="33"/>
        <v>694.58</v>
      </c>
      <c r="L763" s="9">
        <f t="shared" si="34"/>
        <v>0</v>
      </c>
      <c r="M763" s="10">
        <f t="shared" si="35"/>
        <v>694.58</v>
      </c>
      <c r="N763" s="2" t="s">
        <v>33</v>
      </c>
      <c r="O763" s="2" t="s">
        <v>27</v>
      </c>
      <c r="P763" s="2" t="s">
        <v>34</v>
      </c>
    </row>
    <row r="764" spans="1:16" x14ac:dyDescent="0.25">
      <c r="A764" s="3" t="s">
        <v>1111</v>
      </c>
      <c r="B764" s="4">
        <v>45798</v>
      </c>
      <c r="C764" s="3" t="s">
        <v>504</v>
      </c>
      <c r="D764" s="3" t="s">
        <v>76</v>
      </c>
      <c r="E764" s="3" t="s">
        <v>77</v>
      </c>
      <c r="F764" s="3" t="s">
        <v>72</v>
      </c>
      <c r="G764" s="3" t="s">
        <v>129</v>
      </c>
      <c r="H764" s="3">
        <v>1844.57</v>
      </c>
      <c r="I764" s="3">
        <v>3</v>
      </c>
      <c r="J764" s="3">
        <v>0</v>
      </c>
      <c r="K764" s="9">
        <f t="shared" si="33"/>
        <v>5533.71</v>
      </c>
      <c r="L764" s="9">
        <f t="shared" si="34"/>
        <v>0</v>
      </c>
      <c r="M764" s="10">
        <f t="shared" si="35"/>
        <v>5533.71</v>
      </c>
      <c r="N764" s="3" t="s">
        <v>26</v>
      </c>
      <c r="O764" s="3" t="s">
        <v>18</v>
      </c>
      <c r="P764" s="3" t="s">
        <v>53</v>
      </c>
    </row>
    <row r="765" spans="1:16" x14ac:dyDescent="0.25">
      <c r="A765" s="2" t="s">
        <v>1112</v>
      </c>
      <c r="B765" s="4">
        <v>45799</v>
      </c>
      <c r="C765" s="2" t="s">
        <v>205</v>
      </c>
      <c r="D765" s="2" t="s">
        <v>47</v>
      </c>
      <c r="E765" s="2" t="s">
        <v>48</v>
      </c>
      <c r="F765" s="2" t="s">
        <v>72</v>
      </c>
      <c r="G765" s="2" t="s">
        <v>81</v>
      </c>
      <c r="H765" s="2">
        <v>1480.14</v>
      </c>
      <c r="I765" s="2">
        <v>1</v>
      </c>
      <c r="J765" s="2">
        <v>0</v>
      </c>
      <c r="K765" s="9">
        <f t="shared" si="33"/>
        <v>1480.14</v>
      </c>
      <c r="L765" s="9">
        <f t="shared" si="34"/>
        <v>0</v>
      </c>
      <c r="M765" s="10">
        <f t="shared" si="35"/>
        <v>1480.14</v>
      </c>
      <c r="N765" s="2" t="s">
        <v>33</v>
      </c>
      <c r="O765" s="2" t="s">
        <v>18</v>
      </c>
      <c r="P765" s="2" t="s">
        <v>40</v>
      </c>
    </row>
    <row r="766" spans="1:16" x14ac:dyDescent="0.25">
      <c r="A766" s="3" t="s">
        <v>1113</v>
      </c>
      <c r="B766" s="4">
        <v>45800</v>
      </c>
      <c r="C766" s="3" t="s">
        <v>331</v>
      </c>
      <c r="D766" s="3" t="s">
        <v>76</v>
      </c>
      <c r="E766" s="3" t="s">
        <v>77</v>
      </c>
      <c r="F766" s="3" t="s">
        <v>15</v>
      </c>
      <c r="G766" s="3" t="s">
        <v>95</v>
      </c>
      <c r="H766" s="3">
        <v>1288.51</v>
      </c>
      <c r="I766" s="3">
        <v>5</v>
      </c>
      <c r="J766" s="3">
        <v>0</v>
      </c>
      <c r="K766" s="9">
        <f t="shared" si="33"/>
        <v>6442.55</v>
      </c>
      <c r="L766" s="9">
        <f t="shared" si="34"/>
        <v>0</v>
      </c>
      <c r="M766" s="10">
        <f t="shared" si="35"/>
        <v>6442.55</v>
      </c>
      <c r="N766" s="3" t="s">
        <v>38</v>
      </c>
      <c r="O766" s="3" t="s">
        <v>52</v>
      </c>
      <c r="P766" s="3" t="s">
        <v>19</v>
      </c>
    </row>
    <row r="767" spans="1:16" x14ac:dyDescent="0.25">
      <c r="A767" s="2" t="s">
        <v>1114</v>
      </c>
      <c r="B767" s="4">
        <v>45801</v>
      </c>
      <c r="C767" s="2" t="s">
        <v>647</v>
      </c>
      <c r="D767" s="2" t="s">
        <v>65</v>
      </c>
      <c r="E767" s="2" t="s">
        <v>66</v>
      </c>
      <c r="F767" s="2" t="s">
        <v>72</v>
      </c>
      <c r="G767" s="2" t="s">
        <v>137</v>
      </c>
      <c r="H767" s="2">
        <v>2018.56</v>
      </c>
      <c r="I767" s="2">
        <v>2</v>
      </c>
      <c r="J767" s="2">
        <v>15</v>
      </c>
      <c r="K767" s="9">
        <f t="shared" si="33"/>
        <v>4037.12</v>
      </c>
      <c r="L767" s="9">
        <f t="shared" si="34"/>
        <v>605.56799999999998</v>
      </c>
      <c r="M767" s="10">
        <f t="shared" si="35"/>
        <v>3431.5519999999997</v>
      </c>
      <c r="N767" s="2" t="s">
        <v>26</v>
      </c>
      <c r="O767" s="2" t="s">
        <v>18</v>
      </c>
      <c r="P767" s="2" t="s">
        <v>40</v>
      </c>
    </row>
    <row r="768" spans="1:16" x14ac:dyDescent="0.25">
      <c r="A768" s="3" t="s">
        <v>1115</v>
      </c>
      <c r="B768" s="4">
        <v>45802</v>
      </c>
      <c r="C768" s="3" t="s">
        <v>553</v>
      </c>
      <c r="D768" s="3" t="s">
        <v>51</v>
      </c>
      <c r="E768" s="3" t="s">
        <v>14</v>
      </c>
      <c r="F768" s="3" t="s">
        <v>43</v>
      </c>
      <c r="G768" s="3" t="s">
        <v>127</v>
      </c>
      <c r="H768" s="3">
        <v>5664.71</v>
      </c>
      <c r="I768" s="3">
        <v>4</v>
      </c>
      <c r="J768" s="3">
        <v>0</v>
      </c>
      <c r="K768" s="9">
        <f t="shared" si="33"/>
        <v>22658.84</v>
      </c>
      <c r="L768" s="9">
        <f t="shared" si="34"/>
        <v>0</v>
      </c>
      <c r="M768" s="10">
        <f t="shared" si="35"/>
        <v>22658.84</v>
      </c>
      <c r="N768" s="3" t="s">
        <v>17</v>
      </c>
      <c r="O768" s="3" t="s">
        <v>18</v>
      </c>
      <c r="P768" s="3" t="s">
        <v>40</v>
      </c>
    </row>
    <row r="769" spans="1:16" x14ac:dyDescent="0.25">
      <c r="A769" s="2" t="s">
        <v>1116</v>
      </c>
      <c r="B769" s="4">
        <v>45803</v>
      </c>
      <c r="C769" s="2" t="s">
        <v>660</v>
      </c>
      <c r="D769" s="2" t="s">
        <v>76</v>
      </c>
      <c r="E769" s="2" t="s">
        <v>77</v>
      </c>
      <c r="F769" s="2" t="s">
        <v>43</v>
      </c>
      <c r="G769" s="2" t="s">
        <v>44</v>
      </c>
      <c r="H769" s="2">
        <v>3231.52</v>
      </c>
      <c r="I769" s="2">
        <v>2</v>
      </c>
      <c r="J769" s="2">
        <v>0</v>
      </c>
      <c r="K769" s="9">
        <f t="shared" si="33"/>
        <v>6463.04</v>
      </c>
      <c r="L769" s="9">
        <f t="shared" si="34"/>
        <v>0</v>
      </c>
      <c r="M769" s="10">
        <f t="shared" si="35"/>
        <v>6463.04</v>
      </c>
      <c r="N769" s="2" t="s">
        <v>33</v>
      </c>
      <c r="O769" s="2" t="s">
        <v>18</v>
      </c>
      <c r="P769" s="2" t="s">
        <v>60</v>
      </c>
    </row>
    <row r="770" spans="1:16" x14ac:dyDescent="0.25">
      <c r="A770" s="3" t="s">
        <v>1117</v>
      </c>
      <c r="B770" s="4">
        <v>45804</v>
      </c>
      <c r="C770" s="3" t="s">
        <v>1118</v>
      </c>
      <c r="D770" s="3" t="s">
        <v>51</v>
      </c>
      <c r="E770" s="3" t="s">
        <v>14</v>
      </c>
      <c r="F770" s="3" t="s">
        <v>24</v>
      </c>
      <c r="G770" s="3" t="s">
        <v>108</v>
      </c>
      <c r="H770" s="3">
        <v>8111.09</v>
      </c>
      <c r="I770" s="3">
        <v>4</v>
      </c>
      <c r="J770" s="3">
        <v>15</v>
      </c>
      <c r="K770" s="9">
        <f t="shared" ref="K770:K833" si="36">I770*H770</f>
        <v>32444.36</v>
      </c>
      <c r="L770" s="9">
        <f t="shared" ref="L770:L833" si="37">K770*J770/100</f>
        <v>4866.6540000000005</v>
      </c>
      <c r="M770" s="10">
        <f t="shared" ref="M770:M833" si="38">K770-L770</f>
        <v>27577.705999999998</v>
      </c>
      <c r="N770" s="3" t="s">
        <v>38</v>
      </c>
      <c r="O770" s="3" t="s">
        <v>18</v>
      </c>
      <c r="P770" s="3" t="s">
        <v>40</v>
      </c>
    </row>
    <row r="771" spans="1:16" x14ac:dyDescent="0.25">
      <c r="A771" s="2" t="s">
        <v>1119</v>
      </c>
      <c r="B771" s="4">
        <v>45805</v>
      </c>
      <c r="C771" s="2" t="s">
        <v>1079</v>
      </c>
      <c r="D771" s="2" t="s">
        <v>65</v>
      </c>
      <c r="E771" s="2" t="s">
        <v>66</v>
      </c>
      <c r="F771" s="2" t="s">
        <v>72</v>
      </c>
      <c r="G771" s="2" t="s">
        <v>129</v>
      </c>
      <c r="H771" s="2">
        <v>1885.35</v>
      </c>
      <c r="I771" s="2">
        <v>5</v>
      </c>
      <c r="J771" s="2">
        <v>5</v>
      </c>
      <c r="K771" s="9">
        <f t="shared" si="36"/>
        <v>9426.75</v>
      </c>
      <c r="L771" s="9">
        <f t="shared" si="37"/>
        <v>471.33749999999998</v>
      </c>
      <c r="M771" s="10">
        <f t="shared" si="38"/>
        <v>8955.4125000000004</v>
      </c>
      <c r="N771" s="2" t="s">
        <v>38</v>
      </c>
      <c r="O771" s="2" t="s">
        <v>18</v>
      </c>
      <c r="P771" s="2" t="s">
        <v>60</v>
      </c>
    </row>
    <row r="772" spans="1:16" x14ac:dyDescent="0.25">
      <c r="A772" s="3" t="s">
        <v>1120</v>
      </c>
      <c r="B772" s="4">
        <v>45806</v>
      </c>
      <c r="C772" s="3" t="s">
        <v>700</v>
      </c>
      <c r="D772" s="3" t="s">
        <v>29</v>
      </c>
      <c r="E772" s="3" t="s">
        <v>30</v>
      </c>
      <c r="F772" s="3" t="s">
        <v>15</v>
      </c>
      <c r="G772" s="3" t="s">
        <v>56</v>
      </c>
      <c r="H772" s="3">
        <v>1956.7</v>
      </c>
      <c r="I772" s="3">
        <v>4</v>
      </c>
      <c r="J772" s="3">
        <v>5</v>
      </c>
      <c r="K772" s="9">
        <f t="shared" si="36"/>
        <v>7826.8</v>
      </c>
      <c r="L772" s="9">
        <f t="shared" si="37"/>
        <v>391.34</v>
      </c>
      <c r="M772" s="10">
        <f t="shared" si="38"/>
        <v>7435.46</v>
      </c>
      <c r="N772" s="3" t="s">
        <v>68</v>
      </c>
      <c r="O772" s="3" t="s">
        <v>52</v>
      </c>
      <c r="P772" s="3" t="s">
        <v>40</v>
      </c>
    </row>
    <row r="773" spans="1:16" x14ac:dyDescent="0.25">
      <c r="A773" s="2" t="s">
        <v>1121</v>
      </c>
      <c r="B773" s="4">
        <v>45807</v>
      </c>
      <c r="C773" s="2" t="s">
        <v>1122</v>
      </c>
      <c r="D773" s="2" t="s">
        <v>83</v>
      </c>
      <c r="E773" s="2" t="s">
        <v>84</v>
      </c>
      <c r="F773" s="2" t="s">
        <v>36</v>
      </c>
      <c r="G773" s="2" t="s">
        <v>338</v>
      </c>
      <c r="H773" s="2">
        <v>70107.399999999994</v>
      </c>
      <c r="I773" s="2">
        <v>4</v>
      </c>
      <c r="J773" s="2">
        <v>15</v>
      </c>
      <c r="K773" s="9">
        <f t="shared" si="36"/>
        <v>280429.59999999998</v>
      </c>
      <c r="L773" s="9">
        <f t="shared" si="37"/>
        <v>42064.44</v>
      </c>
      <c r="M773" s="10">
        <f t="shared" si="38"/>
        <v>238365.15999999997</v>
      </c>
      <c r="N773" s="2" t="s">
        <v>68</v>
      </c>
      <c r="O773" s="2" t="s">
        <v>18</v>
      </c>
      <c r="P773" s="2" t="s">
        <v>19</v>
      </c>
    </row>
    <row r="774" spans="1:16" x14ac:dyDescent="0.25">
      <c r="A774" s="3" t="s">
        <v>1123</v>
      </c>
      <c r="B774" s="4">
        <v>45808</v>
      </c>
      <c r="C774" s="3" t="s">
        <v>532</v>
      </c>
      <c r="D774" s="3" t="s">
        <v>65</v>
      </c>
      <c r="E774" s="3" t="s">
        <v>66</v>
      </c>
      <c r="F774" s="3" t="s">
        <v>36</v>
      </c>
      <c r="G774" s="3" t="s">
        <v>49</v>
      </c>
      <c r="H774" s="3">
        <v>143640.32000000001</v>
      </c>
      <c r="I774" s="3">
        <v>2</v>
      </c>
      <c r="J774" s="3">
        <v>10</v>
      </c>
      <c r="K774" s="9">
        <f t="shared" si="36"/>
        <v>287280.64000000001</v>
      </c>
      <c r="L774" s="9">
        <f t="shared" si="37"/>
        <v>28728.064000000002</v>
      </c>
      <c r="M774" s="10">
        <f t="shared" si="38"/>
        <v>258552.576</v>
      </c>
      <c r="N774" s="3" t="s">
        <v>38</v>
      </c>
      <c r="O774" s="3" t="s">
        <v>18</v>
      </c>
      <c r="P774" s="3" t="s">
        <v>53</v>
      </c>
    </row>
    <row r="775" spans="1:16" x14ac:dyDescent="0.25">
      <c r="A775" s="2" t="s">
        <v>1124</v>
      </c>
      <c r="B775" s="4">
        <v>45809</v>
      </c>
      <c r="C775" s="2" t="s">
        <v>268</v>
      </c>
      <c r="D775" s="2" t="s">
        <v>87</v>
      </c>
      <c r="E775" s="2" t="s">
        <v>88</v>
      </c>
      <c r="F775" s="2" t="s">
        <v>110</v>
      </c>
      <c r="G775" s="2" t="s">
        <v>67</v>
      </c>
      <c r="H775" s="2">
        <v>4168.04</v>
      </c>
      <c r="I775" s="2">
        <v>3</v>
      </c>
      <c r="J775" s="2">
        <v>5</v>
      </c>
      <c r="K775" s="9">
        <f t="shared" si="36"/>
        <v>12504.119999999999</v>
      </c>
      <c r="L775" s="9">
        <f t="shared" si="37"/>
        <v>625.2059999999999</v>
      </c>
      <c r="M775" s="10">
        <f t="shared" si="38"/>
        <v>11878.913999999999</v>
      </c>
      <c r="N775" s="2" t="s">
        <v>33</v>
      </c>
      <c r="O775" s="2" t="s">
        <v>18</v>
      </c>
      <c r="P775" s="2" t="s">
        <v>34</v>
      </c>
    </row>
    <row r="776" spans="1:16" x14ac:dyDescent="0.25">
      <c r="A776" s="3" t="s">
        <v>1125</v>
      </c>
      <c r="B776" s="4">
        <v>45810</v>
      </c>
      <c r="C776" s="3" t="s">
        <v>376</v>
      </c>
      <c r="D776" s="3" t="s">
        <v>51</v>
      </c>
      <c r="E776" s="3" t="s">
        <v>14</v>
      </c>
      <c r="F776" s="3" t="s">
        <v>31</v>
      </c>
      <c r="G776" s="3" t="s">
        <v>32</v>
      </c>
      <c r="H776" s="3">
        <v>2583.5300000000002</v>
      </c>
      <c r="I776" s="3">
        <v>2</v>
      </c>
      <c r="J776" s="3">
        <v>5</v>
      </c>
      <c r="K776" s="9">
        <f t="shared" si="36"/>
        <v>5167.0600000000004</v>
      </c>
      <c r="L776" s="9">
        <f t="shared" si="37"/>
        <v>258.35300000000001</v>
      </c>
      <c r="M776" s="10">
        <f t="shared" si="38"/>
        <v>4908.7070000000003</v>
      </c>
      <c r="N776" s="3" t="s">
        <v>26</v>
      </c>
      <c r="O776" s="3" t="s">
        <v>18</v>
      </c>
      <c r="P776" s="3" t="s">
        <v>19</v>
      </c>
    </row>
    <row r="777" spans="1:16" x14ac:dyDescent="0.25">
      <c r="A777" s="2" t="s">
        <v>1126</v>
      </c>
      <c r="B777" s="4">
        <v>45811</v>
      </c>
      <c r="C777" s="2" t="s">
        <v>139</v>
      </c>
      <c r="D777" s="2" t="s">
        <v>76</v>
      </c>
      <c r="E777" s="2" t="s">
        <v>77</v>
      </c>
      <c r="F777" s="2" t="s">
        <v>31</v>
      </c>
      <c r="G777" s="2" t="s">
        <v>186</v>
      </c>
      <c r="H777" s="2">
        <v>753.51</v>
      </c>
      <c r="I777" s="2">
        <v>1</v>
      </c>
      <c r="J777" s="2">
        <v>15</v>
      </c>
      <c r="K777" s="9">
        <f t="shared" si="36"/>
        <v>753.51</v>
      </c>
      <c r="L777" s="9">
        <f t="shared" si="37"/>
        <v>113.0265</v>
      </c>
      <c r="M777" s="10">
        <f t="shared" si="38"/>
        <v>640.48350000000005</v>
      </c>
      <c r="N777" s="2" t="s">
        <v>38</v>
      </c>
      <c r="O777" s="2" t="s">
        <v>18</v>
      </c>
      <c r="P777" s="2" t="s">
        <v>34</v>
      </c>
    </row>
    <row r="778" spans="1:16" x14ac:dyDescent="0.25">
      <c r="A778" s="3" t="s">
        <v>1127</v>
      </c>
      <c r="B778" s="4">
        <v>45812</v>
      </c>
      <c r="C778" s="3" t="s">
        <v>435</v>
      </c>
      <c r="D778" s="3" t="s">
        <v>83</v>
      </c>
      <c r="E778" s="3" t="s">
        <v>84</v>
      </c>
      <c r="F778" s="3" t="s">
        <v>36</v>
      </c>
      <c r="G778" s="3" t="s">
        <v>78</v>
      </c>
      <c r="H778" s="3">
        <v>82241.490000000005</v>
      </c>
      <c r="I778" s="3">
        <v>1</v>
      </c>
      <c r="J778" s="3">
        <v>0</v>
      </c>
      <c r="K778" s="9">
        <f t="shared" si="36"/>
        <v>82241.490000000005</v>
      </c>
      <c r="L778" s="9">
        <f t="shared" si="37"/>
        <v>0</v>
      </c>
      <c r="M778" s="10">
        <f t="shared" si="38"/>
        <v>82241.490000000005</v>
      </c>
      <c r="N778" s="3" t="s">
        <v>26</v>
      </c>
      <c r="O778" s="3" t="s">
        <v>18</v>
      </c>
      <c r="P778" s="3" t="s">
        <v>19</v>
      </c>
    </row>
    <row r="779" spans="1:16" x14ac:dyDescent="0.25">
      <c r="A779" s="2" t="s">
        <v>1128</v>
      </c>
      <c r="B779" s="4">
        <v>45813</v>
      </c>
      <c r="C779" s="2" t="s">
        <v>653</v>
      </c>
      <c r="D779" s="2" t="s">
        <v>87</v>
      </c>
      <c r="E779" s="2" t="s">
        <v>88</v>
      </c>
      <c r="F779" s="2" t="s">
        <v>72</v>
      </c>
      <c r="G779" s="2" t="s">
        <v>137</v>
      </c>
      <c r="H779" s="2">
        <v>2318.52</v>
      </c>
      <c r="I779" s="2">
        <v>5</v>
      </c>
      <c r="J779" s="2">
        <v>10</v>
      </c>
      <c r="K779" s="9">
        <f t="shared" si="36"/>
        <v>11592.6</v>
      </c>
      <c r="L779" s="9">
        <f t="shared" si="37"/>
        <v>1159.26</v>
      </c>
      <c r="M779" s="10">
        <f t="shared" si="38"/>
        <v>10433.34</v>
      </c>
      <c r="N779" s="2" t="s">
        <v>26</v>
      </c>
      <c r="O779" s="2" t="s">
        <v>39</v>
      </c>
      <c r="P779" s="2" t="s">
        <v>19</v>
      </c>
    </row>
    <row r="780" spans="1:16" x14ac:dyDescent="0.25">
      <c r="A780" s="3" t="s">
        <v>1129</v>
      </c>
      <c r="B780" s="4">
        <v>45814</v>
      </c>
      <c r="C780" s="3" t="s">
        <v>621</v>
      </c>
      <c r="D780" s="3" t="s">
        <v>13</v>
      </c>
      <c r="E780" s="3" t="s">
        <v>14</v>
      </c>
      <c r="F780" s="3" t="s">
        <v>43</v>
      </c>
      <c r="G780" s="3" t="s">
        <v>145</v>
      </c>
      <c r="H780" s="3">
        <v>13110.35</v>
      </c>
      <c r="I780" s="3">
        <v>1</v>
      </c>
      <c r="J780" s="3">
        <v>10</v>
      </c>
      <c r="K780" s="9">
        <f t="shared" si="36"/>
        <v>13110.35</v>
      </c>
      <c r="L780" s="9">
        <f t="shared" si="37"/>
        <v>1311.0350000000001</v>
      </c>
      <c r="M780" s="10">
        <f t="shared" si="38"/>
        <v>11799.315000000001</v>
      </c>
      <c r="N780" s="3" t="s">
        <v>17</v>
      </c>
      <c r="O780" s="3" t="s">
        <v>52</v>
      </c>
      <c r="P780" s="3" t="s">
        <v>40</v>
      </c>
    </row>
    <row r="781" spans="1:16" x14ac:dyDescent="0.25">
      <c r="A781" s="2" t="s">
        <v>1130</v>
      </c>
      <c r="B781" s="4">
        <v>45815</v>
      </c>
      <c r="C781" s="2" t="s">
        <v>431</v>
      </c>
      <c r="D781" s="2" t="s">
        <v>22</v>
      </c>
      <c r="E781" s="2" t="s">
        <v>23</v>
      </c>
      <c r="F781" s="2" t="s">
        <v>24</v>
      </c>
      <c r="G781" s="2" t="s">
        <v>170</v>
      </c>
      <c r="H781" s="2">
        <v>1108.33</v>
      </c>
      <c r="I781" s="2">
        <v>2</v>
      </c>
      <c r="J781" s="2">
        <v>15</v>
      </c>
      <c r="K781" s="9">
        <f t="shared" si="36"/>
        <v>2216.66</v>
      </c>
      <c r="L781" s="9">
        <f t="shared" si="37"/>
        <v>332.49899999999997</v>
      </c>
      <c r="M781" s="10">
        <f t="shared" si="38"/>
        <v>1884.1609999999998</v>
      </c>
      <c r="N781" s="2" t="s">
        <v>26</v>
      </c>
      <c r="O781" s="2" t="s">
        <v>27</v>
      </c>
      <c r="P781" s="2" t="s">
        <v>34</v>
      </c>
    </row>
    <row r="782" spans="1:16" x14ac:dyDescent="0.25">
      <c r="A782" s="3" t="s">
        <v>1131</v>
      </c>
      <c r="B782" s="4">
        <v>45816</v>
      </c>
      <c r="C782" s="3" t="s">
        <v>42</v>
      </c>
      <c r="D782" s="3" t="s">
        <v>76</v>
      </c>
      <c r="E782" s="3" t="s">
        <v>77</v>
      </c>
      <c r="F782" s="3" t="s">
        <v>15</v>
      </c>
      <c r="G782" s="3" t="s">
        <v>198</v>
      </c>
      <c r="H782" s="3">
        <v>744.69</v>
      </c>
      <c r="I782" s="3">
        <v>3</v>
      </c>
      <c r="J782" s="3">
        <v>5</v>
      </c>
      <c r="K782" s="9">
        <f t="shared" si="36"/>
        <v>2234.0700000000002</v>
      </c>
      <c r="L782" s="9">
        <f t="shared" si="37"/>
        <v>111.70350000000001</v>
      </c>
      <c r="M782" s="10">
        <f t="shared" si="38"/>
        <v>2122.3665000000001</v>
      </c>
      <c r="N782" s="3" t="s">
        <v>26</v>
      </c>
      <c r="O782" s="3" t="s">
        <v>18</v>
      </c>
      <c r="P782" s="3" t="s">
        <v>53</v>
      </c>
    </row>
    <row r="783" spans="1:16" x14ac:dyDescent="0.25">
      <c r="A783" s="2" t="s">
        <v>1132</v>
      </c>
      <c r="B783" s="4">
        <v>45817</v>
      </c>
      <c r="C783" s="2" t="s">
        <v>214</v>
      </c>
      <c r="D783" s="2" t="s">
        <v>51</v>
      </c>
      <c r="E783" s="2" t="s">
        <v>14</v>
      </c>
      <c r="F783" s="2" t="s">
        <v>72</v>
      </c>
      <c r="G783" s="2" t="s">
        <v>129</v>
      </c>
      <c r="H783" s="2">
        <v>1742.88</v>
      </c>
      <c r="I783" s="2">
        <v>5</v>
      </c>
      <c r="J783" s="2">
        <v>15</v>
      </c>
      <c r="K783" s="9">
        <f t="shared" si="36"/>
        <v>8714.4000000000015</v>
      </c>
      <c r="L783" s="9">
        <f t="shared" si="37"/>
        <v>1307.1600000000003</v>
      </c>
      <c r="M783" s="10">
        <f t="shared" si="38"/>
        <v>7407.2400000000016</v>
      </c>
      <c r="N783" s="2" t="s">
        <v>68</v>
      </c>
      <c r="O783" s="2" t="s">
        <v>18</v>
      </c>
      <c r="P783" s="2" t="s">
        <v>34</v>
      </c>
    </row>
    <row r="784" spans="1:16" x14ac:dyDescent="0.25">
      <c r="A784" s="3" t="s">
        <v>1133</v>
      </c>
      <c r="B784" s="4">
        <v>45818</v>
      </c>
      <c r="C784" s="3" t="s">
        <v>279</v>
      </c>
      <c r="D784" s="3" t="s">
        <v>51</v>
      </c>
      <c r="E784" s="3" t="s">
        <v>14</v>
      </c>
      <c r="F784" s="3" t="s">
        <v>24</v>
      </c>
      <c r="G784" s="3" t="s">
        <v>59</v>
      </c>
      <c r="H784" s="3">
        <v>4921.72</v>
      </c>
      <c r="I784" s="3">
        <v>2</v>
      </c>
      <c r="J784" s="3">
        <v>5</v>
      </c>
      <c r="K784" s="9">
        <f t="shared" si="36"/>
        <v>9843.44</v>
      </c>
      <c r="L784" s="9">
        <f t="shared" si="37"/>
        <v>492.17200000000003</v>
      </c>
      <c r="M784" s="10">
        <f t="shared" si="38"/>
        <v>9351.268</v>
      </c>
      <c r="N784" s="3" t="s">
        <v>33</v>
      </c>
      <c r="O784" s="3" t="s">
        <v>18</v>
      </c>
      <c r="P784" s="3" t="s">
        <v>60</v>
      </c>
    </row>
    <row r="785" spans="1:16" x14ac:dyDescent="0.25">
      <c r="A785" s="2" t="s">
        <v>1134</v>
      </c>
      <c r="B785" s="4">
        <v>45819</v>
      </c>
      <c r="C785" s="2" t="s">
        <v>305</v>
      </c>
      <c r="D785" s="2" t="s">
        <v>87</v>
      </c>
      <c r="E785" s="2" t="s">
        <v>88</v>
      </c>
      <c r="F785" s="2" t="s">
        <v>36</v>
      </c>
      <c r="G785" s="2" t="s">
        <v>37</v>
      </c>
      <c r="H785" s="2">
        <v>11149.4</v>
      </c>
      <c r="I785" s="2">
        <v>1</v>
      </c>
      <c r="J785" s="2">
        <v>0</v>
      </c>
      <c r="K785" s="9">
        <f t="shared" si="36"/>
        <v>11149.4</v>
      </c>
      <c r="L785" s="9">
        <f t="shared" si="37"/>
        <v>0</v>
      </c>
      <c r="M785" s="10">
        <f t="shared" si="38"/>
        <v>11149.4</v>
      </c>
      <c r="N785" s="2" t="s">
        <v>68</v>
      </c>
      <c r="O785" s="2" t="s">
        <v>18</v>
      </c>
      <c r="P785" s="2" t="s">
        <v>34</v>
      </c>
    </row>
    <row r="786" spans="1:16" x14ac:dyDescent="0.25">
      <c r="A786" s="3" t="s">
        <v>1135</v>
      </c>
      <c r="B786" s="4">
        <v>45820</v>
      </c>
      <c r="C786" s="3" t="s">
        <v>488</v>
      </c>
      <c r="D786" s="3" t="s">
        <v>65</v>
      </c>
      <c r="E786" s="3" t="s">
        <v>66</v>
      </c>
      <c r="F786" s="3" t="s">
        <v>36</v>
      </c>
      <c r="G786" s="3" t="s">
        <v>37</v>
      </c>
      <c r="H786" s="3">
        <v>12622.06</v>
      </c>
      <c r="I786" s="3">
        <v>2</v>
      </c>
      <c r="J786" s="3">
        <v>0</v>
      </c>
      <c r="K786" s="9">
        <f t="shared" si="36"/>
        <v>25244.12</v>
      </c>
      <c r="L786" s="9">
        <f t="shared" si="37"/>
        <v>0</v>
      </c>
      <c r="M786" s="10">
        <f t="shared" si="38"/>
        <v>25244.12</v>
      </c>
      <c r="N786" s="3" t="s">
        <v>68</v>
      </c>
      <c r="O786" s="3" t="s">
        <v>27</v>
      </c>
      <c r="P786" s="3" t="s">
        <v>19</v>
      </c>
    </row>
    <row r="787" spans="1:16" x14ac:dyDescent="0.25">
      <c r="A787" s="2" t="s">
        <v>1136</v>
      </c>
      <c r="B787" s="4">
        <v>45821</v>
      </c>
      <c r="C787" s="2" t="s">
        <v>530</v>
      </c>
      <c r="D787" s="2" t="s">
        <v>83</v>
      </c>
      <c r="E787" s="2" t="s">
        <v>84</v>
      </c>
      <c r="F787" s="2" t="s">
        <v>72</v>
      </c>
      <c r="G787" s="2" t="s">
        <v>137</v>
      </c>
      <c r="H787" s="2">
        <v>2297.48</v>
      </c>
      <c r="I787" s="2">
        <v>3</v>
      </c>
      <c r="J787" s="2">
        <v>10</v>
      </c>
      <c r="K787" s="9">
        <f t="shared" si="36"/>
        <v>6892.4400000000005</v>
      </c>
      <c r="L787" s="9">
        <f t="shared" si="37"/>
        <v>689.24400000000014</v>
      </c>
      <c r="M787" s="10">
        <f t="shared" si="38"/>
        <v>6203.1959999999999</v>
      </c>
      <c r="N787" s="2" t="s">
        <v>68</v>
      </c>
      <c r="O787" s="2" t="s">
        <v>39</v>
      </c>
      <c r="P787" s="2" t="s">
        <v>34</v>
      </c>
    </row>
    <row r="788" spans="1:16" x14ac:dyDescent="0.25">
      <c r="A788" s="3" t="s">
        <v>1137</v>
      </c>
      <c r="B788" s="4">
        <v>45822</v>
      </c>
      <c r="C788" s="3" t="s">
        <v>493</v>
      </c>
      <c r="D788" s="3" t="s">
        <v>65</v>
      </c>
      <c r="E788" s="3" t="s">
        <v>66</v>
      </c>
      <c r="F788" s="3" t="s">
        <v>43</v>
      </c>
      <c r="G788" s="3" t="s">
        <v>127</v>
      </c>
      <c r="H788" s="3">
        <v>5926.34</v>
      </c>
      <c r="I788" s="3">
        <v>5</v>
      </c>
      <c r="J788" s="3">
        <v>15</v>
      </c>
      <c r="K788" s="9">
        <f t="shared" si="36"/>
        <v>29631.7</v>
      </c>
      <c r="L788" s="9">
        <f t="shared" si="37"/>
        <v>4444.7550000000001</v>
      </c>
      <c r="M788" s="10">
        <f t="shared" si="38"/>
        <v>25186.945</v>
      </c>
      <c r="N788" s="3" t="s">
        <v>33</v>
      </c>
      <c r="O788" s="3" t="s">
        <v>27</v>
      </c>
      <c r="P788" s="3" t="s">
        <v>34</v>
      </c>
    </row>
    <row r="789" spans="1:16" x14ac:dyDescent="0.25">
      <c r="A789" s="2" t="s">
        <v>1138</v>
      </c>
      <c r="B789" s="4">
        <v>45823</v>
      </c>
      <c r="C789" s="2" t="s">
        <v>223</v>
      </c>
      <c r="D789" s="2" t="s">
        <v>47</v>
      </c>
      <c r="E789" s="2" t="s">
        <v>48</v>
      </c>
      <c r="F789" s="2" t="s">
        <v>36</v>
      </c>
      <c r="G789" s="2" t="s">
        <v>78</v>
      </c>
      <c r="H789" s="2">
        <v>85636.37</v>
      </c>
      <c r="I789" s="2">
        <v>4</v>
      </c>
      <c r="J789" s="2">
        <v>0</v>
      </c>
      <c r="K789" s="9">
        <f t="shared" si="36"/>
        <v>342545.48</v>
      </c>
      <c r="L789" s="9">
        <f t="shared" si="37"/>
        <v>0</v>
      </c>
      <c r="M789" s="10">
        <f t="shared" si="38"/>
        <v>342545.48</v>
      </c>
      <c r="N789" s="2" t="s">
        <v>17</v>
      </c>
      <c r="O789" s="2" t="s">
        <v>52</v>
      </c>
      <c r="P789" s="2" t="s">
        <v>34</v>
      </c>
    </row>
    <row r="790" spans="1:16" x14ac:dyDescent="0.25">
      <c r="A790" s="3" t="s">
        <v>1139</v>
      </c>
      <c r="B790" s="4">
        <v>45824</v>
      </c>
      <c r="C790" s="3" t="s">
        <v>265</v>
      </c>
      <c r="D790" s="3" t="s">
        <v>83</v>
      </c>
      <c r="E790" s="3" t="s">
        <v>84</v>
      </c>
      <c r="F790" s="3" t="s">
        <v>31</v>
      </c>
      <c r="G790" s="3" t="s">
        <v>242</v>
      </c>
      <c r="H790" s="3">
        <v>871.33</v>
      </c>
      <c r="I790" s="3">
        <v>2</v>
      </c>
      <c r="J790" s="3">
        <v>10</v>
      </c>
      <c r="K790" s="9">
        <f t="shared" si="36"/>
        <v>1742.66</v>
      </c>
      <c r="L790" s="9">
        <f t="shared" si="37"/>
        <v>174.26600000000002</v>
      </c>
      <c r="M790" s="10">
        <f t="shared" si="38"/>
        <v>1568.394</v>
      </c>
      <c r="N790" s="3" t="s">
        <v>68</v>
      </c>
      <c r="O790" s="3" t="s">
        <v>39</v>
      </c>
      <c r="P790" s="3" t="s">
        <v>19</v>
      </c>
    </row>
    <row r="791" spans="1:16" x14ac:dyDescent="0.25">
      <c r="A791" s="2" t="s">
        <v>1140</v>
      </c>
      <c r="B791" s="4">
        <v>45825</v>
      </c>
      <c r="C791" s="2" t="s">
        <v>307</v>
      </c>
      <c r="D791" s="2" t="s">
        <v>47</v>
      </c>
      <c r="E791" s="2" t="s">
        <v>48</v>
      </c>
      <c r="F791" s="2" t="s">
        <v>15</v>
      </c>
      <c r="G791" s="2" t="s">
        <v>95</v>
      </c>
      <c r="H791" s="2">
        <v>1316.87</v>
      </c>
      <c r="I791" s="2">
        <v>1</v>
      </c>
      <c r="J791" s="2">
        <v>0</v>
      </c>
      <c r="K791" s="9">
        <f t="shared" si="36"/>
        <v>1316.87</v>
      </c>
      <c r="L791" s="9">
        <f t="shared" si="37"/>
        <v>0</v>
      </c>
      <c r="M791" s="10">
        <f t="shared" si="38"/>
        <v>1316.87</v>
      </c>
      <c r="N791" s="2" t="s">
        <v>38</v>
      </c>
      <c r="O791" s="2" t="s">
        <v>18</v>
      </c>
      <c r="P791" s="2" t="s">
        <v>19</v>
      </c>
    </row>
    <row r="792" spans="1:16" x14ac:dyDescent="0.25">
      <c r="A792" s="3" t="s">
        <v>1141</v>
      </c>
      <c r="B792" s="4">
        <v>45826</v>
      </c>
      <c r="C792" s="3" t="s">
        <v>562</v>
      </c>
      <c r="D792" s="3" t="s">
        <v>22</v>
      </c>
      <c r="E792" s="3" t="s">
        <v>23</v>
      </c>
      <c r="F792" s="3" t="s">
        <v>43</v>
      </c>
      <c r="G792" s="3" t="s">
        <v>105</v>
      </c>
      <c r="H792" s="3">
        <v>2840.56</v>
      </c>
      <c r="I792" s="3">
        <v>1</v>
      </c>
      <c r="J792" s="3">
        <v>10</v>
      </c>
      <c r="K792" s="9">
        <f t="shared" si="36"/>
        <v>2840.56</v>
      </c>
      <c r="L792" s="9">
        <f t="shared" si="37"/>
        <v>284.05599999999998</v>
      </c>
      <c r="M792" s="10">
        <f t="shared" si="38"/>
        <v>2556.5039999999999</v>
      </c>
      <c r="N792" s="3" t="s">
        <v>38</v>
      </c>
      <c r="O792" s="3" t="s">
        <v>18</v>
      </c>
      <c r="P792" s="3" t="s">
        <v>19</v>
      </c>
    </row>
    <row r="793" spans="1:16" x14ac:dyDescent="0.25">
      <c r="A793" s="2" t="s">
        <v>1142</v>
      </c>
      <c r="B793" s="4">
        <v>45827</v>
      </c>
      <c r="C793" s="2" t="s">
        <v>647</v>
      </c>
      <c r="D793" s="2" t="s">
        <v>83</v>
      </c>
      <c r="E793" s="2" t="s">
        <v>84</v>
      </c>
      <c r="F793" s="2" t="s">
        <v>72</v>
      </c>
      <c r="G793" s="2" t="s">
        <v>73</v>
      </c>
      <c r="H793" s="2">
        <v>331.37</v>
      </c>
      <c r="I793" s="2">
        <v>3</v>
      </c>
      <c r="J793" s="2">
        <v>15</v>
      </c>
      <c r="K793" s="9">
        <f t="shared" si="36"/>
        <v>994.11</v>
      </c>
      <c r="L793" s="9">
        <f t="shared" si="37"/>
        <v>149.1165</v>
      </c>
      <c r="M793" s="10">
        <f t="shared" si="38"/>
        <v>844.99350000000004</v>
      </c>
      <c r="N793" s="2" t="s">
        <v>17</v>
      </c>
      <c r="O793" s="2" t="s">
        <v>27</v>
      </c>
      <c r="P793" s="2" t="s">
        <v>53</v>
      </c>
    </row>
    <row r="794" spans="1:16" x14ac:dyDescent="0.25">
      <c r="A794" s="3" t="s">
        <v>1143</v>
      </c>
      <c r="B794" s="4">
        <v>45828</v>
      </c>
      <c r="C794" s="3" t="s">
        <v>334</v>
      </c>
      <c r="D794" s="3" t="s">
        <v>51</v>
      </c>
      <c r="E794" s="3" t="s">
        <v>14</v>
      </c>
      <c r="F794" s="3" t="s">
        <v>36</v>
      </c>
      <c r="G794" s="3" t="s">
        <v>338</v>
      </c>
      <c r="H794" s="3">
        <v>65213.87</v>
      </c>
      <c r="I794" s="3">
        <v>2</v>
      </c>
      <c r="J794" s="3">
        <v>15</v>
      </c>
      <c r="K794" s="9">
        <f t="shared" si="36"/>
        <v>130427.74</v>
      </c>
      <c r="L794" s="9">
        <f t="shared" si="37"/>
        <v>19564.161</v>
      </c>
      <c r="M794" s="10">
        <f t="shared" si="38"/>
        <v>110863.579</v>
      </c>
      <c r="N794" s="3" t="s">
        <v>33</v>
      </c>
      <c r="O794" s="3" t="s">
        <v>18</v>
      </c>
      <c r="P794" s="3" t="s">
        <v>53</v>
      </c>
    </row>
    <row r="795" spans="1:16" x14ac:dyDescent="0.25">
      <c r="A795" s="2" t="s">
        <v>1144</v>
      </c>
      <c r="B795" s="4">
        <v>45829</v>
      </c>
      <c r="C795" s="2" t="s">
        <v>530</v>
      </c>
      <c r="D795" s="2" t="s">
        <v>22</v>
      </c>
      <c r="E795" s="2" t="s">
        <v>23</v>
      </c>
      <c r="F795" s="2" t="s">
        <v>36</v>
      </c>
      <c r="G795" s="2" t="s">
        <v>78</v>
      </c>
      <c r="H795" s="2">
        <v>83723.070000000007</v>
      </c>
      <c r="I795" s="2">
        <v>2</v>
      </c>
      <c r="J795" s="2">
        <v>0</v>
      </c>
      <c r="K795" s="9">
        <f t="shared" si="36"/>
        <v>167446.14000000001</v>
      </c>
      <c r="L795" s="9">
        <f t="shared" si="37"/>
        <v>0</v>
      </c>
      <c r="M795" s="10">
        <f t="shared" si="38"/>
        <v>167446.14000000001</v>
      </c>
      <c r="N795" s="2" t="s">
        <v>26</v>
      </c>
      <c r="O795" s="2" t="s">
        <v>18</v>
      </c>
      <c r="P795" s="2" t="s">
        <v>40</v>
      </c>
    </row>
    <row r="796" spans="1:16" x14ac:dyDescent="0.25">
      <c r="A796" s="3" t="s">
        <v>1145</v>
      </c>
      <c r="B796" s="4">
        <v>45830</v>
      </c>
      <c r="C796" s="3" t="s">
        <v>19</v>
      </c>
      <c r="D796" s="3" t="s">
        <v>65</v>
      </c>
      <c r="E796" s="3" t="s">
        <v>66</v>
      </c>
      <c r="F796" s="3" t="s">
        <v>110</v>
      </c>
      <c r="G796" s="3" t="s">
        <v>111</v>
      </c>
      <c r="H796" s="3">
        <v>9536</v>
      </c>
      <c r="I796" s="3">
        <v>4</v>
      </c>
      <c r="J796" s="3">
        <v>5</v>
      </c>
      <c r="K796" s="9">
        <f t="shared" si="36"/>
        <v>38144</v>
      </c>
      <c r="L796" s="9">
        <f t="shared" si="37"/>
        <v>1907.2</v>
      </c>
      <c r="M796" s="10">
        <f t="shared" si="38"/>
        <v>36236.800000000003</v>
      </c>
      <c r="N796" s="3" t="s">
        <v>17</v>
      </c>
      <c r="O796" s="3" t="s">
        <v>18</v>
      </c>
      <c r="P796" s="3" t="s">
        <v>60</v>
      </c>
    </row>
    <row r="797" spans="1:16" x14ac:dyDescent="0.25">
      <c r="A797" s="2" t="s">
        <v>1146</v>
      </c>
      <c r="B797" s="4">
        <v>45831</v>
      </c>
      <c r="C797" s="2" t="s">
        <v>107</v>
      </c>
      <c r="D797" s="2" t="s">
        <v>65</v>
      </c>
      <c r="E797" s="2" t="s">
        <v>66</v>
      </c>
      <c r="F797" s="2" t="s">
        <v>72</v>
      </c>
      <c r="G797" s="2" t="s">
        <v>102</v>
      </c>
      <c r="H797" s="2">
        <v>603.77</v>
      </c>
      <c r="I797" s="2">
        <v>2</v>
      </c>
      <c r="J797" s="2">
        <v>10</v>
      </c>
      <c r="K797" s="9">
        <f t="shared" si="36"/>
        <v>1207.54</v>
      </c>
      <c r="L797" s="9">
        <f t="shared" si="37"/>
        <v>120.75399999999999</v>
      </c>
      <c r="M797" s="10">
        <f t="shared" si="38"/>
        <v>1086.7860000000001</v>
      </c>
      <c r="N797" s="2" t="s">
        <v>33</v>
      </c>
      <c r="O797" s="2" t="s">
        <v>18</v>
      </c>
      <c r="P797" s="2" t="s">
        <v>19</v>
      </c>
    </row>
    <row r="798" spans="1:16" x14ac:dyDescent="0.25">
      <c r="A798" s="3" t="s">
        <v>1147</v>
      </c>
      <c r="B798" s="4">
        <v>45832</v>
      </c>
      <c r="C798" s="3" t="s">
        <v>455</v>
      </c>
      <c r="D798" s="3" t="s">
        <v>51</v>
      </c>
      <c r="E798" s="3" t="s">
        <v>14</v>
      </c>
      <c r="F798" s="3" t="s">
        <v>43</v>
      </c>
      <c r="G798" s="3" t="s">
        <v>145</v>
      </c>
      <c r="H798" s="3">
        <v>10878.26</v>
      </c>
      <c r="I798" s="3">
        <v>2</v>
      </c>
      <c r="J798" s="3">
        <v>5</v>
      </c>
      <c r="K798" s="9">
        <f t="shared" si="36"/>
        <v>21756.52</v>
      </c>
      <c r="L798" s="9">
        <f t="shared" si="37"/>
        <v>1087.826</v>
      </c>
      <c r="M798" s="10">
        <f t="shared" si="38"/>
        <v>20668.694</v>
      </c>
      <c r="N798" s="3" t="s">
        <v>38</v>
      </c>
      <c r="O798" s="3" t="s">
        <v>18</v>
      </c>
      <c r="P798" s="3" t="s">
        <v>19</v>
      </c>
    </row>
    <row r="799" spans="1:16" x14ac:dyDescent="0.25">
      <c r="A799" s="2" t="s">
        <v>1148</v>
      </c>
      <c r="B799" s="4">
        <v>45833</v>
      </c>
      <c r="C799" s="2" t="s">
        <v>468</v>
      </c>
      <c r="D799" s="2" t="s">
        <v>87</v>
      </c>
      <c r="E799" s="2" t="s">
        <v>88</v>
      </c>
      <c r="F799" s="2" t="s">
        <v>110</v>
      </c>
      <c r="G799" s="2" t="s">
        <v>215</v>
      </c>
      <c r="H799" s="2">
        <v>2270.14</v>
      </c>
      <c r="I799" s="2">
        <v>2</v>
      </c>
      <c r="J799" s="2">
        <v>0</v>
      </c>
      <c r="K799" s="9">
        <f t="shared" si="36"/>
        <v>4540.28</v>
      </c>
      <c r="L799" s="9">
        <f t="shared" si="37"/>
        <v>0</v>
      </c>
      <c r="M799" s="10">
        <f t="shared" si="38"/>
        <v>4540.28</v>
      </c>
      <c r="N799" s="2" t="s">
        <v>38</v>
      </c>
      <c r="O799" s="2" t="s">
        <v>18</v>
      </c>
      <c r="P799" s="2" t="s">
        <v>34</v>
      </c>
    </row>
    <row r="800" spans="1:16" x14ac:dyDescent="0.25">
      <c r="A800" s="3" t="s">
        <v>1149</v>
      </c>
      <c r="B800" s="4">
        <v>45834</v>
      </c>
      <c r="C800" s="3" t="s">
        <v>490</v>
      </c>
      <c r="D800" s="3" t="s">
        <v>13</v>
      </c>
      <c r="E800" s="3" t="s">
        <v>14</v>
      </c>
      <c r="F800" s="3" t="s">
        <v>72</v>
      </c>
      <c r="G800" s="3" t="s">
        <v>102</v>
      </c>
      <c r="H800" s="3">
        <v>603.48</v>
      </c>
      <c r="I800" s="3">
        <v>5</v>
      </c>
      <c r="J800" s="3">
        <v>0</v>
      </c>
      <c r="K800" s="9">
        <f t="shared" si="36"/>
        <v>3017.4</v>
      </c>
      <c r="L800" s="9">
        <f t="shared" si="37"/>
        <v>0</v>
      </c>
      <c r="M800" s="10">
        <f t="shared" si="38"/>
        <v>3017.4</v>
      </c>
      <c r="N800" s="3" t="s">
        <v>68</v>
      </c>
      <c r="O800" s="3" t="s">
        <v>18</v>
      </c>
      <c r="P800" s="3" t="s">
        <v>34</v>
      </c>
    </row>
    <row r="801" spans="1:16" x14ac:dyDescent="0.25">
      <c r="A801" s="2" t="s">
        <v>1150</v>
      </c>
      <c r="B801" s="4">
        <v>45835</v>
      </c>
      <c r="C801" s="2" t="s">
        <v>326</v>
      </c>
      <c r="D801" s="2" t="s">
        <v>76</v>
      </c>
      <c r="E801" s="2" t="s">
        <v>77</v>
      </c>
      <c r="F801" s="2" t="s">
        <v>36</v>
      </c>
      <c r="G801" s="2" t="s">
        <v>78</v>
      </c>
      <c r="H801" s="2">
        <v>85808.13</v>
      </c>
      <c r="I801" s="2">
        <v>1</v>
      </c>
      <c r="J801" s="2">
        <v>0</v>
      </c>
      <c r="K801" s="9">
        <f t="shared" si="36"/>
        <v>85808.13</v>
      </c>
      <c r="L801" s="9">
        <f t="shared" si="37"/>
        <v>0</v>
      </c>
      <c r="M801" s="10">
        <f t="shared" si="38"/>
        <v>85808.13</v>
      </c>
      <c r="N801" s="2" t="s">
        <v>33</v>
      </c>
      <c r="O801" s="2" t="s">
        <v>18</v>
      </c>
      <c r="P801" s="2" t="s">
        <v>19</v>
      </c>
    </row>
    <row r="802" spans="1:16" x14ac:dyDescent="0.25">
      <c r="A802" s="3" t="s">
        <v>1151</v>
      </c>
      <c r="B802" s="4">
        <v>45836</v>
      </c>
      <c r="C802" s="3" t="s">
        <v>429</v>
      </c>
      <c r="D802" s="3" t="s">
        <v>87</v>
      </c>
      <c r="E802" s="3" t="s">
        <v>88</v>
      </c>
      <c r="F802" s="3" t="s">
        <v>72</v>
      </c>
      <c r="G802" s="3" t="s">
        <v>129</v>
      </c>
      <c r="H802" s="3">
        <v>1791.08</v>
      </c>
      <c r="I802" s="3">
        <v>5</v>
      </c>
      <c r="J802" s="3">
        <v>5</v>
      </c>
      <c r="K802" s="9">
        <f t="shared" si="36"/>
        <v>8955.4</v>
      </c>
      <c r="L802" s="9">
        <f t="shared" si="37"/>
        <v>447.77</v>
      </c>
      <c r="M802" s="10">
        <f t="shared" si="38"/>
        <v>8507.6299999999992</v>
      </c>
      <c r="N802" s="3" t="s">
        <v>26</v>
      </c>
      <c r="O802" s="3" t="s">
        <v>52</v>
      </c>
      <c r="P802" s="3" t="s">
        <v>60</v>
      </c>
    </row>
    <row r="803" spans="1:16" x14ac:dyDescent="0.25">
      <c r="A803" s="2" t="s">
        <v>1152</v>
      </c>
      <c r="B803" s="4">
        <v>45837</v>
      </c>
      <c r="C803" s="2" t="s">
        <v>786</v>
      </c>
      <c r="D803" s="2" t="s">
        <v>100</v>
      </c>
      <c r="E803" s="2" t="s">
        <v>88</v>
      </c>
      <c r="F803" s="2" t="s">
        <v>72</v>
      </c>
      <c r="G803" s="2" t="s">
        <v>137</v>
      </c>
      <c r="H803" s="2">
        <v>2019.3</v>
      </c>
      <c r="I803" s="2">
        <v>5</v>
      </c>
      <c r="J803" s="2">
        <v>0</v>
      </c>
      <c r="K803" s="9">
        <f t="shared" si="36"/>
        <v>10096.5</v>
      </c>
      <c r="L803" s="9">
        <f t="shared" si="37"/>
        <v>0</v>
      </c>
      <c r="M803" s="10">
        <f t="shared" si="38"/>
        <v>10096.5</v>
      </c>
      <c r="N803" s="2" t="s">
        <v>17</v>
      </c>
      <c r="O803" s="2" t="s">
        <v>18</v>
      </c>
      <c r="P803" s="2" t="s">
        <v>60</v>
      </c>
    </row>
    <row r="804" spans="1:16" x14ac:dyDescent="0.25">
      <c r="A804" s="3" t="s">
        <v>1153</v>
      </c>
      <c r="B804" s="4">
        <v>45838</v>
      </c>
      <c r="C804" s="3" t="s">
        <v>1044</v>
      </c>
      <c r="D804" s="3" t="s">
        <v>83</v>
      </c>
      <c r="E804" s="3" t="s">
        <v>84</v>
      </c>
      <c r="F804" s="3" t="s">
        <v>36</v>
      </c>
      <c r="G804" s="3" t="s">
        <v>121</v>
      </c>
      <c r="H804" s="3">
        <v>102410.82</v>
      </c>
      <c r="I804" s="3">
        <v>3</v>
      </c>
      <c r="J804" s="3">
        <v>15</v>
      </c>
      <c r="K804" s="9">
        <f t="shared" si="36"/>
        <v>307232.46000000002</v>
      </c>
      <c r="L804" s="9">
        <f t="shared" si="37"/>
        <v>46084.869000000006</v>
      </c>
      <c r="M804" s="10">
        <f t="shared" si="38"/>
        <v>261147.59100000001</v>
      </c>
      <c r="N804" s="3" t="s">
        <v>68</v>
      </c>
      <c r="O804" s="3" t="s">
        <v>39</v>
      </c>
      <c r="P804" s="3" t="s">
        <v>53</v>
      </c>
    </row>
    <row r="805" spans="1:16" x14ac:dyDescent="0.25">
      <c r="A805" s="2" t="s">
        <v>1154</v>
      </c>
      <c r="B805" s="4">
        <v>45839</v>
      </c>
      <c r="C805" s="2" t="s">
        <v>1155</v>
      </c>
      <c r="D805" s="2" t="s">
        <v>47</v>
      </c>
      <c r="E805" s="2" t="s">
        <v>48</v>
      </c>
      <c r="F805" s="2" t="s">
        <v>110</v>
      </c>
      <c r="G805" s="2" t="s">
        <v>207</v>
      </c>
      <c r="H805" s="2">
        <v>8744.65</v>
      </c>
      <c r="I805" s="2">
        <v>1</v>
      </c>
      <c r="J805" s="2">
        <v>0</v>
      </c>
      <c r="K805" s="9">
        <f t="shared" si="36"/>
        <v>8744.65</v>
      </c>
      <c r="L805" s="9">
        <f t="shared" si="37"/>
        <v>0</v>
      </c>
      <c r="M805" s="10">
        <f t="shared" si="38"/>
        <v>8744.65</v>
      </c>
      <c r="N805" s="2" t="s">
        <v>17</v>
      </c>
      <c r="O805" s="2" t="s">
        <v>52</v>
      </c>
      <c r="P805" s="2" t="s">
        <v>19</v>
      </c>
    </row>
    <row r="806" spans="1:16" x14ac:dyDescent="0.25">
      <c r="A806" s="3" t="s">
        <v>1156</v>
      </c>
      <c r="B806" s="4">
        <v>45840</v>
      </c>
      <c r="C806" s="3" t="s">
        <v>126</v>
      </c>
      <c r="D806" s="3" t="s">
        <v>51</v>
      </c>
      <c r="E806" s="3" t="s">
        <v>14</v>
      </c>
      <c r="F806" s="3" t="s">
        <v>72</v>
      </c>
      <c r="G806" s="3" t="s">
        <v>129</v>
      </c>
      <c r="H806" s="3">
        <v>1800.95</v>
      </c>
      <c r="I806" s="3">
        <v>1</v>
      </c>
      <c r="J806" s="3">
        <v>0</v>
      </c>
      <c r="K806" s="9">
        <f t="shared" si="36"/>
        <v>1800.95</v>
      </c>
      <c r="L806" s="9">
        <f t="shared" si="37"/>
        <v>0</v>
      </c>
      <c r="M806" s="10">
        <f t="shared" si="38"/>
        <v>1800.95</v>
      </c>
      <c r="N806" s="3" t="s">
        <v>17</v>
      </c>
      <c r="O806" s="3" t="s">
        <v>18</v>
      </c>
      <c r="P806" s="3" t="s">
        <v>40</v>
      </c>
    </row>
    <row r="807" spans="1:16" x14ac:dyDescent="0.25">
      <c r="A807" s="2" t="s">
        <v>1157</v>
      </c>
      <c r="B807" s="4">
        <v>45841</v>
      </c>
      <c r="C807" s="2" t="s">
        <v>525</v>
      </c>
      <c r="D807" s="2" t="s">
        <v>29</v>
      </c>
      <c r="E807" s="2" t="s">
        <v>30</v>
      </c>
      <c r="F807" s="2" t="s">
        <v>43</v>
      </c>
      <c r="G807" s="2" t="s">
        <v>44</v>
      </c>
      <c r="H807" s="2">
        <v>3714.84</v>
      </c>
      <c r="I807" s="2">
        <v>5</v>
      </c>
      <c r="J807" s="2">
        <v>5</v>
      </c>
      <c r="K807" s="9">
        <f t="shared" si="36"/>
        <v>18574.2</v>
      </c>
      <c r="L807" s="9">
        <f t="shared" si="37"/>
        <v>928.71</v>
      </c>
      <c r="M807" s="10">
        <f t="shared" si="38"/>
        <v>17645.490000000002</v>
      </c>
      <c r="N807" s="2" t="s">
        <v>33</v>
      </c>
      <c r="O807" s="2" t="s">
        <v>52</v>
      </c>
      <c r="P807" s="2" t="s">
        <v>40</v>
      </c>
    </row>
    <row r="808" spans="1:16" x14ac:dyDescent="0.25">
      <c r="A808" s="3" t="s">
        <v>1158</v>
      </c>
      <c r="B808" s="4">
        <v>45842</v>
      </c>
      <c r="C808" s="3" t="s">
        <v>610</v>
      </c>
      <c r="D808" s="3" t="s">
        <v>65</v>
      </c>
      <c r="E808" s="3" t="s">
        <v>66</v>
      </c>
      <c r="F808" s="3" t="s">
        <v>24</v>
      </c>
      <c r="G808" s="3" t="s">
        <v>134</v>
      </c>
      <c r="H808" s="3">
        <v>2262.0300000000002</v>
      </c>
      <c r="I808" s="3">
        <v>5</v>
      </c>
      <c r="J808" s="3">
        <v>0</v>
      </c>
      <c r="K808" s="9">
        <f t="shared" si="36"/>
        <v>11310.150000000001</v>
      </c>
      <c r="L808" s="9">
        <f t="shared" si="37"/>
        <v>0</v>
      </c>
      <c r="M808" s="10">
        <f t="shared" si="38"/>
        <v>11310.150000000001</v>
      </c>
      <c r="N808" s="3" t="s">
        <v>33</v>
      </c>
      <c r="O808" s="3" t="s">
        <v>18</v>
      </c>
      <c r="P808" s="3" t="s">
        <v>40</v>
      </c>
    </row>
    <row r="809" spans="1:16" x14ac:dyDescent="0.25">
      <c r="A809" s="2" t="s">
        <v>1159</v>
      </c>
      <c r="B809" s="4">
        <v>45843</v>
      </c>
      <c r="C809" s="2" t="s">
        <v>203</v>
      </c>
      <c r="D809" s="2" t="s">
        <v>100</v>
      </c>
      <c r="E809" s="2" t="s">
        <v>88</v>
      </c>
      <c r="F809" s="2" t="s">
        <v>31</v>
      </c>
      <c r="G809" s="2" t="s">
        <v>186</v>
      </c>
      <c r="H809" s="2">
        <v>749.23</v>
      </c>
      <c r="I809" s="2">
        <v>1</v>
      </c>
      <c r="J809" s="2">
        <v>0</v>
      </c>
      <c r="K809" s="9">
        <f t="shared" si="36"/>
        <v>749.23</v>
      </c>
      <c r="L809" s="9">
        <f t="shared" si="37"/>
        <v>0</v>
      </c>
      <c r="M809" s="10">
        <f t="shared" si="38"/>
        <v>749.23</v>
      </c>
      <c r="N809" s="2" t="s">
        <v>38</v>
      </c>
      <c r="O809" s="2" t="s">
        <v>18</v>
      </c>
      <c r="P809" s="2" t="s">
        <v>53</v>
      </c>
    </row>
    <row r="810" spans="1:16" x14ac:dyDescent="0.25">
      <c r="A810" s="3" t="s">
        <v>1160</v>
      </c>
      <c r="B810" s="4">
        <v>45844</v>
      </c>
      <c r="C810" s="3" t="s">
        <v>75</v>
      </c>
      <c r="D810" s="3" t="s">
        <v>100</v>
      </c>
      <c r="E810" s="3" t="s">
        <v>88</v>
      </c>
      <c r="F810" s="3" t="s">
        <v>36</v>
      </c>
      <c r="G810" s="3" t="s">
        <v>121</v>
      </c>
      <c r="H810" s="3">
        <v>86611.53</v>
      </c>
      <c r="I810" s="3">
        <v>4</v>
      </c>
      <c r="J810" s="3">
        <v>0</v>
      </c>
      <c r="K810" s="9">
        <f t="shared" si="36"/>
        <v>346446.12</v>
      </c>
      <c r="L810" s="9">
        <f t="shared" si="37"/>
        <v>0</v>
      </c>
      <c r="M810" s="10">
        <f t="shared" si="38"/>
        <v>346446.12</v>
      </c>
      <c r="N810" s="3" t="s">
        <v>38</v>
      </c>
      <c r="O810" s="3" t="s">
        <v>18</v>
      </c>
      <c r="P810" s="3" t="s">
        <v>60</v>
      </c>
    </row>
    <row r="811" spans="1:16" x14ac:dyDescent="0.25">
      <c r="A811" s="2" t="s">
        <v>1161</v>
      </c>
      <c r="B811" s="4">
        <v>45845</v>
      </c>
      <c r="C811" s="2" t="s">
        <v>683</v>
      </c>
      <c r="D811" s="2" t="s">
        <v>22</v>
      </c>
      <c r="E811" s="2" t="s">
        <v>23</v>
      </c>
      <c r="F811" s="2" t="s">
        <v>36</v>
      </c>
      <c r="G811" s="2" t="s">
        <v>49</v>
      </c>
      <c r="H811" s="2">
        <v>142188.69</v>
      </c>
      <c r="I811" s="2">
        <v>5</v>
      </c>
      <c r="J811" s="2">
        <v>10</v>
      </c>
      <c r="K811" s="9">
        <f t="shared" si="36"/>
        <v>710943.45</v>
      </c>
      <c r="L811" s="9">
        <f t="shared" si="37"/>
        <v>71094.345000000001</v>
      </c>
      <c r="M811" s="10">
        <f t="shared" si="38"/>
        <v>639849.10499999998</v>
      </c>
      <c r="N811" s="2" t="s">
        <v>26</v>
      </c>
      <c r="O811" s="2" t="s">
        <v>18</v>
      </c>
      <c r="P811" s="2" t="s">
        <v>19</v>
      </c>
    </row>
    <row r="812" spans="1:16" x14ac:dyDescent="0.25">
      <c r="A812" s="3" t="s">
        <v>1162</v>
      </c>
      <c r="B812" s="4">
        <v>45846</v>
      </c>
      <c r="C812" s="3" t="s">
        <v>568</v>
      </c>
      <c r="D812" s="3" t="s">
        <v>47</v>
      </c>
      <c r="E812" s="3" t="s">
        <v>48</v>
      </c>
      <c r="F812" s="3" t="s">
        <v>36</v>
      </c>
      <c r="G812" s="3" t="s">
        <v>338</v>
      </c>
      <c r="H812" s="3">
        <v>64542.71</v>
      </c>
      <c r="I812" s="3">
        <v>4</v>
      </c>
      <c r="J812" s="3">
        <v>15</v>
      </c>
      <c r="K812" s="9">
        <f t="shared" si="36"/>
        <v>258170.84</v>
      </c>
      <c r="L812" s="9">
        <f t="shared" si="37"/>
        <v>38725.626000000004</v>
      </c>
      <c r="M812" s="10">
        <f t="shared" si="38"/>
        <v>219445.21399999998</v>
      </c>
      <c r="N812" s="3" t="s">
        <v>33</v>
      </c>
      <c r="O812" s="3" t="s">
        <v>18</v>
      </c>
      <c r="P812" s="3" t="s">
        <v>60</v>
      </c>
    </row>
    <row r="813" spans="1:16" x14ac:dyDescent="0.25">
      <c r="A813" s="2" t="s">
        <v>1163</v>
      </c>
      <c r="B813" s="4">
        <v>45847</v>
      </c>
      <c r="C813" s="2" t="s">
        <v>875</v>
      </c>
      <c r="D813" s="2" t="s">
        <v>47</v>
      </c>
      <c r="E813" s="2" t="s">
        <v>48</v>
      </c>
      <c r="F813" s="2" t="s">
        <v>110</v>
      </c>
      <c r="G813" s="2" t="s">
        <v>111</v>
      </c>
      <c r="H813" s="2">
        <v>9832.69</v>
      </c>
      <c r="I813" s="2">
        <v>2</v>
      </c>
      <c r="J813" s="2">
        <v>5</v>
      </c>
      <c r="K813" s="9">
        <f t="shared" si="36"/>
        <v>19665.38</v>
      </c>
      <c r="L813" s="9">
        <f t="shared" si="37"/>
        <v>983.26900000000012</v>
      </c>
      <c r="M813" s="10">
        <f t="shared" si="38"/>
        <v>18682.111000000001</v>
      </c>
      <c r="N813" s="2" t="s">
        <v>26</v>
      </c>
      <c r="O813" s="2" t="s">
        <v>18</v>
      </c>
      <c r="P813" s="2" t="s">
        <v>19</v>
      </c>
    </row>
    <row r="814" spans="1:16" x14ac:dyDescent="0.25">
      <c r="A814" s="3" t="s">
        <v>1164</v>
      </c>
      <c r="B814" s="4">
        <v>45848</v>
      </c>
      <c r="C814" s="3" t="s">
        <v>263</v>
      </c>
      <c r="D814" s="3" t="s">
        <v>83</v>
      </c>
      <c r="E814" s="3" t="s">
        <v>84</v>
      </c>
      <c r="F814" s="3" t="s">
        <v>24</v>
      </c>
      <c r="G814" s="3" t="s">
        <v>25</v>
      </c>
      <c r="H814" s="3">
        <v>4385.97</v>
      </c>
      <c r="I814" s="3">
        <v>2</v>
      </c>
      <c r="J814" s="3">
        <v>5</v>
      </c>
      <c r="K814" s="9">
        <f t="shared" si="36"/>
        <v>8771.94</v>
      </c>
      <c r="L814" s="9">
        <f t="shared" si="37"/>
        <v>438.59700000000004</v>
      </c>
      <c r="M814" s="10">
        <f t="shared" si="38"/>
        <v>8333.3430000000008</v>
      </c>
      <c r="N814" s="3" t="s">
        <v>17</v>
      </c>
      <c r="O814" s="3" t="s">
        <v>18</v>
      </c>
      <c r="P814" s="3" t="s">
        <v>19</v>
      </c>
    </row>
    <row r="815" spans="1:16" x14ac:dyDescent="0.25">
      <c r="A815" s="2" t="s">
        <v>1165</v>
      </c>
      <c r="B815" s="4">
        <v>45849</v>
      </c>
      <c r="C815" s="2" t="s">
        <v>21</v>
      </c>
      <c r="D815" s="2" t="s">
        <v>76</v>
      </c>
      <c r="E815" s="2" t="s">
        <v>77</v>
      </c>
      <c r="F815" s="2" t="s">
        <v>72</v>
      </c>
      <c r="G815" s="2" t="s">
        <v>73</v>
      </c>
      <c r="H815" s="2">
        <v>335.25</v>
      </c>
      <c r="I815" s="2">
        <v>2</v>
      </c>
      <c r="J815" s="2">
        <v>10</v>
      </c>
      <c r="K815" s="9">
        <f t="shared" si="36"/>
        <v>670.5</v>
      </c>
      <c r="L815" s="9">
        <f t="shared" si="37"/>
        <v>67.05</v>
      </c>
      <c r="M815" s="10">
        <f t="shared" si="38"/>
        <v>603.45000000000005</v>
      </c>
      <c r="N815" s="2" t="s">
        <v>68</v>
      </c>
      <c r="O815" s="2" t="s">
        <v>18</v>
      </c>
      <c r="P815" s="2" t="s">
        <v>34</v>
      </c>
    </row>
    <row r="816" spans="1:16" x14ac:dyDescent="0.25">
      <c r="A816" s="3" t="s">
        <v>1166</v>
      </c>
      <c r="B816" s="4">
        <v>45850</v>
      </c>
      <c r="C816" s="3" t="s">
        <v>421</v>
      </c>
      <c r="D816" s="3" t="s">
        <v>65</v>
      </c>
      <c r="E816" s="3" t="s">
        <v>66</v>
      </c>
      <c r="F816" s="3" t="s">
        <v>31</v>
      </c>
      <c r="G816" s="3" t="s">
        <v>186</v>
      </c>
      <c r="H816" s="3">
        <v>813.63</v>
      </c>
      <c r="I816" s="3">
        <v>5</v>
      </c>
      <c r="J816" s="3">
        <v>10</v>
      </c>
      <c r="K816" s="9">
        <f t="shared" si="36"/>
        <v>4068.15</v>
      </c>
      <c r="L816" s="9">
        <f t="shared" si="37"/>
        <v>406.815</v>
      </c>
      <c r="M816" s="10">
        <f t="shared" si="38"/>
        <v>3661.335</v>
      </c>
      <c r="N816" s="3" t="s">
        <v>68</v>
      </c>
      <c r="O816" s="3" t="s">
        <v>18</v>
      </c>
      <c r="P816" s="3" t="s">
        <v>19</v>
      </c>
    </row>
    <row r="817" spans="1:16" x14ac:dyDescent="0.25">
      <c r="A817" s="2" t="s">
        <v>1167</v>
      </c>
      <c r="B817" s="4">
        <v>45851</v>
      </c>
      <c r="C817" s="2" t="s">
        <v>369</v>
      </c>
      <c r="D817" s="2" t="s">
        <v>22</v>
      </c>
      <c r="E817" s="2" t="s">
        <v>23</v>
      </c>
      <c r="F817" s="2" t="s">
        <v>43</v>
      </c>
      <c r="G817" s="2" t="s">
        <v>44</v>
      </c>
      <c r="H817" s="2">
        <v>3731.35</v>
      </c>
      <c r="I817" s="2">
        <v>5</v>
      </c>
      <c r="J817" s="2">
        <v>10</v>
      </c>
      <c r="K817" s="9">
        <f t="shared" si="36"/>
        <v>18656.75</v>
      </c>
      <c r="L817" s="9">
        <f t="shared" si="37"/>
        <v>1865.675</v>
      </c>
      <c r="M817" s="10">
        <f t="shared" si="38"/>
        <v>16791.075000000001</v>
      </c>
      <c r="N817" s="2" t="s">
        <v>33</v>
      </c>
      <c r="O817" s="2" t="s">
        <v>18</v>
      </c>
      <c r="P817" s="2" t="s">
        <v>19</v>
      </c>
    </row>
    <row r="818" spans="1:16" x14ac:dyDescent="0.25">
      <c r="A818" s="3" t="s">
        <v>1168</v>
      </c>
      <c r="B818" s="4">
        <v>45852</v>
      </c>
      <c r="C818" s="3" t="s">
        <v>211</v>
      </c>
      <c r="D818" s="3" t="s">
        <v>87</v>
      </c>
      <c r="E818" s="3" t="s">
        <v>88</v>
      </c>
      <c r="F818" s="3" t="s">
        <v>15</v>
      </c>
      <c r="G818" s="3" t="s">
        <v>16</v>
      </c>
      <c r="H818" s="3">
        <v>1643.89</v>
      </c>
      <c r="I818" s="3">
        <v>4</v>
      </c>
      <c r="J818" s="3">
        <v>0</v>
      </c>
      <c r="K818" s="9">
        <f t="shared" si="36"/>
        <v>6575.56</v>
      </c>
      <c r="L818" s="9">
        <f t="shared" si="37"/>
        <v>0</v>
      </c>
      <c r="M818" s="10">
        <f t="shared" si="38"/>
        <v>6575.56</v>
      </c>
      <c r="N818" s="3" t="s">
        <v>26</v>
      </c>
      <c r="O818" s="3" t="s">
        <v>27</v>
      </c>
      <c r="P818" s="3" t="s">
        <v>34</v>
      </c>
    </row>
    <row r="819" spans="1:16" x14ac:dyDescent="0.25">
      <c r="A819" s="2" t="s">
        <v>1169</v>
      </c>
      <c r="B819" s="4">
        <v>45853</v>
      </c>
      <c r="C819" s="2" t="s">
        <v>167</v>
      </c>
      <c r="D819" s="2" t="s">
        <v>29</v>
      </c>
      <c r="E819" s="2" t="s">
        <v>30</v>
      </c>
      <c r="F819" s="2" t="s">
        <v>31</v>
      </c>
      <c r="G819" s="2" t="s">
        <v>32</v>
      </c>
      <c r="H819" s="2">
        <v>2707.01</v>
      </c>
      <c r="I819" s="2">
        <v>2</v>
      </c>
      <c r="J819" s="2">
        <v>0</v>
      </c>
      <c r="K819" s="9">
        <f t="shared" si="36"/>
        <v>5414.02</v>
      </c>
      <c r="L819" s="9">
        <f t="shared" si="37"/>
        <v>0</v>
      </c>
      <c r="M819" s="10">
        <f t="shared" si="38"/>
        <v>5414.02</v>
      </c>
      <c r="N819" s="2" t="s">
        <v>68</v>
      </c>
      <c r="O819" s="2" t="s">
        <v>52</v>
      </c>
      <c r="P819" s="2" t="s">
        <v>60</v>
      </c>
    </row>
    <row r="820" spans="1:16" x14ac:dyDescent="0.25">
      <c r="A820" s="3" t="s">
        <v>1170</v>
      </c>
      <c r="B820" s="4">
        <v>45854</v>
      </c>
      <c r="C820" s="3" t="s">
        <v>574</v>
      </c>
      <c r="D820" s="3" t="s">
        <v>100</v>
      </c>
      <c r="E820" s="3" t="s">
        <v>88</v>
      </c>
      <c r="F820" s="3" t="s">
        <v>43</v>
      </c>
      <c r="G820" s="3" t="s">
        <v>89</v>
      </c>
      <c r="H820" s="3">
        <v>4855.74</v>
      </c>
      <c r="I820" s="3">
        <v>4</v>
      </c>
      <c r="J820" s="3">
        <v>10</v>
      </c>
      <c r="K820" s="9">
        <f t="shared" si="36"/>
        <v>19422.96</v>
      </c>
      <c r="L820" s="9">
        <f t="shared" si="37"/>
        <v>1942.2959999999998</v>
      </c>
      <c r="M820" s="10">
        <f t="shared" si="38"/>
        <v>17480.664000000001</v>
      </c>
      <c r="N820" s="3" t="s">
        <v>17</v>
      </c>
      <c r="O820" s="3" t="s">
        <v>18</v>
      </c>
      <c r="P820" s="3" t="s">
        <v>40</v>
      </c>
    </row>
    <row r="821" spans="1:16" x14ac:dyDescent="0.25">
      <c r="A821" s="2" t="s">
        <v>1171</v>
      </c>
      <c r="B821" s="4">
        <v>45855</v>
      </c>
      <c r="C821" s="2" t="s">
        <v>574</v>
      </c>
      <c r="D821" s="2" t="s">
        <v>76</v>
      </c>
      <c r="E821" s="2" t="s">
        <v>77</v>
      </c>
      <c r="F821" s="2" t="s">
        <v>15</v>
      </c>
      <c r="G821" s="2" t="s">
        <v>198</v>
      </c>
      <c r="H821" s="2">
        <v>776.48</v>
      </c>
      <c r="I821" s="2">
        <v>4</v>
      </c>
      <c r="J821" s="2">
        <v>15</v>
      </c>
      <c r="K821" s="9">
        <f t="shared" si="36"/>
        <v>3105.92</v>
      </c>
      <c r="L821" s="9">
        <f t="shared" si="37"/>
        <v>465.88800000000003</v>
      </c>
      <c r="M821" s="10">
        <f t="shared" si="38"/>
        <v>2640.0320000000002</v>
      </c>
      <c r="N821" s="2" t="s">
        <v>38</v>
      </c>
      <c r="O821" s="2" t="s">
        <v>18</v>
      </c>
      <c r="P821" s="2" t="s">
        <v>53</v>
      </c>
    </row>
    <row r="822" spans="1:16" x14ac:dyDescent="0.25">
      <c r="A822" s="3" t="s">
        <v>1172</v>
      </c>
      <c r="B822" s="4">
        <v>45856</v>
      </c>
      <c r="C822" s="3" t="s">
        <v>821</v>
      </c>
      <c r="D822" s="3" t="s">
        <v>76</v>
      </c>
      <c r="E822" s="3" t="s">
        <v>77</v>
      </c>
      <c r="F822" s="3" t="s">
        <v>31</v>
      </c>
      <c r="G822" s="3" t="s">
        <v>186</v>
      </c>
      <c r="H822" s="3">
        <v>791.13</v>
      </c>
      <c r="I822" s="3">
        <v>2</v>
      </c>
      <c r="J822" s="3">
        <v>0</v>
      </c>
      <c r="K822" s="9">
        <f t="shared" si="36"/>
        <v>1582.26</v>
      </c>
      <c r="L822" s="9">
        <f t="shared" si="37"/>
        <v>0</v>
      </c>
      <c r="M822" s="10">
        <f t="shared" si="38"/>
        <v>1582.26</v>
      </c>
      <c r="N822" s="3" t="s">
        <v>38</v>
      </c>
      <c r="O822" s="3" t="s">
        <v>27</v>
      </c>
      <c r="P822" s="3" t="s">
        <v>34</v>
      </c>
    </row>
    <row r="823" spans="1:16" x14ac:dyDescent="0.25">
      <c r="A823" s="2" t="s">
        <v>1173</v>
      </c>
      <c r="B823" s="4">
        <v>45857</v>
      </c>
      <c r="C823" s="2" t="s">
        <v>1174</v>
      </c>
      <c r="D823" s="2" t="s">
        <v>47</v>
      </c>
      <c r="E823" s="2" t="s">
        <v>48</v>
      </c>
      <c r="F823" s="2" t="s">
        <v>72</v>
      </c>
      <c r="G823" s="2" t="s">
        <v>102</v>
      </c>
      <c r="H823" s="2">
        <v>615.45000000000005</v>
      </c>
      <c r="I823" s="2">
        <v>4</v>
      </c>
      <c r="J823" s="2">
        <v>15</v>
      </c>
      <c r="K823" s="9">
        <f t="shared" si="36"/>
        <v>2461.8000000000002</v>
      </c>
      <c r="L823" s="9">
        <f t="shared" si="37"/>
        <v>369.27</v>
      </c>
      <c r="M823" s="10">
        <f t="shared" si="38"/>
        <v>2092.5300000000002</v>
      </c>
      <c r="N823" s="2" t="s">
        <v>68</v>
      </c>
      <c r="O823" s="2" t="s">
        <v>18</v>
      </c>
      <c r="P823" s="2" t="s">
        <v>60</v>
      </c>
    </row>
    <row r="824" spans="1:16" x14ac:dyDescent="0.25">
      <c r="A824" s="3" t="s">
        <v>1175</v>
      </c>
      <c r="B824" s="4">
        <v>45858</v>
      </c>
      <c r="C824" s="3" t="s">
        <v>583</v>
      </c>
      <c r="D824" s="3" t="s">
        <v>51</v>
      </c>
      <c r="E824" s="3" t="s">
        <v>14</v>
      </c>
      <c r="F824" s="3" t="s">
        <v>36</v>
      </c>
      <c r="G824" s="3" t="s">
        <v>49</v>
      </c>
      <c r="H824" s="3">
        <v>164527.91</v>
      </c>
      <c r="I824" s="3">
        <v>4</v>
      </c>
      <c r="J824" s="3">
        <v>5</v>
      </c>
      <c r="K824" s="9">
        <f t="shared" si="36"/>
        <v>658111.64</v>
      </c>
      <c r="L824" s="9">
        <f t="shared" si="37"/>
        <v>32905.582000000002</v>
      </c>
      <c r="M824" s="10">
        <f t="shared" si="38"/>
        <v>625206.05799999996</v>
      </c>
      <c r="N824" s="3" t="s">
        <v>38</v>
      </c>
      <c r="O824" s="3" t="s">
        <v>52</v>
      </c>
      <c r="P824" s="3" t="s">
        <v>19</v>
      </c>
    </row>
    <row r="825" spans="1:16" x14ac:dyDescent="0.25">
      <c r="A825" s="2" t="s">
        <v>1176</v>
      </c>
      <c r="B825" s="4">
        <v>45859</v>
      </c>
      <c r="C825" s="2" t="s">
        <v>791</v>
      </c>
      <c r="D825" s="2" t="s">
        <v>51</v>
      </c>
      <c r="E825" s="2" t="s">
        <v>14</v>
      </c>
      <c r="F825" s="2" t="s">
        <v>15</v>
      </c>
      <c r="G825" s="2" t="s">
        <v>56</v>
      </c>
      <c r="H825" s="2">
        <v>1861.98</v>
      </c>
      <c r="I825" s="2">
        <v>5</v>
      </c>
      <c r="J825" s="2">
        <v>0</v>
      </c>
      <c r="K825" s="9">
        <f t="shared" si="36"/>
        <v>9309.9</v>
      </c>
      <c r="L825" s="9">
        <f t="shared" si="37"/>
        <v>0</v>
      </c>
      <c r="M825" s="10">
        <f t="shared" si="38"/>
        <v>9309.9</v>
      </c>
      <c r="N825" s="2" t="s">
        <v>26</v>
      </c>
      <c r="O825" s="2" t="s">
        <v>18</v>
      </c>
      <c r="P825" s="2" t="s">
        <v>19</v>
      </c>
    </row>
    <row r="826" spans="1:16" x14ac:dyDescent="0.25">
      <c r="A826" s="3" t="s">
        <v>1177</v>
      </c>
      <c r="B826" s="4">
        <v>45860</v>
      </c>
      <c r="C826" s="3" t="s">
        <v>942</v>
      </c>
      <c r="D826" s="3" t="s">
        <v>100</v>
      </c>
      <c r="E826" s="3" t="s">
        <v>88</v>
      </c>
      <c r="F826" s="3" t="s">
        <v>31</v>
      </c>
      <c r="G826" s="3" t="s">
        <v>242</v>
      </c>
      <c r="H826" s="3">
        <v>963.99</v>
      </c>
      <c r="I826" s="3">
        <v>5</v>
      </c>
      <c r="J826" s="3">
        <v>15</v>
      </c>
      <c r="K826" s="9">
        <f t="shared" si="36"/>
        <v>4819.95</v>
      </c>
      <c r="L826" s="9">
        <f t="shared" si="37"/>
        <v>722.99249999999995</v>
      </c>
      <c r="M826" s="10">
        <f t="shared" si="38"/>
        <v>4096.9574999999995</v>
      </c>
      <c r="N826" s="3" t="s">
        <v>26</v>
      </c>
      <c r="O826" s="3" t="s">
        <v>39</v>
      </c>
      <c r="P826" s="3" t="s">
        <v>40</v>
      </c>
    </row>
    <row r="827" spans="1:16" x14ac:dyDescent="0.25">
      <c r="A827" s="2" t="s">
        <v>1178</v>
      </c>
      <c r="B827" s="4">
        <v>45861</v>
      </c>
      <c r="C827" s="2" t="s">
        <v>19</v>
      </c>
      <c r="D827" s="2" t="s">
        <v>29</v>
      </c>
      <c r="E827" s="2" t="s">
        <v>30</v>
      </c>
      <c r="F827" s="2" t="s">
        <v>31</v>
      </c>
      <c r="G827" s="2" t="s">
        <v>242</v>
      </c>
      <c r="H827" s="2">
        <v>968.96</v>
      </c>
      <c r="I827" s="2">
        <v>1</v>
      </c>
      <c r="J827" s="2">
        <v>5</v>
      </c>
      <c r="K827" s="9">
        <f t="shared" si="36"/>
        <v>968.96</v>
      </c>
      <c r="L827" s="9">
        <f t="shared" si="37"/>
        <v>48.448</v>
      </c>
      <c r="M827" s="10">
        <f t="shared" si="38"/>
        <v>920.51200000000006</v>
      </c>
      <c r="N827" s="2" t="s">
        <v>68</v>
      </c>
      <c r="O827" s="2" t="s">
        <v>39</v>
      </c>
      <c r="P827" s="2" t="s">
        <v>34</v>
      </c>
    </row>
    <row r="828" spans="1:16" x14ac:dyDescent="0.25">
      <c r="A828" s="3" t="s">
        <v>1179</v>
      </c>
      <c r="B828" s="4">
        <v>45862</v>
      </c>
      <c r="C828" s="3" t="s">
        <v>764</v>
      </c>
      <c r="D828" s="3" t="s">
        <v>22</v>
      </c>
      <c r="E828" s="3" t="s">
        <v>23</v>
      </c>
      <c r="F828" s="3" t="s">
        <v>15</v>
      </c>
      <c r="G828" s="3" t="s">
        <v>56</v>
      </c>
      <c r="H828" s="3">
        <v>1787.97</v>
      </c>
      <c r="I828" s="3">
        <v>3</v>
      </c>
      <c r="J828" s="3">
        <v>0</v>
      </c>
      <c r="K828" s="9">
        <f t="shared" si="36"/>
        <v>5363.91</v>
      </c>
      <c r="L828" s="9">
        <f t="shared" si="37"/>
        <v>0</v>
      </c>
      <c r="M828" s="10">
        <f t="shared" si="38"/>
        <v>5363.91</v>
      </c>
      <c r="N828" s="3" t="s">
        <v>68</v>
      </c>
      <c r="O828" s="3" t="s">
        <v>27</v>
      </c>
      <c r="P828" s="3" t="s">
        <v>53</v>
      </c>
    </row>
    <row r="829" spans="1:16" x14ac:dyDescent="0.25">
      <c r="A829" s="2" t="s">
        <v>1180</v>
      </c>
      <c r="B829" s="4">
        <v>45863</v>
      </c>
      <c r="C829" s="2" t="s">
        <v>683</v>
      </c>
      <c r="D829" s="2" t="s">
        <v>83</v>
      </c>
      <c r="E829" s="2" t="s">
        <v>84</v>
      </c>
      <c r="F829" s="2" t="s">
        <v>43</v>
      </c>
      <c r="G829" s="2" t="s">
        <v>105</v>
      </c>
      <c r="H829" s="2">
        <v>2522.89</v>
      </c>
      <c r="I829" s="2">
        <v>2</v>
      </c>
      <c r="J829" s="2">
        <v>15</v>
      </c>
      <c r="K829" s="9">
        <f t="shared" si="36"/>
        <v>5045.78</v>
      </c>
      <c r="L829" s="9">
        <f t="shared" si="37"/>
        <v>756.86699999999996</v>
      </c>
      <c r="M829" s="10">
        <f t="shared" si="38"/>
        <v>4288.9129999999996</v>
      </c>
      <c r="N829" s="2" t="s">
        <v>68</v>
      </c>
      <c r="O829" s="2" t="s">
        <v>52</v>
      </c>
      <c r="P829" s="2" t="s">
        <v>40</v>
      </c>
    </row>
    <row r="830" spans="1:16" x14ac:dyDescent="0.25">
      <c r="A830" s="3" t="s">
        <v>1181</v>
      </c>
      <c r="B830" s="4">
        <v>45864</v>
      </c>
      <c r="C830" s="3" t="s">
        <v>482</v>
      </c>
      <c r="D830" s="3" t="s">
        <v>65</v>
      </c>
      <c r="E830" s="3" t="s">
        <v>66</v>
      </c>
      <c r="F830" s="3" t="s">
        <v>36</v>
      </c>
      <c r="G830" s="3" t="s">
        <v>49</v>
      </c>
      <c r="H830" s="3">
        <v>140906.29999999999</v>
      </c>
      <c r="I830" s="3">
        <v>3</v>
      </c>
      <c r="J830" s="3">
        <v>0</v>
      </c>
      <c r="K830" s="9">
        <f t="shared" si="36"/>
        <v>422718.89999999997</v>
      </c>
      <c r="L830" s="9">
        <f t="shared" si="37"/>
        <v>0</v>
      </c>
      <c r="M830" s="10">
        <f t="shared" si="38"/>
        <v>422718.89999999997</v>
      </c>
      <c r="N830" s="3" t="s">
        <v>68</v>
      </c>
      <c r="O830" s="3" t="s">
        <v>27</v>
      </c>
      <c r="P830" s="3" t="s">
        <v>40</v>
      </c>
    </row>
    <row r="831" spans="1:16" x14ac:dyDescent="0.25">
      <c r="A831" s="2" t="s">
        <v>1182</v>
      </c>
      <c r="B831" s="4">
        <v>45865</v>
      </c>
      <c r="C831" s="2" t="s">
        <v>1183</v>
      </c>
      <c r="D831" s="2" t="s">
        <v>13</v>
      </c>
      <c r="E831" s="2" t="s">
        <v>14</v>
      </c>
      <c r="F831" s="2" t="s">
        <v>110</v>
      </c>
      <c r="G831" s="2" t="s">
        <v>215</v>
      </c>
      <c r="H831" s="2">
        <v>2670.25</v>
      </c>
      <c r="I831" s="2">
        <v>2</v>
      </c>
      <c r="J831" s="2">
        <v>0</v>
      </c>
      <c r="K831" s="9">
        <f t="shared" si="36"/>
        <v>5340.5</v>
      </c>
      <c r="L831" s="9">
        <f t="shared" si="37"/>
        <v>0</v>
      </c>
      <c r="M831" s="10">
        <f t="shared" si="38"/>
        <v>5340.5</v>
      </c>
      <c r="N831" s="2" t="s">
        <v>33</v>
      </c>
      <c r="O831" s="2" t="s">
        <v>18</v>
      </c>
      <c r="P831" s="2" t="s">
        <v>34</v>
      </c>
    </row>
    <row r="832" spans="1:16" x14ac:dyDescent="0.25">
      <c r="A832" s="3" t="s">
        <v>1184</v>
      </c>
      <c r="B832" s="4">
        <v>45866</v>
      </c>
      <c r="C832" s="3" t="s">
        <v>665</v>
      </c>
      <c r="D832" s="3" t="s">
        <v>51</v>
      </c>
      <c r="E832" s="3" t="s">
        <v>14</v>
      </c>
      <c r="F832" s="3" t="s">
        <v>36</v>
      </c>
      <c r="G832" s="3" t="s">
        <v>113</v>
      </c>
      <c r="H832" s="3">
        <v>122869.6</v>
      </c>
      <c r="I832" s="3">
        <v>1</v>
      </c>
      <c r="J832" s="3">
        <v>0</v>
      </c>
      <c r="K832" s="9">
        <f t="shared" si="36"/>
        <v>122869.6</v>
      </c>
      <c r="L832" s="9">
        <f t="shared" si="37"/>
        <v>0</v>
      </c>
      <c r="M832" s="10">
        <f t="shared" si="38"/>
        <v>122869.6</v>
      </c>
      <c r="N832" s="3" t="s">
        <v>33</v>
      </c>
      <c r="O832" s="3" t="s">
        <v>52</v>
      </c>
      <c r="P832" s="3" t="s">
        <v>40</v>
      </c>
    </row>
    <row r="833" spans="1:16" x14ac:dyDescent="0.25">
      <c r="A833" s="2" t="s">
        <v>1185</v>
      </c>
      <c r="B833" s="4">
        <v>45867</v>
      </c>
      <c r="C833" s="2" t="s">
        <v>21</v>
      </c>
      <c r="D833" s="2" t="s">
        <v>65</v>
      </c>
      <c r="E833" s="2" t="s">
        <v>66</v>
      </c>
      <c r="F833" s="2" t="s">
        <v>31</v>
      </c>
      <c r="G833" s="2" t="s">
        <v>32</v>
      </c>
      <c r="H833" s="2">
        <v>2641.32</v>
      </c>
      <c r="I833" s="2">
        <v>1</v>
      </c>
      <c r="J833" s="2">
        <v>15</v>
      </c>
      <c r="K833" s="9">
        <f t="shared" si="36"/>
        <v>2641.32</v>
      </c>
      <c r="L833" s="9">
        <f t="shared" si="37"/>
        <v>396.19800000000004</v>
      </c>
      <c r="M833" s="10">
        <f t="shared" si="38"/>
        <v>2245.1220000000003</v>
      </c>
      <c r="N833" s="2" t="s">
        <v>68</v>
      </c>
      <c r="O833" s="2" t="s">
        <v>18</v>
      </c>
      <c r="P833" s="2" t="s">
        <v>19</v>
      </c>
    </row>
    <row r="834" spans="1:16" x14ac:dyDescent="0.25">
      <c r="A834" s="3" t="s">
        <v>1186</v>
      </c>
      <c r="B834" s="4">
        <v>45868</v>
      </c>
      <c r="C834" s="3" t="s">
        <v>281</v>
      </c>
      <c r="D834" s="3" t="s">
        <v>22</v>
      </c>
      <c r="E834" s="3" t="s">
        <v>23</v>
      </c>
      <c r="F834" s="3" t="s">
        <v>15</v>
      </c>
      <c r="G834" s="3" t="s">
        <v>198</v>
      </c>
      <c r="H834" s="3">
        <v>809.48</v>
      </c>
      <c r="I834" s="3">
        <v>3</v>
      </c>
      <c r="J834" s="3">
        <v>5</v>
      </c>
      <c r="K834" s="9">
        <f t="shared" ref="K834:K897" si="39">I834*H834</f>
        <v>2428.44</v>
      </c>
      <c r="L834" s="9">
        <f t="shared" ref="L834:L897" si="40">K834*J834/100</f>
        <v>121.42200000000001</v>
      </c>
      <c r="M834" s="10">
        <f t="shared" ref="M834:M897" si="41">K834-L834</f>
        <v>2307.018</v>
      </c>
      <c r="N834" s="3" t="s">
        <v>33</v>
      </c>
      <c r="O834" s="3" t="s">
        <v>18</v>
      </c>
      <c r="P834" s="3" t="s">
        <v>19</v>
      </c>
    </row>
    <row r="835" spans="1:16" x14ac:dyDescent="0.25">
      <c r="A835" s="2" t="s">
        <v>1187</v>
      </c>
      <c r="B835" s="4">
        <v>45869</v>
      </c>
      <c r="C835" s="2" t="s">
        <v>268</v>
      </c>
      <c r="D835" s="2" t="s">
        <v>29</v>
      </c>
      <c r="E835" s="2" t="s">
        <v>30</v>
      </c>
      <c r="F835" s="2" t="s">
        <v>36</v>
      </c>
      <c r="G835" s="2" t="s">
        <v>37</v>
      </c>
      <c r="H835" s="2">
        <v>11721.41</v>
      </c>
      <c r="I835" s="2">
        <v>4</v>
      </c>
      <c r="J835" s="2">
        <v>15</v>
      </c>
      <c r="K835" s="9">
        <f t="shared" si="39"/>
        <v>46885.64</v>
      </c>
      <c r="L835" s="9">
        <f t="shared" si="40"/>
        <v>7032.8459999999995</v>
      </c>
      <c r="M835" s="10">
        <f t="shared" si="41"/>
        <v>39852.794000000002</v>
      </c>
      <c r="N835" s="2" t="s">
        <v>17</v>
      </c>
      <c r="O835" s="2" t="s">
        <v>18</v>
      </c>
      <c r="P835" s="2" t="s">
        <v>34</v>
      </c>
    </row>
    <row r="836" spans="1:16" x14ac:dyDescent="0.25">
      <c r="A836" s="3" t="s">
        <v>1188</v>
      </c>
      <c r="B836" s="4">
        <v>45870</v>
      </c>
      <c r="C836" s="3" t="s">
        <v>194</v>
      </c>
      <c r="D836" s="3" t="s">
        <v>76</v>
      </c>
      <c r="E836" s="3" t="s">
        <v>77</v>
      </c>
      <c r="F836" s="3" t="s">
        <v>110</v>
      </c>
      <c r="G836" s="3" t="s">
        <v>215</v>
      </c>
      <c r="H836" s="3">
        <v>2543.91</v>
      </c>
      <c r="I836" s="3">
        <v>1</v>
      </c>
      <c r="J836" s="3">
        <v>10</v>
      </c>
      <c r="K836" s="9">
        <f t="shared" si="39"/>
        <v>2543.91</v>
      </c>
      <c r="L836" s="9">
        <f t="shared" si="40"/>
        <v>254.39099999999999</v>
      </c>
      <c r="M836" s="10">
        <f t="shared" si="41"/>
        <v>2289.5189999999998</v>
      </c>
      <c r="N836" s="3" t="s">
        <v>68</v>
      </c>
      <c r="O836" s="3" t="s">
        <v>52</v>
      </c>
      <c r="P836" s="3" t="s">
        <v>40</v>
      </c>
    </row>
    <row r="837" spans="1:16" x14ac:dyDescent="0.25">
      <c r="A837" s="2" t="s">
        <v>1189</v>
      </c>
      <c r="B837" s="4">
        <v>45871</v>
      </c>
      <c r="C837" s="2" t="s">
        <v>453</v>
      </c>
      <c r="D837" s="2" t="s">
        <v>100</v>
      </c>
      <c r="E837" s="2" t="s">
        <v>88</v>
      </c>
      <c r="F837" s="2" t="s">
        <v>15</v>
      </c>
      <c r="G837" s="2" t="s">
        <v>56</v>
      </c>
      <c r="H837" s="2">
        <v>1712.26</v>
      </c>
      <c r="I837" s="2">
        <v>4</v>
      </c>
      <c r="J837" s="2">
        <v>0</v>
      </c>
      <c r="K837" s="9">
        <f t="shared" si="39"/>
        <v>6849.04</v>
      </c>
      <c r="L837" s="9">
        <f t="shared" si="40"/>
        <v>0</v>
      </c>
      <c r="M837" s="10">
        <f t="shared" si="41"/>
        <v>6849.04</v>
      </c>
      <c r="N837" s="2" t="s">
        <v>17</v>
      </c>
      <c r="O837" s="2" t="s">
        <v>18</v>
      </c>
      <c r="P837" s="2" t="s">
        <v>53</v>
      </c>
    </row>
    <row r="838" spans="1:16" x14ac:dyDescent="0.25">
      <c r="A838" s="3" t="s">
        <v>1190</v>
      </c>
      <c r="B838" s="4">
        <v>45872</v>
      </c>
      <c r="C838" s="3" t="s">
        <v>1191</v>
      </c>
      <c r="D838" s="3" t="s">
        <v>13</v>
      </c>
      <c r="E838" s="3" t="s">
        <v>14</v>
      </c>
      <c r="F838" s="3" t="s">
        <v>24</v>
      </c>
      <c r="G838" s="3" t="s">
        <v>108</v>
      </c>
      <c r="H838" s="3">
        <v>8135.24</v>
      </c>
      <c r="I838" s="3">
        <v>5</v>
      </c>
      <c r="J838" s="3">
        <v>10</v>
      </c>
      <c r="K838" s="9">
        <f t="shared" si="39"/>
        <v>40676.199999999997</v>
      </c>
      <c r="L838" s="9">
        <f t="shared" si="40"/>
        <v>4067.62</v>
      </c>
      <c r="M838" s="10">
        <f t="shared" si="41"/>
        <v>36608.579999999994</v>
      </c>
      <c r="N838" s="3" t="s">
        <v>38</v>
      </c>
      <c r="O838" s="3" t="s">
        <v>18</v>
      </c>
      <c r="P838" s="3" t="s">
        <v>19</v>
      </c>
    </row>
    <row r="839" spans="1:16" x14ac:dyDescent="0.25">
      <c r="A839" s="2" t="s">
        <v>1192</v>
      </c>
      <c r="B839" s="4">
        <v>45873</v>
      </c>
      <c r="C839" s="2" t="s">
        <v>703</v>
      </c>
      <c r="D839" s="2" t="s">
        <v>76</v>
      </c>
      <c r="E839" s="2" t="s">
        <v>77</v>
      </c>
      <c r="F839" s="2" t="s">
        <v>31</v>
      </c>
      <c r="G839" s="2" t="s">
        <v>242</v>
      </c>
      <c r="H839" s="2">
        <v>871.72</v>
      </c>
      <c r="I839" s="2">
        <v>3</v>
      </c>
      <c r="J839" s="2">
        <v>0</v>
      </c>
      <c r="K839" s="9">
        <f t="shared" si="39"/>
        <v>2615.16</v>
      </c>
      <c r="L839" s="9">
        <f t="shared" si="40"/>
        <v>0</v>
      </c>
      <c r="M839" s="10">
        <f t="shared" si="41"/>
        <v>2615.16</v>
      </c>
      <c r="N839" s="2" t="s">
        <v>17</v>
      </c>
      <c r="O839" s="2" t="s">
        <v>52</v>
      </c>
      <c r="P839" s="2" t="s">
        <v>53</v>
      </c>
    </row>
    <row r="840" spans="1:16" x14ac:dyDescent="0.25">
      <c r="A840" s="3" t="s">
        <v>1193</v>
      </c>
      <c r="B840" s="4">
        <v>45874</v>
      </c>
      <c r="C840" s="3" t="s">
        <v>258</v>
      </c>
      <c r="D840" s="3" t="s">
        <v>83</v>
      </c>
      <c r="E840" s="3" t="s">
        <v>84</v>
      </c>
      <c r="F840" s="3" t="s">
        <v>72</v>
      </c>
      <c r="G840" s="3" t="s">
        <v>81</v>
      </c>
      <c r="H840" s="3">
        <v>1476.62</v>
      </c>
      <c r="I840" s="3">
        <v>2</v>
      </c>
      <c r="J840" s="3">
        <v>0</v>
      </c>
      <c r="K840" s="9">
        <f t="shared" si="39"/>
        <v>2953.24</v>
      </c>
      <c r="L840" s="9">
        <f t="shared" si="40"/>
        <v>0</v>
      </c>
      <c r="M840" s="10">
        <f t="shared" si="41"/>
        <v>2953.24</v>
      </c>
      <c r="N840" s="3" t="s">
        <v>26</v>
      </c>
      <c r="O840" s="3" t="s">
        <v>39</v>
      </c>
      <c r="P840" s="3" t="s">
        <v>40</v>
      </c>
    </row>
    <row r="841" spans="1:16" x14ac:dyDescent="0.25">
      <c r="A841" s="2" t="s">
        <v>1194</v>
      </c>
      <c r="B841" s="4">
        <v>45875</v>
      </c>
      <c r="C841" s="2" t="s">
        <v>717</v>
      </c>
      <c r="D841" s="2" t="s">
        <v>76</v>
      </c>
      <c r="E841" s="2" t="s">
        <v>77</v>
      </c>
      <c r="F841" s="2" t="s">
        <v>15</v>
      </c>
      <c r="G841" s="2" t="s">
        <v>95</v>
      </c>
      <c r="H841" s="2">
        <v>1223.94</v>
      </c>
      <c r="I841" s="2">
        <v>3</v>
      </c>
      <c r="J841" s="2">
        <v>0</v>
      </c>
      <c r="K841" s="9">
        <f t="shared" si="39"/>
        <v>3671.82</v>
      </c>
      <c r="L841" s="9">
        <f t="shared" si="40"/>
        <v>0</v>
      </c>
      <c r="M841" s="10">
        <f t="shared" si="41"/>
        <v>3671.82</v>
      </c>
      <c r="N841" s="2" t="s">
        <v>17</v>
      </c>
      <c r="O841" s="2" t="s">
        <v>18</v>
      </c>
      <c r="P841" s="2" t="s">
        <v>19</v>
      </c>
    </row>
    <row r="842" spans="1:16" x14ac:dyDescent="0.25">
      <c r="A842" s="3" t="s">
        <v>1195</v>
      </c>
      <c r="B842" s="4">
        <v>45876</v>
      </c>
      <c r="C842" s="3" t="s">
        <v>279</v>
      </c>
      <c r="D842" s="3" t="s">
        <v>100</v>
      </c>
      <c r="E842" s="3" t="s">
        <v>88</v>
      </c>
      <c r="F842" s="3" t="s">
        <v>36</v>
      </c>
      <c r="G842" s="3" t="s">
        <v>37</v>
      </c>
      <c r="H842" s="3">
        <v>12902.65</v>
      </c>
      <c r="I842" s="3">
        <v>1</v>
      </c>
      <c r="J842" s="3">
        <v>15</v>
      </c>
      <c r="K842" s="9">
        <f t="shared" si="39"/>
        <v>12902.65</v>
      </c>
      <c r="L842" s="9">
        <f t="shared" si="40"/>
        <v>1935.3975</v>
      </c>
      <c r="M842" s="10">
        <f t="shared" si="41"/>
        <v>10967.252499999999</v>
      </c>
      <c r="N842" s="3" t="s">
        <v>26</v>
      </c>
      <c r="O842" s="3" t="s">
        <v>18</v>
      </c>
      <c r="P842" s="3" t="s">
        <v>53</v>
      </c>
    </row>
    <row r="843" spans="1:16" x14ac:dyDescent="0.25">
      <c r="A843" s="2" t="s">
        <v>1196</v>
      </c>
      <c r="B843" s="4">
        <v>45877</v>
      </c>
      <c r="C843" s="2" t="s">
        <v>237</v>
      </c>
      <c r="D843" s="2" t="s">
        <v>29</v>
      </c>
      <c r="E843" s="2" t="s">
        <v>30</v>
      </c>
      <c r="F843" s="2" t="s">
        <v>24</v>
      </c>
      <c r="G843" s="2" t="s">
        <v>25</v>
      </c>
      <c r="H843" s="2">
        <v>4482.67</v>
      </c>
      <c r="I843" s="2">
        <v>3</v>
      </c>
      <c r="J843" s="2">
        <v>0</v>
      </c>
      <c r="K843" s="9">
        <f t="shared" si="39"/>
        <v>13448.01</v>
      </c>
      <c r="L843" s="9">
        <f t="shared" si="40"/>
        <v>0</v>
      </c>
      <c r="M843" s="10">
        <f t="shared" si="41"/>
        <v>13448.01</v>
      </c>
      <c r="N843" s="2" t="s">
        <v>26</v>
      </c>
      <c r="O843" s="2" t="s">
        <v>18</v>
      </c>
      <c r="P843" s="2" t="s">
        <v>53</v>
      </c>
    </row>
    <row r="844" spans="1:16" x14ac:dyDescent="0.25">
      <c r="A844" s="3" t="s">
        <v>1197</v>
      </c>
      <c r="B844" s="4">
        <v>45878</v>
      </c>
      <c r="C844" s="3" t="s">
        <v>351</v>
      </c>
      <c r="D844" s="3" t="s">
        <v>22</v>
      </c>
      <c r="E844" s="3" t="s">
        <v>23</v>
      </c>
      <c r="F844" s="3" t="s">
        <v>31</v>
      </c>
      <c r="G844" s="3" t="s">
        <v>32</v>
      </c>
      <c r="H844" s="3">
        <v>2527.35</v>
      </c>
      <c r="I844" s="3">
        <v>2</v>
      </c>
      <c r="J844" s="3">
        <v>0</v>
      </c>
      <c r="K844" s="9">
        <f t="shared" si="39"/>
        <v>5054.7</v>
      </c>
      <c r="L844" s="9">
        <f t="shared" si="40"/>
        <v>0</v>
      </c>
      <c r="M844" s="10">
        <f t="shared" si="41"/>
        <v>5054.7</v>
      </c>
      <c r="N844" s="3" t="s">
        <v>33</v>
      </c>
      <c r="O844" s="3" t="s">
        <v>18</v>
      </c>
      <c r="P844" s="3" t="s">
        <v>19</v>
      </c>
    </row>
    <row r="845" spans="1:16" x14ac:dyDescent="0.25">
      <c r="A845" s="2" t="s">
        <v>1198</v>
      </c>
      <c r="B845" s="4">
        <v>45879</v>
      </c>
      <c r="C845" s="2" t="s">
        <v>21</v>
      </c>
      <c r="D845" s="2" t="s">
        <v>51</v>
      </c>
      <c r="E845" s="2" t="s">
        <v>14</v>
      </c>
      <c r="F845" s="2" t="s">
        <v>24</v>
      </c>
      <c r="G845" s="2" t="s">
        <v>108</v>
      </c>
      <c r="H845" s="2">
        <v>7478.63</v>
      </c>
      <c r="I845" s="2">
        <v>3</v>
      </c>
      <c r="J845" s="2">
        <v>0</v>
      </c>
      <c r="K845" s="9">
        <f t="shared" si="39"/>
        <v>22435.89</v>
      </c>
      <c r="L845" s="9">
        <f t="shared" si="40"/>
        <v>0</v>
      </c>
      <c r="M845" s="10">
        <f t="shared" si="41"/>
        <v>22435.89</v>
      </c>
      <c r="N845" s="2" t="s">
        <v>38</v>
      </c>
      <c r="O845" s="2" t="s">
        <v>39</v>
      </c>
      <c r="P845" s="2" t="s">
        <v>19</v>
      </c>
    </row>
    <row r="846" spans="1:16" x14ac:dyDescent="0.25">
      <c r="A846" s="3" t="s">
        <v>1199</v>
      </c>
      <c r="B846" s="4">
        <v>45880</v>
      </c>
      <c r="C846" s="3" t="s">
        <v>188</v>
      </c>
      <c r="D846" s="3" t="s">
        <v>13</v>
      </c>
      <c r="E846" s="3" t="s">
        <v>14</v>
      </c>
      <c r="F846" s="3" t="s">
        <v>24</v>
      </c>
      <c r="G846" s="3" t="s">
        <v>108</v>
      </c>
      <c r="H846" s="3">
        <v>8657.0400000000009</v>
      </c>
      <c r="I846" s="3">
        <v>1</v>
      </c>
      <c r="J846" s="3">
        <v>0</v>
      </c>
      <c r="K846" s="9">
        <f t="shared" si="39"/>
        <v>8657.0400000000009</v>
      </c>
      <c r="L846" s="9">
        <f t="shared" si="40"/>
        <v>0</v>
      </c>
      <c r="M846" s="10">
        <f t="shared" si="41"/>
        <v>8657.0400000000009</v>
      </c>
      <c r="N846" s="3" t="s">
        <v>26</v>
      </c>
      <c r="O846" s="3" t="s">
        <v>18</v>
      </c>
      <c r="P846" s="3" t="s">
        <v>40</v>
      </c>
    </row>
    <row r="847" spans="1:16" x14ac:dyDescent="0.25">
      <c r="A847" s="2" t="s">
        <v>1200</v>
      </c>
      <c r="B847" s="4">
        <v>45881</v>
      </c>
      <c r="C847" s="2" t="s">
        <v>297</v>
      </c>
      <c r="D847" s="2" t="s">
        <v>76</v>
      </c>
      <c r="E847" s="2" t="s">
        <v>77</v>
      </c>
      <c r="F847" s="2" t="s">
        <v>24</v>
      </c>
      <c r="G847" s="2" t="s">
        <v>108</v>
      </c>
      <c r="H847" s="2">
        <v>8495.18</v>
      </c>
      <c r="I847" s="2">
        <v>2</v>
      </c>
      <c r="J847" s="2">
        <v>0</v>
      </c>
      <c r="K847" s="9">
        <f t="shared" si="39"/>
        <v>16990.36</v>
      </c>
      <c r="L847" s="9">
        <f t="shared" si="40"/>
        <v>0</v>
      </c>
      <c r="M847" s="10">
        <f t="shared" si="41"/>
        <v>16990.36</v>
      </c>
      <c r="N847" s="2" t="s">
        <v>17</v>
      </c>
      <c r="O847" s="2" t="s">
        <v>18</v>
      </c>
      <c r="P847" s="2" t="s">
        <v>40</v>
      </c>
    </row>
    <row r="848" spans="1:16" x14ac:dyDescent="0.25">
      <c r="A848" s="3" t="s">
        <v>1201</v>
      </c>
      <c r="B848" s="4">
        <v>45882</v>
      </c>
      <c r="C848" s="3" t="s">
        <v>703</v>
      </c>
      <c r="D848" s="3" t="s">
        <v>51</v>
      </c>
      <c r="E848" s="3" t="s">
        <v>14</v>
      </c>
      <c r="F848" s="3" t="s">
        <v>24</v>
      </c>
      <c r="G848" s="3" t="s">
        <v>59</v>
      </c>
      <c r="H848" s="3">
        <v>4878.2</v>
      </c>
      <c r="I848" s="3">
        <v>3</v>
      </c>
      <c r="J848" s="3">
        <v>0</v>
      </c>
      <c r="K848" s="9">
        <f t="shared" si="39"/>
        <v>14634.599999999999</v>
      </c>
      <c r="L848" s="9">
        <f t="shared" si="40"/>
        <v>0</v>
      </c>
      <c r="M848" s="10">
        <f t="shared" si="41"/>
        <v>14634.599999999999</v>
      </c>
      <c r="N848" s="3" t="s">
        <v>17</v>
      </c>
      <c r="O848" s="3" t="s">
        <v>18</v>
      </c>
      <c r="P848" s="3" t="s">
        <v>53</v>
      </c>
    </row>
    <row r="849" spans="1:16" x14ac:dyDescent="0.25">
      <c r="A849" s="2" t="s">
        <v>1202</v>
      </c>
      <c r="B849" s="4">
        <v>45883</v>
      </c>
      <c r="C849" s="2" t="s">
        <v>173</v>
      </c>
      <c r="D849" s="2" t="s">
        <v>51</v>
      </c>
      <c r="E849" s="2" t="s">
        <v>14</v>
      </c>
      <c r="F849" s="2" t="s">
        <v>72</v>
      </c>
      <c r="G849" s="2" t="s">
        <v>73</v>
      </c>
      <c r="H849" s="2">
        <v>335.59</v>
      </c>
      <c r="I849" s="2">
        <v>2</v>
      </c>
      <c r="J849" s="2">
        <v>0</v>
      </c>
      <c r="K849" s="9">
        <f t="shared" si="39"/>
        <v>671.18</v>
      </c>
      <c r="L849" s="9">
        <f t="shared" si="40"/>
        <v>0</v>
      </c>
      <c r="M849" s="10">
        <f t="shared" si="41"/>
        <v>671.18</v>
      </c>
      <c r="N849" s="2" t="s">
        <v>26</v>
      </c>
      <c r="O849" s="2" t="s">
        <v>18</v>
      </c>
      <c r="P849" s="2" t="s">
        <v>34</v>
      </c>
    </row>
    <row r="850" spans="1:16" x14ac:dyDescent="0.25">
      <c r="A850" s="3" t="s">
        <v>1203</v>
      </c>
      <c r="B850" s="4">
        <v>45884</v>
      </c>
      <c r="C850" s="3" t="s">
        <v>228</v>
      </c>
      <c r="D850" s="3" t="s">
        <v>76</v>
      </c>
      <c r="E850" s="3" t="s">
        <v>77</v>
      </c>
      <c r="F850" s="3" t="s">
        <v>24</v>
      </c>
      <c r="G850" s="3" t="s">
        <v>170</v>
      </c>
      <c r="H850" s="3">
        <v>1099.54</v>
      </c>
      <c r="I850" s="3">
        <v>4</v>
      </c>
      <c r="J850" s="3">
        <v>10</v>
      </c>
      <c r="K850" s="9">
        <f t="shared" si="39"/>
        <v>4398.16</v>
      </c>
      <c r="L850" s="9">
        <f t="shared" si="40"/>
        <v>439.81599999999997</v>
      </c>
      <c r="M850" s="10">
        <f t="shared" si="41"/>
        <v>3958.3440000000001</v>
      </c>
      <c r="N850" s="3" t="s">
        <v>17</v>
      </c>
      <c r="O850" s="3" t="s">
        <v>18</v>
      </c>
      <c r="P850" s="3" t="s">
        <v>53</v>
      </c>
    </row>
    <row r="851" spans="1:16" x14ac:dyDescent="0.25">
      <c r="A851" s="2" t="s">
        <v>1204</v>
      </c>
      <c r="B851" s="4">
        <v>45885</v>
      </c>
      <c r="C851" s="2" t="s">
        <v>143</v>
      </c>
      <c r="D851" s="2" t="s">
        <v>83</v>
      </c>
      <c r="E851" s="2" t="s">
        <v>84</v>
      </c>
      <c r="F851" s="2" t="s">
        <v>31</v>
      </c>
      <c r="G851" s="2" t="s">
        <v>70</v>
      </c>
      <c r="H851" s="2">
        <v>602.27</v>
      </c>
      <c r="I851" s="2">
        <v>2</v>
      </c>
      <c r="J851" s="2">
        <v>15</v>
      </c>
      <c r="K851" s="9">
        <f t="shared" si="39"/>
        <v>1204.54</v>
      </c>
      <c r="L851" s="9">
        <f t="shared" si="40"/>
        <v>180.68099999999998</v>
      </c>
      <c r="M851" s="10">
        <f t="shared" si="41"/>
        <v>1023.8589999999999</v>
      </c>
      <c r="N851" s="2" t="s">
        <v>38</v>
      </c>
      <c r="O851" s="2" t="s">
        <v>52</v>
      </c>
      <c r="P851" s="2" t="s">
        <v>60</v>
      </c>
    </row>
    <row r="852" spans="1:16" x14ac:dyDescent="0.25">
      <c r="A852" s="3" t="s">
        <v>1205</v>
      </c>
      <c r="B852" s="4">
        <v>45886</v>
      </c>
      <c r="C852" s="3" t="s">
        <v>155</v>
      </c>
      <c r="D852" s="3" t="s">
        <v>47</v>
      </c>
      <c r="E852" s="3" t="s">
        <v>48</v>
      </c>
      <c r="F852" s="3" t="s">
        <v>110</v>
      </c>
      <c r="G852" s="3" t="s">
        <v>67</v>
      </c>
      <c r="H852" s="3">
        <v>4624.3</v>
      </c>
      <c r="I852" s="3">
        <v>5</v>
      </c>
      <c r="J852" s="3">
        <v>0</v>
      </c>
      <c r="K852" s="9">
        <f t="shared" si="39"/>
        <v>23121.5</v>
      </c>
      <c r="L852" s="9">
        <f t="shared" si="40"/>
        <v>0</v>
      </c>
      <c r="M852" s="10">
        <f t="shared" si="41"/>
        <v>23121.5</v>
      </c>
      <c r="N852" s="3" t="s">
        <v>68</v>
      </c>
      <c r="O852" s="3" t="s">
        <v>18</v>
      </c>
      <c r="P852" s="3" t="s">
        <v>53</v>
      </c>
    </row>
    <row r="853" spans="1:16" x14ac:dyDescent="0.25">
      <c r="A853" s="2" t="s">
        <v>1206</v>
      </c>
      <c r="B853" s="4">
        <v>45887</v>
      </c>
      <c r="C853" s="2" t="s">
        <v>1037</v>
      </c>
      <c r="D853" s="2" t="s">
        <v>65</v>
      </c>
      <c r="E853" s="2" t="s">
        <v>66</v>
      </c>
      <c r="F853" s="2" t="s">
        <v>24</v>
      </c>
      <c r="G853" s="2" t="s">
        <v>108</v>
      </c>
      <c r="H853" s="2">
        <v>7880.04</v>
      </c>
      <c r="I853" s="2">
        <v>4</v>
      </c>
      <c r="J853" s="2">
        <v>0</v>
      </c>
      <c r="K853" s="9">
        <f t="shared" si="39"/>
        <v>31520.16</v>
      </c>
      <c r="L853" s="9">
        <f t="shared" si="40"/>
        <v>0</v>
      </c>
      <c r="M853" s="10">
        <f t="shared" si="41"/>
        <v>31520.16</v>
      </c>
      <c r="N853" s="2" t="s">
        <v>26</v>
      </c>
      <c r="O853" s="2" t="s">
        <v>39</v>
      </c>
      <c r="P853" s="2" t="s">
        <v>34</v>
      </c>
    </row>
    <row r="854" spans="1:16" x14ac:dyDescent="0.25">
      <c r="A854" s="3" t="s">
        <v>1207</v>
      </c>
      <c r="B854" s="4">
        <v>45888</v>
      </c>
      <c r="C854" s="3" t="s">
        <v>382</v>
      </c>
      <c r="D854" s="3" t="s">
        <v>100</v>
      </c>
      <c r="E854" s="3" t="s">
        <v>88</v>
      </c>
      <c r="F854" s="3" t="s">
        <v>72</v>
      </c>
      <c r="G854" s="3" t="s">
        <v>81</v>
      </c>
      <c r="H854" s="3">
        <v>1438.51</v>
      </c>
      <c r="I854" s="3">
        <v>5</v>
      </c>
      <c r="J854" s="3">
        <v>5</v>
      </c>
      <c r="K854" s="9">
        <f t="shared" si="39"/>
        <v>7192.55</v>
      </c>
      <c r="L854" s="9">
        <f t="shared" si="40"/>
        <v>359.6275</v>
      </c>
      <c r="M854" s="10">
        <f t="shared" si="41"/>
        <v>6832.9225000000006</v>
      </c>
      <c r="N854" s="3" t="s">
        <v>26</v>
      </c>
      <c r="O854" s="3" t="s">
        <v>52</v>
      </c>
      <c r="P854" s="3" t="s">
        <v>40</v>
      </c>
    </row>
    <row r="855" spans="1:16" x14ac:dyDescent="0.25">
      <c r="A855" s="2" t="s">
        <v>1208</v>
      </c>
      <c r="B855" s="4">
        <v>45889</v>
      </c>
      <c r="C855" s="2" t="s">
        <v>228</v>
      </c>
      <c r="D855" s="2" t="s">
        <v>87</v>
      </c>
      <c r="E855" s="2" t="s">
        <v>88</v>
      </c>
      <c r="F855" s="2" t="s">
        <v>43</v>
      </c>
      <c r="G855" s="2" t="s">
        <v>145</v>
      </c>
      <c r="H855" s="2">
        <v>11922.12</v>
      </c>
      <c r="I855" s="2">
        <v>4</v>
      </c>
      <c r="J855" s="2">
        <v>5</v>
      </c>
      <c r="K855" s="9">
        <f t="shared" si="39"/>
        <v>47688.480000000003</v>
      </c>
      <c r="L855" s="9">
        <f t="shared" si="40"/>
        <v>2384.4240000000004</v>
      </c>
      <c r="M855" s="10">
        <f t="shared" si="41"/>
        <v>45304.056000000004</v>
      </c>
      <c r="N855" s="2" t="s">
        <v>33</v>
      </c>
      <c r="O855" s="2" t="s">
        <v>18</v>
      </c>
      <c r="P855" s="2" t="s">
        <v>34</v>
      </c>
    </row>
    <row r="856" spans="1:16" x14ac:dyDescent="0.25">
      <c r="A856" s="3" t="s">
        <v>1209</v>
      </c>
      <c r="B856" s="4">
        <v>45890</v>
      </c>
      <c r="C856" s="3" t="s">
        <v>131</v>
      </c>
      <c r="D856" s="3" t="s">
        <v>76</v>
      </c>
      <c r="E856" s="3" t="s">
        <v>77</v>
      </c>
      <c r="F856" s="3" t="s">
        <v>24</v>
      </c>
      <c r="G856" s="3" t="s">
        <v>108</v>
      </c>
      <c r="H856" s="3">
        <v>8232.57</v>
      </c>
      <c r="I856" s="3">
        <v>3</v>
      </c>
      <c r="J856" s="3">
        <v>10</v>
      </c>
      <c r="K856" s="9">
        <f t="shared" si="39"/>
        <v>24697.71</v>
      </c>
      <c r="L856" s="9">
        <f t="shared" si="40"/>
        <v>2469.7709999999997</v>
      </c>
      <c r="M856" s="10">
        <f t="shared" si="41"/>
        <v>22227.938999999998</v>
      </c>
      <c r="N856" s="3" t="s">
        <v>38</v>
      </c>
      <c r="O856" s="3" t="s">
        <v>39</v>
      </c>
      <c r="P856" s="3" t="s">
        <v>19</v>
      </c>
    </row>
    <row r="857" spans="1:16" x14ac:dyDescent="0.25">
      <c r="A857" s="2" t="s">
        <v>1210</v>
      </c>
      <c r="B857" s="4">
        <v>45891</v>
      </c>
      <c r="C857" s="2" t="s">
        <v>318</v>
      </c>
      <c r="D857" s="2" t="s">
        <v>22</v>
      </c>
      <c r="E857" s="2" t="s">
        <v>23</v>
      </c>
      <c r="F857" s="2" t="s">
        <v>72</v>
      </c>
      <c r="G857" s="2" t="s">
        <v>137</v>
      </c>
      <c r="H857" s="2">
        <v>2387.71</v>
      </c>
      <c r="I857" s="2">
        <v>1</v>
      </c>
      <c r="J857" s="2">
        <v>10</v>
      </c>
      <c r="K857" s="9">
        <f t="shared" si="39"/>
        <v>2387.71</v>
      </c>
      <c r="L857" s="9">
        <f t="shared" si="40"/>
        <v>238.77099999999999</v>
      </c>
      <c r="M857" s="10">
        <f t="shared" si="41"/>
        <v>2148.9389999999999</v>
      </c>
      <c r="N857" s="2" t="s">
        <v>68</v>
      </c>
      <c r="O857" s="2" t="s">
        <v>18</v>
      </c>
      <c r="P857" s="2" t="s">
        <v>40</v>
      </c>
    </row>
    <row r="858" spans="1:16" x14ac:dyDescent="0.25">
      <c r="A858" s="3" t="s">
        <v>1211</v>
      </c>
      <c r="B858" s="4">
        <v>45892</v>
      </c>
      <c r="C858" s="3" t="s">
        <v>323</v>
      </c>
      <c r="D858" s="3" t="s">
        <v>51</v>
      </c>
      <c r="E858" s="3" t="s">
        <v>14</v>
      </c>
      <c r="F858" s="3" t="s">
        <v>15</v>
      </c>
      <c r="G858" s="3" t="s">
        <v>16</v>
      </c>
      <c r="H858" s="3">
        <v>1425.01</v>
      </c>
      <c r="I858" s="3">
        <v>3</v>
      </c>
      <c r="J858" s="3">
        <v>0</v>
      </c>
      <c r="K858" s="9">
        <f t="shared" si="39"/>
        <v>4275.03</v>
      </c>
      <c r="L858" s="9">
        <f t="shared" si="40"/>
        <v>0</v>
      </c>
      <c r="M858" s="10">
        <f t="shared" si="41"/>
        <v>4275.03</v>
      </c>
      <c r="N858" s="3" t="s">
        <v>17</v>
      </c>
      <c r="O858" s="3" t="s">
        <v>18</v>
      </c>
      <c r="P858" s="3" t="s">
        <v>19</v>
      </c>
    </row>
    <row r="859" spans="1:16" x14ac:dyDescent="0.25">
      <c r="A859" s="2" t="s">
        <v>1212</v>
      </c>
      <c r="B859" s="4">
        <v>45893</v>
      </c>
      <c r="C859" s="2" t="s">
        <v>413</v>
      </c>
      <c r="D859" s="2" t="s">
        <v>47</v>
      </c>
      <c r="E859" s="2" t="s">
        <v>48</v>
      </c>
      <c r="F859" s="2" t="s">
        <v>72</v>
      </c>
      <c r="G859" s="2" t="s">
        <v>137</v>
      </c>
      <c r="H859" s="2">
        <v>2324.58</v>
      </c>
      <c r="I859" s="2">
        <v>4</v>
      </c>
      <c r="J859" s="2">
        <v>5</v>
      </c>
      <c r="K859" s="9">
        <f t="shared" si="39"/>
        <v>9298.32</v>
      </c>
      <c r="L859" s="9">
        <f t="shared" si="40"/>
        <v>464.916</v>
      </c>
      <c r="M859" s="10">
        <f t="shared" si="41"/>
        <v>8833.4040000000005</v>
      </c>
      <c r="N859" s="2" t="s">
        <v>17</v>
      </c>
      <c r="O859" s="2" t="s">
        <v>39</v>
      </c>
      <c r="P859" s="2" t="s">
        <v>40</v>
      </c>
    </row>
    <row r="860" spans="1:16" x14ac:dyDescent="0.25">
      <c r="A860" s="3" t="s">
        <v>1213</v>
      </c>
      <c r="B860" s="4">
        <v>45894</v>
      </c>
      <c r="C860" s="3" t="s">
        <v>555</v>
      </c>
      <c r="D860" s="3" t="s">
        <v>100</v>
      </c>
      <c r="E860" s="3" t="s">
        <v>88</v>
      </c>
      <c r="F860" s="3" t="s">
        <v>72</v>
      </c>
      <c r="G860" s="3" t="s">
        <v>129</v>
      </c>
      <c r="H860" s="3">
        <v>1701.93</v>
      </c>
      <c r="I860" s="3">
        <v>2</v>
      </c>
      <c r="J860" s="3">
        <v>10</v>
      </c>
      <c r="K860" s="9">
        <f t="shared" si="39"/>
        <v>3403.86</v>
      </c>
      <c r="L860" s="9">
        <f t="shared" si="40"/>
        <v>340.38599999999997</v>
      </c>
      <c r="M860" s="10">
        <f t="shared" si="41"/>
        <v>3063.4740000000002</v>
      </c>
      <c r="N860" s="3" t="s">
        <v>26</v>
      </c>
      <c r="O860" s="3" t="s">
        <v>52</v>
      </c>
      <c r="P860" s="3" t="s">
        <v>19</v>
      </c>
    </row>
    <row r="861" spans="1:16" x14ac:dyDescent="0.25">
      <c r="A861" s="2" t="s">
        <v>1214</v>
      </c>
      <c r="B861" s="4">
        <v>45895</v>
      </c>
      <c r="C861" s="2" t="s">
        <v>256</v>
      </c>
      <c r="D861" s="2" t="s">
        <v>76</v>
      </c>
      <c r="E861" s="2" t="s">
        <v>77</v>
      </c>
      <c r="F861" s="2" t="s">
        <v>31</v>
      </c>
      <c r="G861" s="2" t="s">
        <v>32</v>
      </c>
      <c r="H861" s="2">
        <v>2406.54</v>
      </c>
      <c r="I861" s="2">
        <v>2</v>
      </c>
      <c r="J861" s="2">
        <v>5</v>
      </c>
      <c r="K861" s="9">
        <f t="shared" si="39"/>
        <v>4813.08</v>
      </c>
      <c r="L861" s="9">
        <f t="shared" si="40"/>
        <v>240.65400000000002</v>
      </c>
      <c r="M861" s="10">
        <f t="shared" si="41"/>
        <v>4572.4259999999995</v>
      </c>
      <c r="N861" s="2" t="s">
        <v>33</v>
      </c>
      <c r="O861" s="2" t="s">
        <v>18</v>
      </c>
      <c r="P861" s="2" t="s">
        <v>60</v>
      </c>
    </row>
    <row r="862" spans="1:16" x14ac:dyDescent="0.25">
      <c r="A862" s="3" t="s">
        <v>1215</v>
      </c>
      <c r="B862" s="4">
        <v>45896</v>
      </c>
      <c r="C862" s="3" t="s">
        <v>169</v>
      </c>
      <c r="D862" s="3" t="s">
        <v>87</v>
      </c>
      <c r="E862" s="3" t="s">
        <v>88</v>
      </c>
      <c r="F862" s="3" t="s">
        <v>24</v>
      </c>
      <c r="G862" s="3" t="s">
        <v>59</v>
      </c>
      <c r="H862" s="3">
        <v>5373.75</v>
      </c>
      <c r="I862" s="3">
        <v>3</v>
      </c>
      <c r="J862" s="3">
        <v>0</v>
      </c>
      <c r="K862" s="9">
        <f t="shared" si="39"/>
        <v>16121.25</v>
      </c>
      <c r="L862" s="9">
        <f t="shared" si="40"/>
        <v>0</v>
      </c>
      <c r="M862" s="10">
        <f t="shared" si="41"/>
        <v>16121.25</v>
      </c>
      <c r="N862" s="3" t="s">
        <v>33</v>
      </c>
      <c r="O862" s="3" t="s">
        <v>39</v>
      </c>
      <c r="P862" s="3" t="s">
        <v>34</v>
      </c>
    </row>
    <row r="863" spans="1:16" x14ac:dyDescent="0.25">
      <c r="A863" s="2" t="s">
        <v>1216</v>
      </c>
      <c r="B863" s="4">
        <v>45897</v>
      </c>
      <c r="C863" s="2" t="s">
        <v>241</v>
      </c>
      <c r="D863" s="2" t="s">
        <v>65</v>
      </c>
      <c r="E863" s="2" t="s">
        <v>66</v>
      </c>
      <c r="F863" s="2" t="s">
        <v>15</v>
      </c>
      <c r="G863" s="2" t="s">
        <v>95</v>
      </c>
      <c r="H863" s="2">
        <v>1263.08</v>
      </c>
      <c r="I863" s="2">
        <v>5</v>
      </c>
      <c r="J863" s="2">
        <v>10</v>
      </c>
      <c r="K863" s="9">
        <f t="shared" si="39"/>
        <v>6315.4</v>
      </c>
      <c r="L863" s="9">
        <f t="shared" si="40"/>
        <v>631.54</v>
      </c>
      <c r="M863" s="10">
        <f t="shared" si="41"/>
        <v>5683.86</v>
      </c>
      <c r="N863" s="2" t="s">
        <v>38</v>
      </c>
      <c r="O863" s="2" t="s">
        <v>52</v>
      </c>
      <c r="P863" s="2" t="s">
        <v>40</v>
      </c>
    </row>
    <row r="864" spans="1:16" x14ac:dyDescent="0.25">
      <c r="A864" s="3" t="s">
        <v>1217</v>
      </c>
      <c r="B864" s="4">
        <v>45898</v>
      </c>
      <c r="C864" s="3" t="s">
        <v>442</v>
      </c>
      <c r="D864" s="3" t="s">
        <v>100</v>
      </c>
      <c r="E864" s="3" t="s">
        <v>88</v>
      </c>
      <c r="F864" s="3" t="s">
        <v>31</v>
      </c>
      <c r="G864" s="3" t="s">
        <v>242</v>
      </c>
      <c r="H864" s="3">
        <v>923.37</v>
      </c>
      <c r="I864" s="3">
        <v>5</v>
      </c>
      <c r="J864" s="3">
        <v>5</v>
      </c>
      <c r="K864" s="9">
        <f t="shared" si="39"/>
        <v>4616.8500000000004</v>
      </c>
      <c r="L864" s="9">
        <f t="shared" si="40"/>
        <v>230.8425</v>
      </c>
      <c r="M864" s="10">
        <f t="shared" si="41"/>
        <v>4386.0075000000006</v>
      </c>
      <c r="N864" s="3" t="s">
        <v>17</v>
      </c>
      <c r="O864" s="3" t="s">
        <v>39</v>
      </c>
      <c r="P864" s="3" t="s">
        <v>60</v>
      </c>
    </row>
    <row r="865" spans="1:16" x14ac:dyDescent="0.25">
      <c r="A865" s="2" t="s">
        <v>1218</v>
      </c>
      <c r="B865" s="4">
        <v>45899</v>
      </c>
      <c r="C865" s="2" t="s">
        <v>277</v>
      </c>
      <c r="D865" s="2" t="s">
        <v>22</v>
      </c>
      <c r="E865" s="2" t="s">
        <v>23</v>
      </c>
      <c r="F865" s="2" t="s">
        <v>110</v>
      </c>
      <c r="G865" s="2" t="s">
        <v>67</v>
      </c>
      <c r="H865" s="2">
        <v>4219.5</v>
      </c>
      <c r="I865" s="2">
        <v>1</v>
      </c>
      <c r="J865" s="2">
        <v>0</v>
      </c>
      <c r="K865" s="9">
        <f t="shared" si="39"/>
        <v>4219.5</v>
      </c>
      <c r="L865" s="9">
        <f t="shared" si="40"/>
        <v>0</v>
      </c>
      <c r="M865" s="10">
        <f t="shared" si="41"/>
        <v>4219.5</v>
      </c>
      <c r="N865" s="2" t="s">
        <v>17</v>
      </c>
      <c r="O865" s="2" t="s">
        <v>18</v>
      </c>
      <c r="P865" s="2" t="s">
        <v>34</v>
      </c>
    </row>
    <row r="866" spans="1:16" x14ac:dyDescent="0.25">
      <c r="A866" s="3" t="s">
        <v>1219</v>
      </c>
      <c r="B866" s="4">
        <v>45900</v>
      </c>
      <c r="C866" s="3" t="s">
        <v>1021</v>
      </c>
      <c r="D866" s="3" t="s">
        <v>83</v>
      </c>
      <c r="E866" s="3" t="s">
        <v>84</v>
      </c>
      <c r="F866" s="3" t="s">
        <v>24</v>
      </c>
      <c r="G866" s="3" t="s">
        <v>92</v>
      </c>
      <c r="H866" s="3">
        <v>1597.94</v>
      </c>
      <c r="I866" s="3">
        <v>5</v>
      </c>
      <c r="J866" s="3">
        <v>0</v>
      </c>
      <c r="K866" s="9">
        <f t="shared" si="39"/>
        <v>7989.7000000000007</v>
      </c>
      <c r="L866" s="9">
        <f t="shared" si="40"/>
        <v>0</v>
      </c>
      <c r="M866" s="10">
        <f t="shared" si="41"/>
        <v>7989.7000000000007</v>
      </c>
      <c r="N866" s="3" t="s">
        <v>68</v>
      </c>
      <c r="O866" s="3" t="s">
        <v>18</v>
      </c>
      <c r="P866" s="3" t="s">
        <v>53</v>
      </c>
    </row>
    <row r="867" spans="1:16" x14ac:dyDescent="0.25">
      <c r="A867" s="2" t="s">
        <v>1220</v>
      </c>
      <c r="B867" s="4">
        <v>45901</v>
      </c>
      <c r="C867" s="2" t="s">
        <v>58</v>
      </c>
      <c r="D867" s="2" t="s">
        <v>51</v>
      </c>
      <c r="E867" s="2" t="s">
        <v>14</v>
      </c>
      <c r="F867" s="2" t="s">
        <v>24</v>
      </c>
      <c r="G867" s="2" t="s">
        <v>108</v>
      </c>
      <c r="H867" s="2">
        <v>8255.31</v>
      </c>
      <c r="I867" s="2">
        <v>1</v>
      </c>
      <c r="J867" s="2">
        <v>0</v>
      </c>
      <c r="K867" s="9">
        <f t="shared" si="39"/>
        <v>8255.31</v>
      </c>
      <c r="L867" s="9">
        <f t="shared" si="40"/>
        <v>0</v>
      </c>
      <c r="M867" s="10">
        <f t="shared" si="41"/>
        <v>8255.31</v>
      </c>
      <c r="N867" s="2" t="s">
        <v>68</v>
      </c>
      <c r="O867" s="2" t="s">
        <v>18</v>
      </c>
      <c r="P867" s="2" t="s">
        <v>19</v>
      </c>
    </row>
    <row r="868" spans="1:16" x14ac:dyDescent="0.25">
      <c r="A868" s="3" t="s">
        <v>1221</v>
      </c>
      <c r="B868" s="4">
        <v>45902</v>
      </c>
      <c r="C868" s="3" t="s">
        <v>768</v>
      </c>
      <c r="D868" s="3" t="s">
        <v>65</v>
      </c>
      <c r="E868" s="3" t="s">
        <v>66</v>
      </c>
      <c r="F868" s="3" t="s">
        <v>43</v>
      </c>
      <c r="G868" s="3" t="s">
        <v>127</v>
      </c>
      <c r="H868" s="3">
        <v>6038.55</v>
      </c>
      <c r="I868" s="3">
        <v>2</v>
      </c>
      <c r="J868" s="3">
        <v>5</v>
      </c>
      <c r="K868" s="9">
        <f t="shared" si="39"/>
        <v>12077.1</v>
      </c>
      <c r="L868" s="9">
        <f t="shared" si="40"/>
        <v>603.85500000000002</v>
      </c>
      <c r="M868" s="10">
        <f t="shared" si="41"/>
        <v>11473.245000000001</v>
      </c>
      <c r="N868" s="3" t="s">
        <v>33</v>
      </c>
      <c r="O868" s="3" t="s">
        <v>18</v>
      </c>
      <c r="P868" s="3" t="s">
        <v>40</v>
      </c>
    </row>
    <row r="869" spans="1:16" x14ac:dyDescent="0.25">
      <c r="A869" s="2" t="s">
        <v>1222</v>
      </c>
      <c r="B869" s="4">
        <v>45903</v>
      </c>
      <c r="C869" s="2" t="s">
        <v>285</v>
      </c>
      <c r="D869" s="2" t="s">
        <v>51</v>
      </c>
      <c r="E869" s="2" t="s">
        <v>14</v>
      </c>
      <c r="F869" s="2" t="s">
        <v>31</v>
      </c>
      <c r="G869" s="2" t="s">
        <v>70</v>
      </c>
      <c r="H869" s="2">
        <v>638.15</v>
      </c>
      <c r="I869" s="2">
        <v>4</v>
      </c>
      <c r="J869" s="2">
        <v>10</v>
      </c>
      <c r="K869" s="9">
        <f t="shared" si="39"/>
        <v>2552.6</v>
      </c>
      <c r="L869" s="9">
        <f t="shared" si="40"/>
        <v>255.26</v>
      </c>
      <c r="M869" s="10">
        <f t="shared" si="41"/>
        <v>2297.34</v>
      </c>
      <c r="N869" s="2" t="s">
        <v>17</v>
      </c>
      <c r="O869" s="2" t="s">
        <v>52</v>
      </c>
      <c r="P869" s="2" t="s">
        <v>34</v>
      </c>
    </row>
    <row r="870" spans="1:16" x14ac:dyDescent="0.25">
      <c r="A870" s="3" t="s">
        <v>1223</v>
      </c>
      <c r="B870" s="4">
        <v>45904</v>
      </c>
      <c r="C870" s="3" t="s">
        <v>759</v>
      </c>
      <c r="D870" s="3" t="s">
        <v>76</v>
      </c>
      <c r="E870" s="3" t="s">
        <v>77</v>
      </c>
      <c r="F870" s="3" t="s">
        <v>31</v>
      </c>
      <c r="G870" s="3" t="s">
        <v>186</v>
      </c>
      <c r="H870" s="3">
        <v>721.19</v>
      </c>
      <c r="I870" s="3">
        <v>2</v>
      </c>
      <c r="J870" s="3">
        <v>10</v>
      </c>
      <c r="K870" s="9">
        <f t="shared" si="39"/>
        <v>1442.38</v>
      </c>
      <c r="L870" s="9">
        <f t="shared" si="40"/>
        <v>144.238</v>
      </c>
      <c r="M870" s="10">
        <f t="shared" si="41"/>
        <v>1298.1420000000001</v>
      </c>
      <c r="N870" s="3" t="s">
        <v>68</v>
      </c>
      <c r="O870" s="3" t="s">
        <v>39</v>
      </c>
      <c r="P870" s="3" t="s">
        <v>60</v>
      </c>
    </row>
    <row r="871" spans="1:16" x14ac:dyDescent="0.25">
      <c r="A871" s="2" t="s">
        <v>1224</v>
      </c>
      <c r="B871" s="4">
        <v>45905</v>
      </c>
      <c r="C871" s="2" t="s">
        <v>258</v>
      </c>
      <c r="D871" s="2" t="s">
        <v>87</v>
      </c>
      <c r="E871" s="2" t="s">
        <v>88</v>
      </c>
      <c r="F871" s="2" t="s">
        <v>110</v>
      </c>
      <c r="G871" s="2" t="s">
        <v>67</v>
      </c>
      <c r="H871" s="2">
        <v>4464.18</v>
      </c>
      <c r="I871" s="2">
        <v>5</v>
      </c>
      <c r="J871" s="2">
        <v>0</v>
      </c>
      <c r="K871" s="9">
        <f t="shared" si="39"/>
        <v>22320.9</v>
      </c>
      <c r="L871" s="9">
        <f t="shared" si="40"/>
        <v>0</v>
      </c>
      <c r="M871" s="10">
        <f t="shared" si="41"/>
        <v>22320.9</v>
      </c>
      <c r="N871" s="2" t="s">
        <v>68</v>
      </c>
      <c r="O871" s="2" t="s">
        <v>18</v>
      </c>
      <c r="P871" s="2" t="s">
        <v>60</v>
      </c>
    </row>
    <row r="872" spans="1:16" x14ac:dyDescent="0.25">
      <c r="A872" s="3" t="s">
        <v>1225</v>
      </c>
      <c r="B872" s="4">
        <v>45906</v>
      </c>
      <c r="C872" s="3" t="s">
        <v>150</v>
      </c>
      <c r="D872" s="3" t="s">
        <v>47</v>
      </c>
      <c r="E872" s="3" t="s">
        <v>48</v>
      </c>
      <c r="F872" s="3" t="s">
        <v>43</v>
      </c>
      <c r="G872" s="3" t="s">
        <v>89</v>
      </c>
      <c r="H872" s="3">
        <v>4791.09</v>
      </c>
      <c r="I872" s="3">
        <v>2</v>
      </c>
      <c r="J872" s="3">
        <v>15</v>
      </c>
      <c r="K872" s="9">
        <f t="shared" si="39"/>
        <v>9582.18</v>
      </c>
      <c r="L872" s="9">
        <f t="shared" si="40"/>
        <v>1437.3270000000002</v>
      </c>
      <c r="M872" s="10">
        <f t="shared" si="41"/>
        <v>8144.8530000000001</v>
      </c>
      <c r="N872" s="3" t="s">
        <v>26</v>
      </c>
      <c r="O872" s="3" t="s">
        <v>18</v>
      </c>
      <c r="P872" s="3" t="s">
        <v>19</v>
      </c>
    </row>
    <row r="873" spans="1:16" x14ac:dyDescent="0.25">
      <c r="A873" s="2" t="s">
        <v>1226</v>
      </c>
      <c r="B873" s="4">
        <v>45907</v>
      </c>
      <c r="C873" s="2" t="s">
        <v>796</v>
      </c>
      <c r="D873" s="2" t="s">
        <v>65</v>
      </c>
      <c r="E873" s="2" t="s">
        <v>66</v>
      </c>
      <c r="F873" s="2" t="s">
        <v>15</v>
      </c>
      <c r="G873" s="2" t="s">
        <v>163</v>
      </c>
      <c r="H873" s="2">
        <v>2599.2600000000002</v>
      </c>
      <c r="I873" s="2">
        <v>1</v>
      </c>
      <c r="J873" s="2">
        <v>0</v>
      </c>
      <c r="K873" s="9">
        <f t="shared" si="39"/>
        <v>2599.2600000000002</v>
      </c>
      <c r="L873" s="9">
        <f t="shared" si="40"/>
        <v>0</v>
      </c>
      <c r="M873" s="10">
        <f t="shared" si="41"/>
        <v>2599.2600000000002</v>
      </c>
      <c r="N873" s="2" t="s">
        <v>68</v>
      </c>
      <c r="O873" s="2" t="s">
        <v>18</v>
      </c>
      <c r="P873" s="2" t="s">
        <v>53</v>
      </c>
    </row>
    <row r="874" spans="1:16" x14ac:dyDescent="0.25">
      <c r="A874" s="3" t="s">
        <v>1227</v>
      </c>
      <c r="B874" s="4">
        <v>45908</v>
      </c>
      <c r="C874" s="3" t="s">
        <v>555</v>
      </c>
      <c r="D874" s="3" t="s">
        <v>47</v>
      </c>
      <c r="E874" s="3" t="s">
        <v>48</v>
      </c>
      <c r="F874" s="3" t="s">
        <v>15</v>
      </c>
      <c r="G874" s="3" t="s">
        <v>198</v>
      </c>
      <c r="H874" s="3">
        <v>831.69</v>
      </c>
      <c r="I874" s="3">
        <v>2</v>
      </c>
      <c r="J874" s="3">
        <v>0</v>
      </c>
      <c r="K874" s="9">
        <f t="shared" si="39"/>
        <v>1663.38</v>
      </c>
      <c r="L874" s="9">
        <f t="shared" si="40"/>
        <v>0</v>
      </c>
      <c r="M874" s="10">
        <f t="shared" si="41"/>
        <v>1663.38</v>
      </c>
      <c r="N874" s="3" t="s">
        <v>33</v>
      </c>
      <c r="O874" s="3" t="s">
        <v>39</v>
      </c>
      <c r="P874" s="3" t="s">
        <v>19</v>
      </c>
    </row>
    <row r="875" spans="1:16" x14ac:dyDescent="0.25">
      <c r="A875" s="2" t="s">
        <v>1228</v>
      </c>
      <c r="B875" s="4">
        <v>45909</v>
      </c>
      <c r="C875" s="2" t="s">
        <v>451</v>
      </c>
      <c r="D875" s="2" t="s">
        <v>22</v>
      </c>
      <c r="E875" s="2" t="s">
        <v>23</v>
      </c>
      <c r="F875" s="2" t="s">
        <v>110</v>
      </c>
      <c r="G875" s="2" t="s">
        <v>215</v>
      </c>
      <c r="H875" s="2">
        <v>2455.0500000000002</v>
      </c>
      <c r="I875" s="2">
        <v>2</v>
      </c>
      <c r="J875" s="2">
        <v>5</v>
      </c>
      <c r="K875" s="9">
        <f t="shared" si="39"/>
        <v>4910.1000000000004</v>
      </c>
      <c r="L875" s="9">
        <f t="shared" si="40"/>
        <v>245.505</v>
      </c>
      <c r="M875" s="10">
        <f t="shared" si="41"/>
        <v>4664.5950000000003</v>
      </c>
      <c r="N875" s="2" t="s">
        <v>26</v>
      </c>
      <c r="O875" s="2" t="s">
        <v>52</v>
      </c>
      <c r="P875" s="2" t="s">
        <v>40</v>
      </c>
    </row>
    <row r="876" spans="1:16" x14ac:dyDescent="0.25">
      <c r="A876" s="3" t="s">
        <v>1229</v>
      </c>
      <c r="B876" s="4">
        <v>45910</v>
      </c>
      <c r="C876" s="3" t="s">
        <v>821</v>
      </c>
      <c r="D876" s="3" t="s">
        <v>76</v>
      </c>
      <c r="E876" s="3" t="s">
        <v>77</v>
      </c>
      <c r="F876" s="3" t="s">
        <v>43</v>
      </c>
      <c r="G876" s="3" t="s">
        <v>105</v>
      </c>
      <c r="H876" s="3">
        <v>2937.74</v>
      </c>
      <c r="I876" s="3">
        <v>2</v>
      </c>
      <c r="J876" s="3">
        <v>0</v>
      </c>
      <c r="K876" s="9">
        <f t="shared" si="39"/>
        <v>5875.48</v>
      </c>
      <c r="L876" s="9">
        <f t="shared" si="40"/>
        <v>0</v>
      </c>
      <c r="M876" s="10">
        <f t="shared" si="41"/>
        <v>5875.48</v>
      </c>
      <c r="N876" s="3" t="s">
        <v>68</v>
      </c>
      <c r="O876" s="3" t="s">
        <v>18</v>
      </c>
      <c r="P876" s="3" t="s">
        <v>34</v>
      </c>
    </row>
    <row r="877" spans="1:16" x14ac:dyDescent="0.25">
      <c r="A877" s="2" t="s">
        <v>1230</v>
      </c>
      <c r="B877" s="4">
        <v>45911</v>
      </c>
      <c r="C877" s="2" t="s">
        <v>219</v>
      </c>
      <c r="D877" s="2" t="s">
        <v>87</v>
      </c>
      <c r="E877" s="2" t="s">
        <v>88</v>
      </c>
      <c r="F877" s="2" t="s">
        <v>15</v>
      </c>
      <c r="G877" s="2" t="s">
        <v>95</v>
      </c>
      <c r="H877" s="2">
        <v>1196.3399999999999</v>
      </c>
      <c r="I877" s="2">
        <v>1</v>
      </c>
      <c r="J877" s="2">
        <v>15</v>
      </c>
      <c r="K877" s="9">
        <f t="shared" si="39"/>
        <v>1196.3399999999999</v>
      </c>
      <c r="L877" s="9">
        <f t="shared" si="40"/>
        <v>179.45099999999999</v>
      </c>
      <c r="M877" s="10">
        <f t="shared" si="41"/>
        <v>1016.8889999999999</v>
      </c>
      <c r="N877" s="2" t="s">
        <v>17</v>
      </c>
      <c r="O877" s="2" t="s">
        <v>27</v>
      </c>
      <c r="P877" s="2" t="s">
        <v>53</v>
      </c>
    </row>
    <row r="878" spans="1:16" x14ac:dyDescent="0.25">
      <c r="A878" s="3" t="s">
        <v>1231</v>
      </c>
      <c r="B878" s="4">
        <v>45912</v>
      </c>
      <c r="C878" s="3" t="s">
        <v>660</v>
      </c>
      <c r="D878" s="3" t="s">
        <v>76</v>
      </c>
      <c r="E878" s="3" t="s">
        <v>77</v>
      </c>
      <c r="F878" s="3" t="s">
        <v>72</v>
      </c>
      <c r="G878" s="3" t="s">
        <v>137</v>
      </c>
      <c r="H878" s="3">
        <v>2350.29</v>
      </c>
      <c r="I878" s="3">
        <v>2</v>
      </c>
      <c r="J878" s="3">
        <v>0</v>
      </c>
      <c r="K878" s="9">
        <f t="shared" si="39"/>
        <v>4700.58</v>
      </c>
      <c r="L878" s="9">
        <f t="shared" si="40"/>
        <v>0</v>
      </c>
      <c r="M878" s="10">
        <f t="shared" si="41"/>
        <v>4700.58</v>
      </c>
      <c r="N878" s="3" t="s">
        <v>17</v>
      </c>
      <c r="O878" s="3" t="s">
        <v>18</v>
      </c>
      <c r="P878" s="3" t="s">
        <v>53</v>
      </c>
    </row>
    <row r="879" spans="1:16" x14ac:dyDescent="0.25">
      <c r="A879" s="2" t="s">
        <v>1232</v>
      </c>
      <c r="B879" s="4">
        <v>45913</v>
      </c>
      <c r="C879" s="2" t="s">
        <v>203</v>
      </c>
      <c r="D879" s="2" t="s">
        <v>65</v>
      </c>
      <c r="E879" s="2" t="s">
        <v>66</v>
      </c>
      <c r="F879" s="2" t="s">
        <v>24</v>
      </c>
      <c r="G879" s="2" t="s">
        <v>92</v>
      </c>
      <c r="H879" s="2">
        <v>1551.42</v>
      </c>
      <c r="I879" s="2">
        <v>1</v>
      </c>
      <c r="J879" s="2">
        <v>0</v>
      </c>
      <c r="K879" s="9">
        <f t="shared" si="39"/>
        <v>1551.42</v>
      </c>
      <c r="L879" s="9">
        <f t="shared" si="40"/>
        <v>0</v>
      </c>
      <c r="M879" s="10">
        <f t="shared" si="41"/>
        <v>1551.42</v>
      </c>
      <c r="N879" s="2" t="s">
        <v>38</v>
      </c>
      <c r="O879" s="2" t="s">
        <v>18</v>
      </c>
      <c r="P879" s="2" t="s">
        <v>60</v>
      </c>
    </row>
    <row r="880" spans="1:16" x14ac:dyDescent="0.25">
      <c r="A880" s="3" t="s">
        <v>1233</v>
      </c>
      <c r="B880" s="4">
        <v>45914</v>
      </c>
      <c r="C880" s="3" t="s">
        <v>188</v>
      </c>
      <c r="D880" s="3" t="s">
        <v>13</v>
      </c>
      <c r="E880" s="3" t="s">
        <v>14</v>
      </c>
      <c r="F880" s="3" t="s">
        <v>15</v>
      </c>
      <c r="G880" s="3" t="s">
        <v>56</v>
      </c>
      <c r="H880" s="3">
        <v>1697.82</v>
      </c>
      <c r="I880" s="3">
        <v>1</v>
      </c>
      <c r="J880" s="3">
        <v>5</v>
      </c>
      <c r="K880" s="9">
        <f t="shared" si="39"/>
        <v>1697.82</v>
      </c>
      <c r="L880" s="9">
        <f t="shared" si="40"/>
        <v>84.891000000000005</v>
      </c>
      <c r="M880" s="10">
        <f t="shared" si="41"/>
        <v>1612.9289999999999</v>
      </c>
      <c r="N880" s="3" t="s">
        <v>17</v>
      </c>
      <c r="O880" s="3" t="s">
        <v>27</v>
      </c>
      <c r="P880" s="3" t="s">
        <v>40</v>
      </c>
    </row>
    <row r="881" spans="1:16" x14ac:dyDescent="0.25">
      <c r="A881" s="2" t="s">
        <v>1234</v>
      </c>
      <c r="B881" s="4">
        <v>45915</v>
      </c>
      <c r="C881" s="2" t="s">
        <v>576</v>
      </c>
      <c r="D881" s="2" t="s">
        <v>76</v>
      </c>
      <c r="E881" s="2" t="s">
        <v>77</v>
      </c>
      <c r="F881" s="2" t="s">
        <v>36</v>
      </c>
      <c r="G881" s="2" t="s">
        <v>113</v>
      </c>
      <c r="H881" s="2">
        <v>108111.98</v>
      </c>
      <c r="I881" s="2">
        <v>4</v>
      </c>
      <c r="J881" s="2">
        <v>0</v>
      </c>
      <c r="K881" s="9">
        <f t="shared" si="39"/>
        <v>432447.92</v>
      </c>
      <c r="L881" s="9">
        <f t="shared" si="40"/>
        <v>0</v>
      </c>
      <c r="M881" s="10">
        <f t="shared" si="41"/>
        <v>432447.92</v>
      </c>
      <c r="N881" s="2" t="s">
        <v>26</v>
      </c>
      <c r="O881" s="2" t="s">
        <v>18</v>
      </c>
      <c r="P881" s="2" t="s">
        <v>53</v>
      </c>
    </row>
    <row r="882" spans="1:16" x14ac:dyDescent="0.25">
      <c r="A882" s="3" t="s">
        <v>1235</v>
      </c>
      <c r="B882" s="4">
        <v>45916</v>
      </c>
      <c r="C882" s="3" t="s">
        <v>433</v>
      </c>
      <c r="D882" s="3" t="s">
        <v>65</v>
      </c>
      <c r="E882" s="3" t="s">
        <v>66</v>
      </c>
      <c r="F882" s="3" t="s">
        <v>36</v>
      </c>
      <c r="G882" s="3" t="s">
        <v>78</v>
      </c>
      <c r="H882" s="3">
        <v>82230.98</v>
      </c>
      <c r="I882" s="3">
        <v>2</v>
      </c>
      <c r="J882" s="3">
        <v>15</v>
      </c>
      <c r="K882" s="9">
        <f t="shared" si="39"/>
        <v>164461.96</v>
      </c>
      <c r="L882" s="9">
        <f t="shared" si="40"/>
        <v>24669.293999999998</v>
      </c>
      <c r="M882" s="10">
        <f t="shared" si="41"/>
        <v>139792.666</v>
      </c>
      <c r="N882" s="3" t="s">
        <v>68</v>
      </c>
      <c r="O882" s="3" t="s">
        <v>18</v>
      </c>
      <c r="P882" s="3" t="s">
        <v>40</v>
      </c>
    </row>
    <row r="883" spans="1:16" x14ac:dyDescent="0.25">
      <c r="A883" s="2" t="s">
        <v>1236</v>
      </c>
      <c r="B883" s="4">
        <v>45917</v>
      </c>
      <c r="C883" s="2" t="s">
        <v>326</v>
      </c>
      <c r="D883" s="2" t="s">
        <v>100</v>
      </c>
      <c r="E883" s="2" t="s">
        <v>88</v>
      </c>
      <c r="F883" s="2" t="s">
        <v>36</v>
      </c>
      <c r="G883" s="2" t="s">
        <v>37</v>
      </c>
      <c r="H883" s="2">
        <v>12030</v>
      </c>
      <c r="I883" s="2">
        <v>3</v>
      </c>
      <c r="J883" s="2">
        <v>10</v>
      </c>
      <c r="K883" s="9">
        <f t="shared" si="39"/>
        <v>36090</v>
      </c>
      <c r="L883" s="9">
        <f t="shared" si="40"/>
        <v>3609</v>
      </c>
      <c r="M883" s="10">
        <f t="shared" si="41"/>
        <v>32481</v>
      </c>
      <c r="N883" s="2" t="s">
        <v>17</v>
      </c>
      <c r="O883" s="2" t="s">
        <v>27</v>
      </c>
      <c r="P883" s="2" t="s">
        <v>53</v>
      </c>
    </row>
    <row r="884" spans="1:16" x14ac:dyDescent="0.25">
      <c r="A884" s="3" t="s">
        <v>1237</v>
      </c>
      <c r="B884" s="4">
        <v>45918</v>
      </c>
      <c r="C884" s="3" t="s">
        <v>759</v>
      </c>
      <c r="D884" s="3" t="s">
        <v>65</v>
      </c>
      <c r="E884" s="3" t="s">
        <v>66</v>
      </c>
      <c r="F884" s="3" t="s">
        <v>43</v>
      </c>
      <c r="G884" s="3" t="s">
        <v>44</v>
      </c>
      <c r="H884" s="3">
        <v>3312.69</v>
      </c>
      <c r="I884" s="3">
        <v>1</v>
      </c>
      <c r="J884" s="3">
        <v>5</v>
      </c>
      <c r="K884" s="9">
        <f t="shared" si="39"/>
        <v>3312.69</v>
      </c>
      <c r="L884" s="9">
        <f t="shared" si="40"/>
        <v>165.6345</v>
      </c>
      <c r="M884" s="10">
        <f t="shared" si="41"/>
        <v>3147.0554999999999</v>
      </c>
      <c r="N884" s="3" t="s">
        <v>38</v>
      </c>
      <c r="O884" s="3" t="s">
        <v>18</v>
      </c>
      <c r="P884" s="3" t="s">
        <v>40</v>
      </c>
    </row>
    <row r="885" spans="1:16" x14ac:dyDescent="0.25">
      <c r="A885" s="2" t="s">
        <v>1238</v>
      </c>
      <c r="B885" s="4">
        <v>45919</v>
      </c>
      <c r="C885" s="2" t="s">
        <v>336</v>
      </c>
      <c r="D885" s="2" t="s">
        <v>13</v>
      </c>
      <c r="E885" s="2" t="s">
        <v>14</v>
      </c>
      <c r="F885" s="2" t="s">
        <v>43</v>
      </c>
      <c r="G885" s="2" t="s">
        <v>127</v>
      </c>
      <c r="H885" s="2">
        <v>5454.65</v>
      </c>
      <c r="I885" s="2">
        <v>1</v>
      </c>
      <c r="J885" s="2">
        <v>0</v>
      </c>
      <c r="K885" s="9">
        <f t="shared" si="39"/>
        <v>5454.65</v>
      </c>
      <c r="L885" s="9">
        <f t="shared" si="40"/>
        <v>0</v>
      </c>
      <c r="M885" s="10">
        <f t="shared" si="41"/>
        <v>5454.65</v>
      </c>
      <c r="N885" s="2" t="s">
        <v>38</v>
      </c>
      <c r="O885" s="2" t="s">
        <v>27</v>
      </c>
      <c r="P885" s="2" t="s">
        <v>19</v>
      </c>
    </row>
    <row r="886" spans="1:16" x14ac:dyDescent="0.25">
      <c r="A886" s="3" t="s">
        <v>1239</v>
      </c>
      <c r="B886" s="4">
        <v>45920</v>
      </c>
      <c r="C886" s="3" t="s">
        <v>1240</v>
      </c>
      <c r="D886" s="3" t="s">
        <v>51</v>
      </c>
      <c r="E886" s="3" t="s">
        <v>14</v>
      </c>
      <c r="F886" s="3" t="s">
        <v>43</v>
      </c>
      <c r="G886" s="3" t="s">
        <v>105</v>
      </c>
      <c r="H886" s="3">
        <v>2949.83</v>
      </c>
      <c r="I886" s="3">
        <v>4</v>
      </c>
      <c r="J886" s="3">
        <v>0</v>
      </c>
      <c r="K886" s="9">
        <f t="shared" si="39"/>
        <v>11799.32</v>
      </c>
      <c r="L886" s="9">
        <f t="shared" si="40"/>
        <v>0</v>
      </c>
      <c r="M886" s="10">
        <f t="shared" si="41"/>
        <v>11799.32</v>
      </c>
      <c r="N886" s="3" t="s">
        <v>17</v>
      </c>
      <c r="O886" s="3" t="s">
        <v>39</v>
      </c>
      <c r="P886" s="3" t="s">
        <v>19</v>
      </c>
    </row>
    <row r="887" spans="1:16" x14ac:dyDescent="0.25">
      <c r="A887" s="2" t="s">
        <v>1241</v>
      </c>
      <c r="B887" s="4">
        <v>45921</v>
      </c>
      <c r="C887" s="2" t="s">
        <v>1242</v>
      </c>
      <c r="D887" s="2" t="s">
        <v>29</v>
      </c>
      <c r="E887" s="2" t="s">
        <v>30</v>
      </c>
      <c r="F887" s="2" t="s">
        <v>31</v>
      </c>
      <c r="G887" s="2" t="s">
        <v>70</v>
      </c>
      <c r="H887" s="2">
        <v>621.35</v>
      </c>
      <c r="I887" s="2">
        <v>2</v>
      </c>
      <c r="J887" s="2">
        <v>15</v>
      </c>
      <c r="K887" s="9">
        <f t="shared" si="39"/>
        <v>1242.7</v>
      </c>
      <c r="L887" s="9">
        <f t="shared" si="40"/>
        <v>186.405</v>
      </c>
      <c r="M887" s="10">
        <f t="shared" si="41"/>
        <v>1056.2950000000001</v>
      </c>
      <c r="N887" s="2" t="s">
        <v>26</v>
      </c>
      <c r="O887" s="2" t="s">
        <v>27</v>
      </c>
      <c r="P887" s="2" t="s">
        <v>34</v>
      </c>
    </row>
    <row r="888" spans="1:16" x14ac:dyDescent="0.25">
      <c r="A888" s="3" t="s">
        <v>1243</v>
      </c>
      <c r="B888" s="4">
        <v>45922</v>
      </c>
      <c r="C888" s="3" t="s">
        <v>919</v>
      </c>
      <c r="D888" s="3" t="s">
        <v>87</v>
      </c>
      <c r="E888" s="3" t="s">
        <v>88</v>
      </c>
      <c r="F888" s="3" t="s">
        <v>36</v>
      </c>
      <c r="G888" s="3" t="s">
        <v>113</v>
      </c>
      <c r="H888" s="3">
        <v>129890.48</v>
      </c>
      <c r="I888" s="3">
        <v>4</v>
      </c>
      <c r="J888" s="3">
        <v>10</v>
      </c>
      <c r="K888" s="9">
        <f t="shared" si="39"/>
        <v>519561.92</v>
      </c>
      <c r="L888" s="9">
        <f t="shared" si="40"/>
        <v>51956.192000000003</v>
      </c>
      <c r="M888" s="10">
        <f t="shared" si="41"/>
        <v>467605.728</v>
      </c>
      <c r="N888" s="3" t="s">
        <v>17</v>
      </c>
      <c r="O888" s="3" t="s">
        <v>27</v>
      </c>
      <c r="P888" s="3" t="s">
        <v>53</v>
      </c>
    </row>
    <row r="889" spans="1:16" x14ac:dyDescent="0.25">
      <c r="A889" s="2" t="s">
        <v>1244</v>
      </c>
      <c r="B889" s="4">
        <v>45923</v>
      </c>
      <c r="C889" s="2" t="s">
        <v>504</v>
      </c>
      <c r="D889" s="2" t="s">
        <v>13</v>
      </c>
      <c r="E889" s="2" t="s">
        <v>14</v>
      </c>
      <c r="F889" s="2" t="s">
        <v>24</v>
      </c>
      <c r="G889" s="2" t="s">
        <v>92</v>
      </c>
      <c r="H889" s="2">
        <v>1534.9</v>
      </c>
      <c r="I889" s="2">
        <v>1</v>
      </c>
      <c r="J889" s="2">
        <v>0</v>
      </c>
      <c r="K889" s="9">
        <f t="shared" si="39"/>
        <v>1534.9</v>
      </c>
      <c r="L889" s="9">
        <f t="shared" si="40"/>
        <v>0</v>
      </c>
      <c r="M889" s="10">
        <f t="shared" si="41"/>
        <v>1534.9</v>
      </c>
      <c r="N889" s="2" t="s">
        <v>26</v>
      </c>
      <c r="O889" s="2" t="s">
        <v>27</v>
      </c>
      <c r="P889" s="2" t="s">
        <v>60</v>
      </c>
    </row>
    <row r="890" spans="1:16" x14ac:dyDescent="0.25">
      <c r="A890" s="3" t="s">
        <v>1245</v>
      </c>
      <c r="B890" s="4">
        <v>45924</v>
      </c>
      <c r="C890" s="3" t="s">
        <v>1246</v>
      </c>
      <c r="D890" s="3" t="s">
        <v>13</v>
      </c>
      <c r="E890" s="3" t="s">
        <v>14</v>
      </c>
      <c r="F890" s="3" t="s">
        <v>24</v>
      </c>
      <c r="G890" s="3" t="s">
        <v>108</v>
      </c>
      <c r="H890" s="3">
        <v>7997.96</v>
      </c>
      <c r="I890" s="3">
        <v>2</v>
      </c>
      <c r="J890" s="3">
        <v>0</v>
      </c>
      <c r="K890" s="9">
        <f t="shared" si="39"/>
        <v>15995.92</v>
      </c>
      <c r="L890" s="9">
        <f t="shared" si="40"/>
        <v>0</v>
      </c>
      <c r="M890" s="10">
        <f t="shared" si="41"/>
        <v>15995.92</v>
      </c>
      <c r="N890" s="3" t="s">
        <v>33</v>
      </c>
      <c r="O890" s="3" t="s">
        <v>18</v>
      </c>
      <c r="P890" s="3" t="s">
        <v>40</v>
      </c>
    </row>
    <row r="891" spans="1:16" x14ac:dyDescent="0.25">
      <c r="A891" s="2" t="s">
        <v>1247</v>
      </c>
      <c r="B891" s="4">
        <v>45925</v>
      </c>
      <c r="C891" s="2" t="s">
        <v>205</v>
      </c>
      <c r="D891" s="2" t="s">
        <v>76</v>
      </c>
      <c r="E891" s="2" t="s">
        <v>77</v>
      </c>
      <c r="F891" s="2" t="s">
        <v>15</v>
      </c>
      <c r="G891" s="2" t="s">
        <v>16</v>
      </c>
      <c r="H891" s="2">
        <v>1390.28</v>
      </c>
      <c r="I891" s="2">
        <v>3</v>
      </c>
      <c r="J891" s="2">
        <v>15</v>
      </c>
      <c r="K891" s="9">
        <f t="shared" si="39"/>
        <v>4170.84</v>
      </c>
      <c r="L891" s="9">
        <f t="shared" si="40"/>
        <v>625.62600000000009</v>
      </c>
      <c r="M891" s="10">
        <f t="shared" si="41"/>
        <v>3545.2139999999999</v>
      </c>
      <c r="N891" s="2" t="s">
        <v>68</v>
      </c>
      <c r="O891" s="2" t="s">
        <v>52</v>
      </c>
      <c r="P891" s="2" t="s">
        <v>60</v>
      </c>
    </row>
    <row r="892" spans="1:16" x14ac:dyDescent="0.25">
      <c r="A892" s="3" t="s">
        <v>1248</v>
      </c>
      <c r="B892" s="4">
        <v>45926</v>
      </c>
      <c r="C892" s="3" t="s">
        <v>234</v>
      </c>
      <c r="D892" s="3" t="s">
        <v>51</v>
      </c>
      <c r="E892" s="3" t="s">
        <v>14</v>
      </c>
      <c r="F892" s="3" t="s">
        <v>72</v>
      </c>
      <c r="G892" s="3" t="s">
        <v>137</v>
      </c>
      <c r="H892" s="3">
        <v>2130.8000000000002</v>
      </c>
      <c r="I892" s="3">
        <v>2</v>
      </c>
      <c r="J892" s="3">
        <v>15</v>
      </c>
      <c r="K892" s="9">
        <f t="shared" si="39"/>
        <v>4261.6000000000004</v>
      </c>
      <c r="L892" s="9">
        <f t="shared" si="40"/>
        <v>639.24000000000012</v>
      </c>
      <c r="M892" s="10">
        <f t="shared" si="41"/>
        <v>3622.36</v>
      </c>
      <c r="N892" s="3" t="s">
        <v>68</v>
      </c>
      <c r="O892" s="3" t="s">
        <v>27</v>
      </c>
      <c r="P892" s="3" t="s">
        <v>53</v>
      </c>
    </row>
    <row r="893" spans="1:16" x14ac:dyDescent="0.25">
      <c r="A893" s="2" t="s">
        <v>1249</v>
      </c>
      <c r="B893" s="4">
        <v>45927</v>
      </c>
      <c r="C893" s="2" t="s">
        <v>150</v>
      </c>
      <c r="D893" s="2" t="s">
        <v>51</v>
      </c>
      <c r="E893" s="2" t="s">
        <v>14</v>
      </c>
      <c r="F893" s="2" t="s">
        <v>110</v>
      </c>
      <c r="G893" s="2" t="s">
        <v>67</v>
      </c>
      <c r="H893" s="2">
        <v>4519.32</v>
      </c>
      <c r="I893" s="2">
        <v>2</v>
      </c>
      <c r="J893" s="2">
        <v>0</v>
      </c>
      <c r="K893" s="9">
        <f t="shared" si="39"/>
        <v>9038.64</v>
      </c>
      <c r="L893" s="9">
        <f t="shared" si="40"/>
        <v>0</v>
      </c>
      <c r="M893" s="10">
        <f t="shared" si="41"/>
        <v>9038.64</v>
      </c>
      <c r="N893" s="2" t="s">
        <v>68</v>
      </c>
      <c r="O893" s="2" t="s">
        <v>18</v>
      </c>
      <c r="P893" s="2" t="s">
        <v>60</v>
      </c>
    </row>
    <row r="894" spans="1:16" x14ac:dyDescent="0.25">
      <c r="A894" s="3" t="s">
        <v>1250</v>
      </c>
      <c r="B894" s="4">
        <v>45928</v>
      </c>
      <c r="C894" s="3" t="s">
        <v>553</v>
      </c>
      <c r="D894" s="3" t="s">
        <v>100</v>
      </c>
      <c r="E894" s="3" t="s">
        <v>88</v>
      </c>
      <c r="F894" s="3" t="s">
        <v>24</v>
      </c>
      <c r="G894" s="3" t="s">
        <v>25</v>
      </c>
      <c r="H894" s="3">
        <v>4132.58</v>
      </c>
      <c r="I894" s="3">
        <v>5</v>
      </c>
      <c r="J894" s="3">
        <v>0</v>
      </c>
      <c r="K894" s="9">
        <f t="shared" si="39"/>
        <v>20662.900000000001</v>
      </c>
      <c r="L894" s="9">
        <f t="shared" si="40"/>
        <v>0</v>
      </c>
      <c r="M894" s="10">
        <f t="shared" si="41"/>
        <v>20662.900000000001</v>
      </c>
      <c r="N894" s="3" t="s">
        <v>26</v>
      </c>
      <c r="O894" s="3" t="s">
        <v>18</v>
      </c>
      <c r="P894" s="3" t="s">
        <v>19</v>
      </c>
    </row>
    <row r="895" spans="1:16" x14ac:dyDescent="0.25">
      <c r="A895" s="2" t="s">
        <v>1251</v>
      </c>
      <c r="B895" s="4">
        <v>45929</v>
      </c>
      <c r="C895" s="2" t="s">
        <v>539</v>
      </c>
      <c r="D895" s="2" t="s">
        <v>76</v>
      </c>
      <c r="E895" s="2" t="s">
        <v>77</v>
      </c>
      <c r="F895" s="2" t="s">
        <v>31</v>
      </c>
      <c r="G895" s="2" t="s">
        <v>186</v>
      </c>
      <c r="H895" s="2">
        <v>835.47</v>
      </c>
      <c r="I895" s="2">
        <v>2</v>
      </c>
      <c r="J895" s="2">
        <v>0</v>
      </c>
      <c r="K895" s="9">
        <f t="shared" si="39"/>
        <v>1670.94</v>
      </c>
      <c r="L895" s="9">
        <f t="shared" si="40"/>
        <v>0</v>
      </c>
      <c r="M895" s="10">
        <f t="shared" si="41"/>
        <v>1670.94</v>
      </c>
      <c r="N895" s="2" t="s">
        <v>26</v>
      </c>
      <c r="O895" s="2" t="s">
        <v>52</v>
      </c>
      <c r="P895" s="2" t="s">
        <v>53</v>
      </c>
    </row>
    <row r="896" spans="1:16" x14ac:dyDescent="0.25">
      <c r="A896" s="3" t="s">
        <v>1252</v>
      </c>
      <c r="B896" s="4">
        <v>45930</v>
      </c>
      <c r="C896" s="3" t="s">
        <v>120</v>
      </c>
      <c r="D896" s="3" t="s">
        <v>76</v>
      </c>
      <c r="E896" s="3" t="s">
        <v>77</v>
      </c>
      <c r="F896" s="3" t="s">
        <v>15</v>
      </c>
      <c r="G896" s="3" t="s">
        <v>163</v>
      </c>
      <c r="H896" s="3">
        <v>2385.9299999999998</v>
      </c>
      <c r="I896" s="3">
        <v>4</v>
      </c>
      <c r="J896" s="3">
        <v>0</v>
      </c>
      <c r="K896" s="9">
        <f t="shared" si="39"/>
        <v>9543.7199999999993</v>
      </c>
      <c r="L896" s="9">
        <f t="shared" si="40"/>
        <v>0</v>
      </c>
      <c r="M896" s="10">
        <f t="shared" si="41"/>
        <v>9543.7199999999993</v>
      </c>
      <c r="N896" s="3" t="s">
        <v>38</v>
      </c>
      <c r="O896" s="3" t="s">
        <v>18</v>
      </c>
      <c r="P896" s="3" t="s">
        <v>60</v>
      </c>
    </row>
    <row r="897" spans="1:16" x14ac:dyDescent="0.25">
      <c r="A897" s="2" t="s">
        <v>1253</v>
      </c>
      <c r="B897" s="4">
        <v>45931</v>
      </c>
      <c r="C897" s="2" t="s">
        <v>155</v>
      </c>
      <c r="D897" s="2" t="s">
        <v>65</v>
      </c>
      <c r="E897" s="2" t="s">
        <v>66</v>
      </c>
      <c r="F897" s="2" t="s">
        <v>110</v>
      </c>
      <c r="G897" s="2" t="s">
        <v>111</v>
      </c>
      <c r="H897" s="2">
        <v>9946.36</v>
      </c>
      <c r="I897" s="2">
        <v>2</v>
      </c>
      <c r="J897" s="2">
        <v>5</v>
      </c>
      <c r="K897" s="9">
        <f t="shared" si="39"/>
        <v>19892.72</v>
      </c>
      <c r="L897" s="9">
        <f t="shared" si="40"/>
        <v>994.63600000000008</v>
      </c>
      <c r="M897" s="10">
        <f t="shared" si="41"/>
        <v>18898.084000000003</v>
      </c>
      <c r="N897" s="2" t="s">
        <v>68</v>
      </c>
      <c r="O897" s="2" t="s">
        <v>39</v>
      </c>
      <c r="P897" s="2" t="s">
        <v>60</v>
      </c>
    </row>
    <row r="898" spans="1:16" x14ac:dyDescent="0.25">
      <c r="A898" s="3" t="s">
        <v>1254</v>
      </c>
      <c r="B898" s="4">
        <v>45932</v>
      </c>
      <c r="C898" s="3" t="s">
        <v>369</v>
      </c>
      <c r="D898" s="3" t="s">
        <v>29</v>
      </c>
      <c r="E898" s="3" t="s">
        <v>30</v>
      </c>
      <c r="F898" s="3" t="s">
        <v>110</v>
      </c>
      <c r="G898" s="3" t="s">
        <v>153</v>
      </c>
      <c r="H898" s="3">
        <v>3537</v>
      </c>
      <c r="I898" s="3">
        <v>2</v>
      </c>
      <c r="J898" s="3">
        <v>5</v>
      </c>
      <c r="K898" s="9">
        <f t="shared" ref="K898:K961" si="42">I898*H898</f>
        <v>7074</v>
      </c>
      <c r="L898" s="9">
        <f t="shared" ref="L898:L961" si="43">K898*J898/100</f>
        <v>353.7</v>
      </c>
      <c r="M898" s="10">
        <f t="shared" ref="M898:M961" si="44">K898-L898</f>
        <v>6720.3</v>
      </c>
      <c r="N898" s="3" t="s">
        <v>33</v>
      </c>
      <c r="O898" s="3" t="s">
        <v>18</v>
      </c>
      <c r="P898" s="3" t="s">
        <v>34</v>
      </c>
    </row>
    <row r="899" spans="1:16" x14ac:dyDescent="0.25">
      <c r="A899" s="2" t="s">
        <v>1255</v>
      </c>
      <c r="B899" s="4">
        <v>45933</v>
      </c>
      <c r="C899" s="2" t="s">
        <v>618</v>
      </c>
      <c r="D899" s="2" t="s">
        <v>83</v>
      </c>
      <c r="E899" s="2" t="s">
        <v>84</v>
      </c>
      <c r="F899" s="2" t="s">
        <v>110</v>
      </c>
      <c r="G899" s="2" t="s">
        <v>67</v>
      </c>
      <c r="H899" s="2">
        <v>4114.75</v>
      </c>
      <c r="I899" s="2">
        <v>2</v>
      </c>
      <c r="J899" s="2">
        <v>0</v>
      </c>
      <c r="K899" s="9">
        <f t="shared" si="42"/>
        <v>8229.5</v>
      </c>
      <c r="L899" s="9">
        <f t="shared" si="43"/>
        <v>0</v>
      </c>
      <c r="M899" s="10">
        <f t="shared" si="44"/>
        <v>8229.5</v>
      </c>
      <c r="N899" s="2" t="s">
        <v>26</v>
      </c>
      <c r="O899" s="2" t="s">
        <v>18</v>
      </c>
      <c r="P899" s="2" t="s">
        <v>53</v>
      </c>
    </row>
    <row r="900" spans="1:16" x14ac:dyDescent="0.25">
      <c r="A900" s="3" t="s">
        <v>1256</v>
      </c>
      <c r="B900" s="4">
        <v>45934</v>
      </c>
      <c r="C900" s="3" t="s">
        <v>1257</v>
      </c>
      <c r="D900" s="3" t="s">
        <v>87</v>
      </c>
      <c r="E900" s="3" t="s">
        <v>88</v>
      </c>
      <c r="F900" s="3" t="s">
        <v>43</v>
      </c>
      <c r="G900" s="3" t="s">
        <v>145</v>
      </c>
      <c r="H900" s="3">
        <v>13021.66</v>
      </c>
      <c r="I900" s="3">
        <v>4</v>
      </c>
      <c r="J900" s="3">
        <v>15</v>
      </c>
      <c r="K900" s="9">
        <f t="shared" si="42"/>
        <v>52086.64</v>
      </c>
      <c r="L900" s="9">
        <f t="shared" si="43"/>
        <v>7812.9960000000001</v>
      </c>
      <c r="M900" s="10">
        <f t="shared" si="44"/>
        <v>44273.644</v>
      </c>
      <c r="N900" s="3" t="s">
        <v>33</v>
      </c>
      <c r="O900" s="3" t="s">
        <v>18</v>
      </c>
      <c r="P900" s="3" t="s">
        <v>34</v>
      </c>
    </row>
    <row r="901" spans="1:16" x14ac:dyDescent="0.25">
      <c r="A901" s="2" t="s">
        <v>1258</v>
      </c>
      <c r="B901" s="4">
        <v>45935</v>
      </c>
      <c r="C901" s="2" t="s">
        <v>1061</v>
      </c>
      <c r="D901" s="2" t="s">
        <v>65</v>
      </c>
      <c r="E901" s="2" t="s">
        <v>66</v>
      </c>
      <c r="F901" s="2" t="s">
        <v>36</v>
      </c>
      <c r="G901" s="2" t="s">
        <v>78</v>
      </c>
      <c r="H901" s="2">
        <v>83042.039999999994</v>
      </c>
      <c r="I901" s="2">
        <v>5</v>
      </c>
      <c r="J901" s="2">
        <v>0</v>
      </c>
      <c r="K901" s="9">
        <f t="shared" si="42"/>
        <v>415210.19999999995</v>
      </c>
      <c r="L901" s="9">
        <f t="shared" si="43"/>
        <v>0</v>
      </c>
      <c r="M901" s="10">
        <f t="shared" si="44"/>
        <v>415210.19999999995</v>
      </c>
      <c r="N901" s="2" t="s">
        <v>26</v>
      </c>
      <c r="O901" s="2" t="s">
        <v>39</v>
      </c>
      <c r="P901" s="2" t="s">
        <v>60</v>
      </c>
    </row>
    <row r="902" spans="1:16" x14ac:dyDescent="0.25">
      <c r="A902" s="3" t="s">
        <v>1259</v>
      </c>
      <c r="B902" s="4">
        <v>45936</v>
      </c>
      <c r="C902" s="3" t="s">
        <v>292</v>
      </c>
      <c r="D902" s="3" t="s">
        <v>83</v>
      </c>
      <c r="E902" s="3" t="s">
        <v>84</v>
      </c>
      <c r="F902" s="3" t="s">
        <v>15</v>
      </c>
      <c r="G902" s="3" t="s">
        <v>95</v>
      </c>
      <c r="H902" s="3">
        <v>1232.4000000000001</v>
      </c>
      <c r="I902" s="3">
        <v>3</v>
      </c>
      <c r="J902" s="3">
        <v>5</v>
      </c>
      <c r="K902" s="9">
        <f t="shared" si="42"/>
        <v>3697.2000000000003</v>
      </c>
      <c r="L902" s="9">
        <f t="shared" si="43"/>
        <v>184.86</v>
      </c>
      <c r="M902" s="10">
        <f t="shared" si="44"/>
        <v>3512.34</v>
      </c>
      <c r="N902" s="3" t="s">
        <v>68</v>
      </c>
      <c r="O902" s="3" t="s">
        <v>27</v>
      </c>
      <c r="P902" s="3" t="s">
        <v>60</v>
      </c>
    </row>
    <row r="903" spans="1:16" x14ac:dyDescent="0.25">
      <c r="A903" s="2" t="s">
        <v>1260</v>
      </c>
      <c r="B903" s="4">
        <v>45937</v>
      </c>
      <c r="C903" s="2" t="s">
        <v>981</v>
      </c>
      <c r="D903" s="2" t="s">
        <v>51</v>
      </c>
      <c r="E903" s="2" t="s">
        <v>14</v>
      </c>
      <c r="F903" s="2" t="s">
        <v>43</v>
      </c>
      <c r="G903" s="2" t="s">
        <v>44</v>
      </c>
      <c r="H903" s="2">
        <v>3795.03</v>
      </c>
      <c r="I903" s="2">
        <v>3</v>
      </c>
      <c r="J903" s="2">
        <v>0</v>
      </c>
      <c r="K903" s="9">
        <f t="shared" si="42"/>
        <v>11385.09</v>
      </c>
      <c r="L903" s="9">
        <f t="shared" si="43"/>
        <v>0</v>
      </c>
      <c r="M903" s="10">
        <f t="shared" si="44"/>
        <v>11385.09</v>
      </c>
      <c r="N903" s="2" t="s">
        <v>68</v>
      </c>
      <c r="O903" s="2" t="s">
        <v>27</v>
      </c>
      <c r="P903" s="2" t="s">
        <v>53</v>
      </c>
    </row>
    <row r="904" spans="1:16" x14ac:dyDescent="0.25">
      <c r="A904" s="3" t="s">
        <v>1261</v>
      </c>
      <c r="B904" s="4">
        <v>45938</v>
      </c>
      <c r="C904" s="3" t="s">
        <v>630</v>
      </c>
      <c r="D904" s="3" t="s">
        <v>100</v>
      </c>
      <c r="E904" s="3" t="s">
        <v>88</v>
      </c>
      <c r="F904" s="3" t="s">
        <v>31</v>
      </c>
      <c r="G904" s="3" t="s">
        <v>186</v>
      </c>
      <c r="H904" s="3">
        <v>816.34</v>
      </c>
      <c r="I904" s="3">
        <v>2</v>
      </c>
      <c r="J904" s="3">
        <v>15</v>
      </c>
      <c r="K904" s="9">
        <f t="shared" si="42"/>
        <v>1632.68</v>
      </c>
      <c r="L904" s="9">
        <f t="shared" si="43"/>
        <v>244.90200000000002</v>
      </c>
      <c r="M904" s="10">
        <f t="shared" si="44"/>
        <v>1387.778</v>
      </c>
      <c r="N904" s="3" t="s">
        <v>68</v>
      </c>
      <c r="O904" s="3" t="s">
        <v>39</v>
      </c>
      <c r="P904" s="3" t="s">
        <v>40</v>
      </c>
    </row>
    <row r="905" spans="1:16" x14ac:dyDescent="0.25">
      <c r="A905" s="2" t="s">
        <v>1262</v>
      </c>
      <c r="B905" s="4">
        <v>45939</v>
      </c>
      <c r="C905" s="2" t="s">
        <v>1079</v>
      </c>
      <c r="D905" s="2" t="s">
        <v>65</v>
      </c>
      <c r="E905" s="2" t="s">
        <v>66</v>
      </c>
      <c r="F905" s="2" t="s">
        <v>15</v>
      </c>
      <c r="G905" s="2" t="s">
        <v>56</v>
      </c>
      <c r="H905" s="2">
        <v>1970.69</v>
      </c>
      <c r="I905" s="2">
        <v>1</v>
      </c>
      <c r="J905" s="2">
        <v>5</v>
      </c>
      <c r="K905" s="9">
        <f t="shared" si="42"/>
        <v>1970.69</v>
      </c>
      <c r="L905" s="9">
        <f t="shared" si="43"/>
        <v>98.534500000000008</v>
      </c>
      <c r="M905" s="10">
        <f t="shared" si="44"/>
        <v>1872.1555000000001</v>
      </c>
      <c r="N905" s="2" t="s">
        <v>26</v>
      </c>
      <c r="O905" s="2" t="s">
        <v>18</v>
      </c>
      <c r="P905" s="2" t="s">
        <v>53</v>
      </c>
    </row>
    <row r="906" spans="1:16" x14ac:dyDescent="0.25">
      <c r="A906" s="3" t="s">
        <v>1263</v>
      </c>
      <c r="B906" s="4">
        <v>45940</v>
      </c>
      <c r="C906" s="3" t="s">
        <v>416</v>
      </c>
      <c r="D906" s="3" t="s">
        <v>47</v>
      </c>
      <c r="E906" s="3" t="s">
        <v>48</v>
      </c>
      <c r="F906" s="3" t="s">
        <v>110</v>
      </c>
      <c r="G906" s="3" t="s">
        <v>111</v>
      </c>
      <c r="H906" s="3">
        <v>9801.1200000000008</v>
      </c>
      <c r="I906" s="3">
        <v>4</v>
      </c>
      <c r="J906" s="3">
        <v>15</v>
      </c>
      <c r="K906" s="9">
        <f t="shared" si="42"/>
        <v>39204.480000000003</v>
      </c>
      <c r="L906" s="9">
        <f t="shared" si="43"/>
        <v>5880.6720000000005</v>
      </c>
      <c r="M906" s="10">
        <f t="shared" si="44"/>
        <v>33323.808000000005</v>
      </c>
      <c r="N906" s="3" t="s">
        <v>38</v>
      </c>
      <c r="O906" s="3" t="s">
        <v>27</v>
      </c>
      <c r="P906" s="3" t="s">
        <v>60</v>
      </c>
    </row>
    <row r="907" spans="1:16" x14ac:dyDescent="0.25">
      <c r="A907" s="2" t="s">
        <v>1264</v>
      </c>
      <c r="B907" s="4">
        <v>45941</v>
      </c>
      <c r="C907" s="2" t="s">
        <v>725</v>
      </c>
      <c r="D907" s="2" t="s">
        <v>29</v>
      </c>
      <c r="E907" s="2" t="s">
        <v>30</v>
      </c>
      <c r="F907" s="2" t="s">
        <v>72</v>
      </c>
      <c r="G907" s="2" t="s">
        <v>137</v>
      </c>
      <c r="H907" s="2">
        <v>2338.2600000000002</v>
      </c>
      <c r="I907" s="2">
        <v>3</v>
      </c>
      <c r="J907" s="2">
        <v>0</v>
      </c>
      <c r="K907" s="9">
        <f t="shared" si="42"/>
        <v>7014.7800000000007</v>
      </c>
      <c r="L907" s="9">
        <f t="shared" si="43"/>
        <v>0</v>
      </c>
      <c r="M907" s="10">
        <f t="shared" si="44"/>
        <v>7014.7800000000007</v>
      </c>
      <c r="N907" s="2" t="s">
        <v>33</v>
      </c>
      <c r="O907" s="2" t="s">
        <v>27</v>
      </c>
      <c r="P907" s="2" t="s">
        <v>34</v>
      </c>
    </row>
    <row r="908" spans="1:16" x14ac:dyDescent="0.25">
      <c r="A908" s="3" t="s">
        <v>1265</v>
      </c>
      <c r="B908" s="4">
        <v>45942</v>
      </c>
      <c r="C908" s="3" t="s">
        <v>402</v>
      </c>
      <c r="D908" s="3" t="s">
        <v>13</v>
      </c>
      <c r="E908" s="3" t="s">
        <v>14</v>
      </c>
      <c r="F908" s="3" t="s">
        <v>36</v>
      </c>
      <c r="G908" s="3" t="s">
        <v>78</v>
      </c>
      <c r="H908" s="3">
        <v>89653.64</v>
      </c>
      <c r="I908" s="3">
        <v>4</v>
      </c>
      <c r="J908" s="3">
        <v>15</v>
      </c>
      <c r="K908" s="9">
        <f t="shared" si="42"/>
        <v>358614.56</v>
      </c>
      <c r="L908" s="9">
        <f t="shared" si="43"/>
        <v>53792.184000000001</v>
      </c>
      <c r="M908" s="10">
        <f t="shared" si="44"/>
        <v>304822.37599999999</v>
      </c>
      <c r="N908" s="3" t="s">
        <v>33</v>
      </c>
      <c r="O908" s="3" t="s">
        <v>27</v>
      </c>
      <c r="P908" s="3" t="s">
        <v>34</v>
      </c>
    </row>
    <row r="909" spans="1:16" x14ac:dyDescent="0.25">
      <c r="A909" s="2" t="s">
        <v>1266</v>
      </c>
      <c r="B909" s="4">
        <v>45943</v>
      </c>
      <c r="C909" s="2" t="s">
        <v>299</v>
      </c>
      <c r="D909" s="2" t="s">
        <v>100</v>
      </c>
      <c r="E909" s="2" t="s">
        <v>88</v>
      </c>
      <c r="F909" s="2" t="s">
        <v>31</v>
      </c>
      <c r="G909" s="2" t="s">
        <v>186</v>
      </c>
      <c r="H909" s="2">
        <v>832.65</v>
      </c>
      <c r="I909" s="2">
        <v>2</v>
      </c>
      <c r="J909" s="2">
        <v>5</v>
      </c>
      <c r="K909" s="9">
        <f t="shared" si="42"/>
        <v>1665.3</v>
      </c>
      <c r="L909" s="9">
        <f t="shared" si="43"/>
        <v>83.265000000000001</v>
      </c>
      <c r="M909" s="10">
        <f t="shared" si="44"/>
        <v>1582.0349999999999</v>
      </c>
      <c r="N909" s="2" t="s">
        <v>26</v>
      </c>
      <c r="O909" s="2" t="s">
        <v>52</v>
      </c>
      <c r="P909" s="2" t="s">
        <v>40</v>
      </c>
    </row>
    <row r="910" spans="1:16" x14ac:dyDescent="0.25">
      <c r="A910" s="3" t="s">
        <v>1267</v>
      </c>
      <c r="B910" s="4">
        <v>45944</v>
      </c>
      <c r="C910" s="3" t="s">
        <v>643</v>
      </c>
      <c r="D910" s="3" t="s">
        <v>100</v>
      </c>
      <c r="E910" s="3" t="s">
        <v>88</v>
      </c>
      <c r="F910" s="3" t="s">
        <v>24</v>
      </c>
      <c r="G910" s="3" t="s">
        <v>92</v>
      </c>
      <c r="H910" s="3">
        <v>1574.97</v>
      </c>
      <c r="I910" s="3">
        <v>2</v>
      </c>
      <c r="J910" s="3">
        <v>0</v>
      </c>
      <c r="K910" s="9">
        <f t="shared" si="42"/>
        <v>3149.94</v>
      </c>
      <c r="L910" s="9">
        <f t="shared" si="43"/>
        <v>0</v>
      </c>
      <c r="M910" s="10">
        <f t="shared" si="44"/>
        <v>3149.94</v>
      </c>
      <c r="N910" s="3" t="s">
        <v>33</v>
      </c>
      <c r="O910" s="3" t="s">
        <v>18</v>
      </c>
      <c r="P910" s="3" t="s">
        <v>19</v>
      </c>
    </row>
    <row r="911" spans="1:16" x14ac:dyDescent="0.25">
      <c r="A911" s="2" t="s">
        <v>1268</v>
      </c>
      <c r="B911" s="4">
        <v>45945</v>
      </c>
      <c r="C911" s="2" t="s">
        <v>347</v>
      </c>
      <c r="D911" s="2" t="s">
        <v>22</v>
      </c>
      <c r="E911" s="2" t="s">
        <v>23</v>
      </c>
      <c r="F911" s="2" t="s">
        <v>31</v>
      </c>
      <c r="G911" s="2" t="s">
        <v>32</v>
      </c>
      <c r="H911" s="2">
        <v>2438.86</v>
      </c>
      <c r="I911" s="2">
        <v>3</v>
      </c>
      <c r="J911" s="2">
        <v>0</v>
      </c>
      <c r="K911" s="9">
        <f t="shared" si="42"/>
        <v>7316.58</v>
      </c>
      <c r="L911" s="9">
        <f t="shared" si="43"/>
        <v>0</v>
      </c>
      <c r="M911" s="10">
        <f t="shared" si="44"/>
        <v>7316.58</v>
      </c>
      <c r="N911" s="2" t="s">
        <v>38</v>
      </c>
      <c r="O911" s="2" t="s">
        <v>18</v>
      </c>
      <c r="P911" s="2" t="s">
        <v>19</v>
      </c>
    </row>
    <row r="912" spans="1:16" x14ac:dyDescent="0.25">
      <c r="A912" s="3" t="s">
        <v>1269</v>
      </c>
      <c r="B912" s="4">
        <v>45946</v>
      </c>
      <c r="C912" s="3" t="s">
        <v>155</v>
      </c>
      <c r="D912" s="3" t="s">
        <v>22</v>
      </c>
      <c r="E912" s="3" t="s">
        <v>23</v>
      </c>
      <c r="F912" s="3" t="s">
        <v>36</v>
      </c>
      <c r="G912" s="3" t="s">
        <v>78</v>
      </c>
      <c r="H912" s="3">
        <v>81023.37</v>
      </c>
      <c r="I912" s="3">
        <v>1</v>
      </c>
      <c r="J912" s="3">
        <v>0</v>
      </c>
      <c r="K912" s="9">
        <f t="shared" si="42"/>
        <v>81023.37</v>
      </c>
      <c r="L912" s="9">
        <f t="shared" si="43"/>
        <v>0</v>
      </c>
      <c r="M912" s="10">
        <f t="shared" si="44"/>
        <v>81023.37</v>
      </c>
      <c r="N912" s="3" t="s">
        <v>17</v>
      </c>
      <c r="O912" s="3" t="s">
        <v>39</v>
      </c>
      <c r="P912" s="3" t="s">
        <v>40</v>
      </c>
    </row>
    <row r="913" spans="1:16" x14ac:dyDescent="0.25">
      <c r="A913" s="2" t="s">
        <v>1270</v>
      </c>
      <c r="B913" s="4">
        <v>45947</v>
      </c>
      <c r="C913" s="2" t="s">
        <v>759</v>
      </c>
      <c r="D913" s="2" t="s">
        <v>13</v>
      </c>
      <c r="E913" s="2" t="s">
        <v>14</v>
      </c>
      <c r="F913" s="2" t="s">
        <v>43</v>
      </c>
      <c r="G913" s="2" t="s">
        <v>89</v>
      </c>
      <c r="H913" s="2">
        <v>4518.07</v>
      </c>
      <c r="I913" s="2">
        <v>3</v>
      </c>
      <c r="J913" s="2">
        <v>10</v>
      </c>
      <c r="K913" s="9">
        <f t="shared" si="42"/>
        <v>13554.21</v>
      </c>
      <c r="L913" s="9">
        <f t="shared" si="43"/>
        <v>1355.4209999999998</v>
      </c>
      <c r="M913" s="10">
        <f t="shared" si="44"/>
        <v>12198.788999999999</v>
      </c>
      <c r="N913" s="2" t="s">
        <v>33</v>
      </c>
      <c r="O913" s="2" t="s">
        <v>39</v>
      </c>
      <c r="P913" s="2" t="s">
        <v>34</v>
      </c>
    </row>
    <row r="914" spans="1:16" x14ac:dyDescent="0.25">
      <c r="A914" s="3" t="s">
        <v>1271</v>
      </c>
      <c r="B914" s="4">
        <v>45948</v>
      </c>
      <c r="C914" s="3" t="s">
        <v>279</v>
      </c>
      <c r="D914" s="3" t="s">
        <v>87</v>
      </c>
      <c r="E914" s="3" t="s">
        <v>88</v>
      </c>
      <c r="F914" s="3" t="s">
        <v>15</v>
      </c>
      <c r="G914" s="3" t="s">
        <v>16</v>
      </c>
      <c r="H914" s="3">
        <v>1649.83</v>
      </c>
      <c r="I914" s="3">
        <v>2</v>
      </c>
      <c r="J914" s="3">
        <v>0</v>
      </c>
      <c r="K914" s="9">
        <f t="shared" si="42"/>
        <v>3299.66</v>
      </c>
      <c r="L914" s="9">
        <f t="shared" si="43"/>
        <v>0</v>
      </c>
      <c r="M914" s="10">
        <f t="shared" si="44"/>
        <v>3299.66</v>
      </c>
      <c r="N914" s="3" t="s">
        <v>33</v>
      </c>
      <c r="O914" s="3" t="s">
        <v>18</v>
      </c>
      <c r="P914" s="3" t="s">
        <v>19</v>
      </c>
    </row>
    <row r="915" spans="1:16" x14ac:dyDescent="0.25">
      <c r="A915" s="2" t="s">
        <v>1272</v>
      </c>
      <c r="B915" s="4">
        <v>45949</v>
      </c>
      <c r="C915" s="2" t="s">
        <v>316</v>
      </c>
      <c r="D915" s="2" t="s">
        <v>22</v>
      </c>
      <c r="E915" s="2" t="s">
        <v>23</v>
      </c>
      <c r="F915" s="2" t="s">
        <v>36</v>
      </c>
      <c r="G915" s="2" t="s">
        <v>37</v>
      </c>
      <c r="H915" s="2">
        <v>12889.3</v>
      </c>
      <c r="I915" s="2">
        <v>4</v>
      </c>
      <c r="J915" s="2">
        <v>10</v>
      </c>
      <c r="K915" s="9">
        <f t="shared" si="42"/>
        <v>51557.2</v>
      </c>
      <c r="L915" s="9">
        <f t="shared" si="43"/>
        <v>5155.72</v>
      </c>
      <c r="M915" s="10">
        <f t="shared" si="44"/>
        <v>46401.479999999996</v>
      </c>
      <c r="N915" s="2" t="s">
        <v>68</v>
      </c>
      <c r="O915" s="2" t="s">
        <v>52</v>
      </c>
      <c r="P915" s="2" t="s">
        <v>40</v>
      </c>
    </row>
    <row r="916" spans="1:16" x14ac:dyDescent="0.25">
      <c r="A916" s="3" t="s">
        <v>1273</v>
      </c>
      <c r="B916" s="4">
        <v>45950</v>
      </c>
      <c r="C916" s="3" t="s">
        <v>416</v>
      </c>
      <c r="D916" s="3" t="s">
        <v>51</v>
      </c>
      <c r="E916" s="3" t="s">
        <v>14</v>
      </c>
      <c r="F916" s="3" t="s">
        <v>31</v>
      </c>
      <c r="G916" s="3" t="s">
        <v>70</v>
      </c>
      <c r="H916" s="3">
        <v>614.20000000000005</v>
      </c>
      <c r="I916" s="3">
        <v>4</v>
      </c>
      <c r="J916" s="3">
        <v>0</v>
      </c>
      <c r="K916" s="9">
        <f t="shared" si="42"/>
        <v>2456.8000000000002</v>
      </c>
      <c r="L916" s="9">
        <f t="shared" si="43"/>
        <v>0</v>
      </c>
      <c r="M916" s="10">
        <f t="shared" si="44"/>
        <v>2456.8000000000002</v>
      </c>
      <c r="N916" s="3" t="s">
        <v>33</v>
      </c>
      <c r="O916" s="3" t="s">
        <v>27</v>
      </c>
      <c r="P916" s="3" t="s">
        <v>53</v>
      </c>
    </row>
    <row r="917" spans="1:16" x14ac:dyDescent="0.25">
      <c r="A917" s="2" t="s">
        <v>1274</v>
      </c>
      <c r="B917" s="4">
        <v>45951</v>
      </c>
      <c r="C917" s="2" t="s">
        <v>336</v>
      </c>
      <c r="D917" s="2" t="s">
        <v>13</v>
      </c>
      <c r="E917" s="2" t="s">
        <v>14</v>
      </c>
      <c r="F917" s="2" t="s">
        <v>15</v>
      </c>
      <c r="G917" s="2" t="s">
        <v>16</v>
      </c>
      <c r="H917" s="2">
        <v>1612.03</v>
      </c>
      <c r="I917" s="2">
        <v>3</v>
      </c>
      <c r="J917" s="2">
        <v>5</v>
      </c>
      <c r="K917" s="9">
        <f t="shared" si="42"/>
        <v>4836.09</v>
      </c>
      <c r="L917" s="9">
        <f t="shared" si="43"/>
        <v>241.80450000000002</v>
      </c>
      <c r="M917" s="10">
        <f t="shared" si="44"/>
        <v>4594.2855</v>
      </c>
      <c r="N917" s="2" t="s">
        <v>33</v>
      </c>
      <c r="O917" s="2" t="s">
        <v>18</v>
      </c>
      <c r="P917" s="2" t="s">
        <v>19</v>
      </c>
    </row>
    <row r="918" spans="1:16" x14ac:dyDescent="0.25">
      <c r="A918" s="3" t="s">
        <v>1275</v>
      </c>
      <c r="B918" s="4">
        <v>45952</v>
      </c>
      <c r="C918" s="3" t="s">
        <v>908</v>
      </c>
      <c r="D918" s="3" t="s">
        <v>29</v>
      </c>
      <c r="E918" s="3" t="s">
        <v>30</v>
      </c>
      <c r="F918" s="3" t="s">
        <v>72</v>
      </c>
      <c r="G918" s="3" t="s">
        <v>81</v>
      </c>
      <c r="H918" s="3">
        <v>1454.5</v>
      </c>
      <c r="I918" s="3">
        <v>4</v>
      </c>
      <c r="J918" s="3">
        <v>0</v>
      </c>
      <c r="K918" s="9">
        <f t="shared" si="42"/>
        <v>5818</v>
      </c>
      <c r="L918" s="9">
        <f t="shared" si="43"/>
        <v>0</v>
      </c>
      <c r="M918" s="10">
        <f t="shared" si="44"/>
        <v>5818</v>
      </c>
      <c r="N918" s="3" t="s">
        <v>68</v>
      </c>
      <c r="O918" s="3" t="s">
        <v>27</v>
      </c>
      <c r="P918" s="3" t="s">
        <v>60</v>
      </c>
    </row>
    <row r="919" spans="1:16" x14ac:dyDescent="0.25">
      <c r="A919" s="2" t="s">
        <v>1276</v>
      </c>
      <c r="B919" s="4">
        <v>45953</v>
      </c>
      <c r="C919" s="2" t="s">
        <v>598</v>
      </c>
      <c r="D919" s="2" t="s">
        <v>100</v>
      </c>
      <c r="E919" s="2" t="s">
        <v>88</v>
      </c>
      <c r="F919" s="2" t="s">
        <v>72</v>
      </c>
      <c r="G919" s="2" t="s">
        <v>73</v>
      </c>
      <c r="H919" s="2">
        <v>376.34</v>
      </c>
      <c r="I919" s="2">
        <v>5</v>
      </c>
      <c r="J919" s="2">
        <v>0</v>
      </c>
      <c r="K919" s="9">
        <f t="shared" si="42"/>
        <v>1881.6999999999998</v>
      </c>
      <c r="L919" s="9">
        <f t="shared" si="43"/>
        <v>0</v>
      </c>
      <c r="M919" s="10">
        <f t="shared" si="44"/>
        <v>1881.6999999999998</v>
      </c>
      <c r="N919" s="2" t="s">
        <v>26</v>
      </c>
      <c r="O919" s="2" t="s">
        <v>18</v>
      </c>
      <c r="P919" s="2" t="s">
        <v>40</v>
      </c>
    </row>
    <row r="920" spans="1:16" x14ac:dyDescent="0.25">
      <c r="A920" s="3" t="s">
        <v>1277</v>
      </c>
      <c r="B920" s="4">
        <v>45954</v>
      </c>
      <c r="C920" s="3" t="s">
        <v>19</v>
      </c>
      <c r="D920" s="3" t="s">
        <v>76</v>
      </c>
      <c r="E920" s="3" t="s">
        <v>77</v>
      </c>
      <c r="F920" s="3" t="s">
        <v>24</v>
      </c>
      <c r="G920" s="3" t="s">
        <v>134</v>
      </c>
      <c r="H920" s="3">
        <v>2727.53</v>
      </c>
      <c r="I920" s="3">
        <v>4</v>
      </c>
      <c r="J920" s="3">
        <v>0</v>
      </c>
      <c r="K920" s="9">
        <f t="shared" si="42"/>
        <v>10910.12</v>
      </c>
      <c r="L920" s="9">
        <f t="shared" si="43"/>
        <v>0</v>
      </c>
      <c r="M920" s="10">
        <f t="shared" si="44"/>
        <v>10910.12</v>
      </c>
      <c r="N920" s="3" t="s">
        <v>17</v>
      </c>
      <c r="O920" s="3" t="s">
        <v>18</v>
      </c>
      <c r="P920" s="3" t="s">
        <v>53</v>
      </c>
    </row>
    <row r="921" spans="1:16" x14ac:dyDescent="0.25">
      <c r="A921" s="2" t="s">
        <v>1278</v>
      </c>
      <c r="B921" s="4">
        <v>45955</v>
      </c>
      <c r="C921" s="2" t="s">
        <v>966</v>
      </c>
      <c r="D921" s="2" t="s">
        <v>22</v>
      </c>
      <c r="E921" s="2" t="s">
        <v>23</v>
      </c>
      <c r="F921" s="2" t="s">
        <v>36</v>
      </c>
      <c r="G921" s="2" t="s">
        <v>37</v>
      </c>
      <c r="H921" s="2">
        <v>13184.07</v>
      </c>
      <c r="I921" s="2">
        <v>1</v>
      </c>
      <c r="J921" s="2">
        <v>0</v>
      </c>
      <c r="K921" s="9">
        <f t="shared" si="42"/>
        <v>13184.07</v>
      </c>
      <c r="L921" s="9">
        <f t="shared" si="43"/>
        <v>0</v>
      </c>
      <c r="M921" s="10">
        <f t="shared" si="44"/>
        <v>13184.07</v>
      </c>
      <c r="N921" s="2" t="s">
        <v>38</v>
      </c>
      <c r="O921" s="2" t="s">
        <v>18</v>
      </c>
      <c r="P921" s="2" t="s">
        <v>34</v>
      </c>
    </row>
    <row r="922" spans="1:16" x14ac:dyDescent="0.25">
      <c r="A922" s="3" t="s">
        <v>1279</v>
      </c>
      <c r="B922" s="4">
        <v>45956</v>
      </c>
      <c r="C922" s="3" t="s">
        <v>794</v>
      </c>
      <c r="D922" s="3" t="s">
        <v>76</v>
      </c>
      <c r="E922" s="3" t="s">
        <v>77</v>
      </c>
      <c r="F922" s="3" t="s">
        <v>15</v>
      </c>
      <c r="G922" s="3" t="s">
        <v>198</v>
      </c>
      <c r="H922" s="3">
        <v>826.48</v>
      </c>
      <c r="I922" s="3">
        <v>5</v>
      </c>
      <c r="J922" s="3">
        <v>0</v>
      </c>
      <c r="K922" s="9">
        <f t="shared" si="42"/>
        <v>4132.3999999999996</v>
      </c>
      <c r="L922" s="9">
        <f t="shared" si="43"/>
        <v>0</v>
      </c>
      <c r="M922" s="10">
        <f t="shared" si="44"/>
        <v>4132.3999999999996</v>
      </c>
      <c r="N922" s="3" t="s">
        <v>33</v>
      </c>
      <c r="O922" s="3" t="s">
        <v>18</v>
      </c>
      <c r="P922" s="3" t="s">
        <v>34</v>
      </c>
    </row>
    <row r="923" spans="1:16" x14ac:dyDescent="0.25">
      <c r="A923" s="2" t="s">
        <v>1280</v>
      </c>
      <c r="B923" s="4">
        <v>45957</v>
      </c>
      <c r="C923" s="2" t="s">
        <v>115</v>
      </c>
      <c r="D923" s="2" t="s">
        <v>22</v>
      </c>
      <c r="E923" s="2" t="s">
        <v>23</v>
      </c>
      <c r="F923" s="2" t="s">
        <v>15</v>
      </c>
      <c r="G923" s="2" t="s">
        <v>16</v>
      </c>
      <c r="H923" s="2">
        <v>1463.1</v>
      </c>
      <c r="I923" s="2">
        <v>4</v>
      </c>
      <c r="J923" s="2">
        <v>0</v>
      </c>
      <c r="K923" s="9">
        <f t="shared" si="42"/>
        <v>5852.4</v>
      </c>
      <c r="L923" s="9">
        <f t="shared" si="43"/>
        <v>0</v>
      </c>
      <c r="M923" s="10">
        <f t="shared" si="44"/>
        <v>5852.4</v>
      </c>
      <c r="N923" s="2" t="s">
        <v>17</v>
      </c>
      <c r="O923" s="2" t="s">
        <v>39</v>
      </c>
      <c r="P923" s="2" t="s">
        <v>60</v>
      </c>
    </row>
    <row r="924" spans="1:16" x14ac:dyDescent="0.25">
      <c r="A924" s="3" t="s">
        <v>1281</v>
      </c>
      <c r="B924" s="4">
        <v>45958</v>
      </c>
      <c r="C924" s="3" t="s">
        <v>183</v>
      </c>
      <c r="D924" s="3" t="s">
        <v>22</v>
      </c>
      <c r="E924" s="3" t="s">
        <v>23</v>
      </c>
      <c r="F924" s="3" t="s">
        <v>31</v>
      </c>
      <c r="G924" s="3" t="s">
        <v>32</v>
      </c>
      <c r="H924" s="3">
        <v>2305.69</v>
      </c>
      <c r="I924" s="3">
        <v>3</v>
      </c>
      <c r="J924" s="3">
        <v>10</v>
      </c>
      <c r="K924" s="9">
        <f t="shared" si="42"/>
        <v>6917.07</v>
      </c>
      <c r="L924" s="9">
        <f t="shared" si="43"/>
        <v>691.70699999999999</v>
      </c>
      <c r="M924" s="10">
        <f t="shared" si="44"/>
        <v>6225.3629999999994</v>
      </c>
      <c r="N924" s="3" t="s">
        <v>26</v>
      </c>
      <c r="O924" s="3" t="s">
        <v>27</v>
      </c>
      <c r="P924" s="3" t="s">
        <v>40</v>
      </c>
    </row>
    <row r="925" spans="1:16" x14ac:dyDescent="0.25">
      <c r="A925" s="2" t="s">
        <v>1282</v>
      </c>
      <c r="B925" s="4">
        <v>45959</v>
      </c>
      <c r="C925" s="2" t="s">
        <v>1039</v>
      </c>
      <c r="D925" s="2" t="s">
        <v>87</v>
      </c>
      <c r="E925" s="2" t="s">
        <v>88</v>
      </c>
      <c r="F925" s="2" t="s">
        <v>43</v>
      </c>
      <c r="G925" s="2" t="s">
        <v>89</v>
      </c>
      <c r="H925" s="2">
        <v>4713.2299999999996</v>
      </c>
      <c r="I925" s="2">
        <v>3</v>
      </c>
      <c r="J925" s="2">
        <v>5</v>
      </c>
      <c r="K925" s="9">
        <f t="shared" si="42"/>
        <v>14139.689999999999</v>
      </c>
      <c r="L925" s="9">
        <f t="shared" si="43"/>
        <v>706.98450000000003</v>
      </c>
      <c r="M925" s="10">
        <f t="shared" si="44"/>
        <v>13432.705499999998</v>
      </c>
      <c r="N925" s="2" t="s">
        <v>17</v>
      </c>
      <c r="O925" s="2" t="s">
        <v>52</v>
      </c>
      <c r="P925" s="2" t="s">
        <v>53</v>
      </c>
    </row>
    <row r="926" spans="1:16" x14ac:dyDescent="0.25">
      <c r="A926" s="3" t="s">
        <v>1283</v>
      </c>
      <c r="B926" s="4">
        <v>45960</v>
      </c>
      <c r="C926" s="3" t="s">
        <v>279</v>
      </c>
      <c r="D926" s="3" t="s">
        <v>87</v>
      </c>
      <c r="E926" s="3" t="s">
        <v>88</v>
      </c>
      <c r="F926" s="3" t="s">
        <v>72</v>
      </c>
      <c r="G926" s="3" t="s">
        <v>102</v>
      </c>
      <c r="H926" s="3">
        <v>652.57000000000005</v>
      </c>
      <c r="I926" s="3">
        <v>5</v>
      </c>
      <c r="J926" s="3">
        <v>0</v>
      </c>
      <c r="K926" s="9">
        <f t="shared" si="42"/>
        <v>3262.8500000000004</v>
      </c>
      <c r="L926" s="9">
        <f t="shared" si="43"/>
        <v>0</v>
      </c>
      <c r="M926" s="10">
        <f t="shared" si="44"/>
        <v>3262.8500000000004</v>
      </c>
      <c r="N926" s="3" t="s">
        <v>26</v>
      </c>
      <c r="O926" s="3" t="s">
        <v>18</v>
      </c>
      <c r="P926" s="3" t="s">
        <v>60</v>
      </c>
    </row>
    <row r="927" spans="1:16" x14ac:dyDescent="0.25">
      <c r="A927" s="2" t="s">
        <v>1284</v>
      </c>
      <c r="B927" s="4">
        <v>45961</v>
      </c>
      <c r="C927" s="2" t="s">
        <v>178</v>
      </c>
      <c r="D927" s="2" t="s">
        <v>87</v>
      </c>
      <c r="E927" s="2" t="s">
        <v>88</v>
      </c>
      <c r="F927" s="2" t="s">
        <v>24</v>
      </c>
      <c r="G927" s="2" t="s">
        <v>108</v>
      </c>
      <c r="H927" s="2">
        <v>8539.5499999999993</v>
      </c>
      <c r="I927" s="2">
        <v>4</v>
      </c>
      <c r="J927" s="2">
        <v>0</v>
      </c>
      <c r="K927" s="9">
        <f t="shared" si="42"/>
        <v>34158.199999999997</v>
      </c>
      <c r="L927" s="9">
        <f t="shared" si="43"/>
        <v>0</v>
      </c>
      <c r="M927" s="10">
        <f t="shared" si="44"/>
        <v>34158.199999999997</v>
      </c>
      <c r="N927" s="2" t="s">
        <v>33</v>
      </c>
      <c r="O927" s="2" t="s">
        <v>18</v>
      </c>
      <c r="P927" s="2" t="s">
        <v>19</v>
      </c>
    </row>
    <row r="928" spans="1:16" x14ac:dyDescent="0.25">
      <c r="A928" s="3" t="s">
        <v>1285</v>
      </c>
      <c r="B928" s="4">
        <v>45962</v>
      </c>
      <c r="C928" s="3" t="s">
        <v>463</v>
      </c>
      <c r="D928" s="3" t="s">
        <v>13</v>
      </c>
      <c r="E928" s="3" t="s">
        <v>14</v>
      </c>
      <c r="F928" s="3" t="s">
        <v>110</v>
      </c>
      <c r="G928" s="3" t="s">
        <v>215</v>
      </c>
      <c r="H928" s="3">
        <v>2404.4499999999998</v>
      </c>
      <c r="I928" s="3">
        <v>1</v>
      </c>
      <c r="J928" s="3">
        <v>5</v>
      </c>
      <c r="K928" s="9">
        <f t="shared" si="42"/>
        <v>2404.4499999999998</v>
      </c>
      <c r="L928" s="9">
        <f t="shared" si="43"/>
        <v>120.2225</v>
      </c>
      <c r="M928" s="10">
        <f t="shared" si="44"/>
        <v>2284.2275</v>
      </c>
      <c r="N928" s="3" t="s">
        <v>17</v>
      </c>
      <c r="O928" s="3" t="s">
        <v>18</v>
      </c>
      <c r="P928" s="3" t="s">
        <v>53</v>
      </c>
    </row>
    <row r="929" spans="1:16" x14ac:dyDescent="0.25">
      <c r="A929" s="2" t="s">
        <v>1286</v>
      </c>
      <c r="B929" s="4">
        <v>45963</v>
      </c>
      <c r="C929" s="2" t="s">
        <v>495</v>
      </c>
      <c r="D929" s="2" t="s">
        <v>65</v>
      </c>
      <c r="E929" s="2" t="s">
        <v>66</v>
      </c>
      <c r="F929" s="2" t="s">
        <v>36</v>
      </c>
      <c r="G929" s="2" t="s">
        <v>338</v>
      </c>
      <c r="H929" s="2">
        <v>60485.13</v>
      </c>
      <c r="I929" s="2">
        <v>2</v>
      </c>
      <c r="J929" s="2">
        <v>5</v>
      </c>
      <c r="K929" s="9">
        <f t="shared" si="42"/>
        <v>120970.26</v>
      </c>
      <c r="L929" s="9">
        <f t="shared" si="43"/>
        <v>6048.512999999999</v>
      </c>
      <c r="M929" s="10">
        <f t="shared" si="44"/>
        <v>114921.747</v>
      </c>
      <c r="N929" s="2" t="s">
        <v>68</v>
      </c>
      <c r="O929" s="2" t="s">
        <v>39</v>
      </c>
      <c r="P929" s="2" t="s">
        <v>53</v>
      </c>
    </row>
    <row r="930" spans="1:16" x14ac:dyDescent="0.25">
      <c r="A930" s="3" t="s">
        <v>1287</v>
      </c>
      <c r="B930" s="4">
        <v>45964</v>
      </c>
      <c r="C930" s="3" t="s">
        <v>730</v>
      </c>
      <c r="D930" s="3" t="s">
        <v>47</v>
      </c>
      <c r="E930" s="3" t="s">
        <v>48</v>
      </c>
      <c r="F930" s="3" t="s">
        <v>72</v>
      </c>
      <c r="G930" s="3" t="s">
        <v>102</v>
      </c>
      <c r="H930" s="3">
        <v>713.84</v>
      </c>
      <c r="I930" s="3">
        <v>5</v>
      </c>
      <c r="J930" s="3">
        <v>0</v>
      </c>
      <c r="K930" s="9">
        <f t="shared" si="42"/>
        <v>3569.2000000000003</v>
      </c>
      <c r="L930" s="9">
        <f t="shared" si="43"/>
        <v>0</v>
      </c>
      <c r="M930" s="10">
        <f t="shared" si="44"/>
        <v>3569.2000000000003</v>
      </c>
      <c r="N930" s="3" t="s">
        <v>38</v>
      </c>
      <c r="O930" s="3" t="s">
        <v>18</v>
      </c>
      <c r="P930" s="3" t="s">
        <v>60</v>
      </c>
    </row>
    <row r="931" spans="1:16" x14ac:dyDescent="0.25">
      <c r="A931" s="2" t="s">
        <v>1288</v>
      </c>
      <c r="B931" s="4">
        <v>45965</v>
      </c>
      <c r="C931" s="2" t="s">
        <v>418</v>
      </c>
      <c r="D931" s="2" t="s">
        <v>22</v>
      </c>
      <c r="E931" s="2" t="s">
        <v>23</v>
      </c>
      <c r="F931" s="2" t="s">
        <v>110</v>
      </c>
      <c r="G931" s="2" t="s">
        <v>215</v>
      </c>
      <c r="H931" s="2">
        <v>2391.1799999999998</v>
      </c>
      <c r="I931" s="2">
        <v>2</v>
      </c>
      <c r="J931" s="2">
        <v>0</v>
      </c>
      <c r="K931" s="9">
        <f t="shared" si="42"/>
        <v>4782.3599999999997</v>
      </c>
      <c r="L931" s="9">
        <f t="shared" si="43"/>
        <v>0</v>
      </c>
      <c r="M931" s="10">
        <f t="shared" si="44"/>
        <v>4782.3599999999997</v>
      </c>
      <c r="N931" s="2" t="s">
        <v>17</v>
      </c>
      <c r="O931" s="2" t="s">
        <v>18</v>
      </c>
      <c r="P931" s="2" t="s">
        <v>40</v>
      </c>
    </row>
    <row r="932" spans="1:16" x14ac:dyDescent="0.25">
      <c r="A932" s="3" t="s">
        <v>1289</v>
      </c>
      <c r="B932" s="4">
        <v>45966</v>
      </c>
      <c r="C932" s="3" t="s">
        <v>738</v>
      </c>
      <c r="D932" s="3" t="s">
        <v>13</v>
      </c>
      <c r="E932" s="3" t="s">
        <v>14</v>
      </c>
      <c r="F932" s="3" t="s">
        <v>72</v>
      </c>
      <c r="G932" s="3" t="s">
        <v>137</v>
      </c>
      <c r="H932" s="3">
        <v>2181.31</v>
      </c>
      <c r="I932" s="3">
        <v>2</v>
      </c>
      <c r="J932" s="3">
        <v>0</v>
      </c>
      <c r="K932" s="9">
        <f t="shared" si="42"/>
        <v>4362.62</v>
      </c>
      <c r="L932" s="9">
        <f t="shared" si="43"/>
        <v>0</v>
      </c>
      <c r="M932" s="10">
        <f t="shared" si="44"/>
        <v>4362.62</v>
      </c>
      <c r="N932" s="3" t="s">
        <v>26</v>
      </c>
      <c r="O932" s="3" t="s">
        <v>18</v>
      </c>
      <c r="P932" s="3" t="s">
        <v>60</v>
      </c>
    </row>
    <row r="933" spans="1:16" x14ac:dyDescent="0.25">
      <c r="A933" s="2" t="s">
        <v>1290</v>
      </c>
      <c r="B933" s="4">
        <v>45967</v>
      </c>
      <c r="C933" s="2" t="s">
        <v>60</v>
      </c>
      <c r="D933" s="2" t="s">
        <v>51</v>
      </c>
      <c r="E933" s="2" t="s">
        <v>14</v>
      </c>
      <c r="F933" s="2" t="s">
        <v>72</v>
      </c>
      <c r="G933" s="2" t="s">
        <v>102</v>
      </c>
      <c r="H933" s="2">
        <v>680.59</v>
      </c>
      <c r="I933" s="2">
        <v>1</v>
      </c>
      <c r="J933" s="2">
        <v>5</v>
      </c>
      <c r="K933" s="9">
        <f t="shared" si="42"/>
        <v>680.59</v>
      </c>
      <c r="L933" s="9">
        <f t="shared" si="43"/>
        <v>34.029500000000006</v>
      </c>
      <c r="M933" s="10">
        <f t="shared" si="44"/>
        <v>646.56050000000005</v>
      </c>
      <c r="N933" s="2" t="s">
        <v>17</v>
      </c>
      <c r="O933" s="2" t="s">
        <v>18</v>
      </c>
      <c r="P933" s="2" t="s">
        <v>53</v>
      </c>
    </row>
    <row r="934" spans="1:16" x14ac:dyDescent="0.25">
      <c r="A934" s="3" t="s">
        <v>1291</v>
      </c>
      <c r="B934" s="4">
        <v>45968</v>
      </c>
      <c r="C934" s="3" t="s">
        <v>674</v>
      </c>
      <c r="D934" s="3" t="s">
        <v>100</v>
      </c>
      <c r="E934" s="3" t="s">
        <v>88</v>
      </c>
      <c r="F934" s="3" t="s">
        <v>36</v>
      </c>
      <c r="G934" s="3" t="s">
        <v>78</v>
      </c>
      <c r="H934" s="3">
        <v>82544.929999999993</v>
      </c>
      <c r="I934" s="3">
        <v>4</v>
      </c>
      <c r="J934" s="3">
        <v>15</v>
      </c>
      <c r="K934" s="9">
        <f t="shared" si="42"/>
        <v>330179.71999999997</v>
      </c>
      <c r="L934" s="9">
        <f t="shared" si="43"/>
        <v>49526.957999999999</v>
      </c>
      <c r="M934" s="10">
        <f t="shared" si="44"/>
        <v>280652.76199999999</v>
      </c>
      <c r="N934" s="3" t="s">
        <v>68</v>
      </c>
      <c r="O934" s="3" t="s">
        <v>18</v>
      </c>
      <c r="P934" s="3" t="s">
        <v>19</v>
      </c>
    </row>
    <row r="935" spans="1:16" x14ac:dyDescent="0.25">
      <c r="A935" s="2" t="s">
        <v>1292</v>
      </c>
      <c r="B935" s="4">
        <v>45969</v>
      </c>
      <c r="C935" s="2" t="s">
        <v>738</v>
      </c>
      <c r="D935" s="2" t="s">
        <v>65</v>
      </c>
      <c r="E935" s="2" t="s">
        <v>66</v>
      </c>
      <c r="F935" s="2" t="s">
        <v>24</v>
      </c>
      <c r="G935" s="2" t="s">
        <v>170</v>
      </c>
      <c r="H935" s="2">
        <v>1253.4100000000001</v>
      </c>
      <c r="I935" s="2">
        <v>2</v>
      </c>
      <c r="J935" s="2">
        <v>5</v>
      </c>
      <c r="K935" s="9">
        <f t="shared" si="42"/>
        <v>2506.8200000000002</v>
      </c>
      <c r="L935" s="9">
        <f t="shared" si="43"/>
        <v>125.34100000000001</v>
      </c>
      <c r="M935" s="10">
        <f t="shared" si="44"/>
        <v>2381.4790000000003</v>
      </c>
      <c r="N935" s="2" t="s">
        <v>68</v>
      </c>
      <c r="O935" s="2" t="s">
        <v>18</v>
      </c>
      <c r="P935" s="2" t="s">
        <v>60</v>
      </c>
    </row>
    <row r="936" spans="1:16" x14ac:dyDescent="0.25">
      <c r="A936" s="3" t="s">
        <v>1293</v>
      </c>
      <c r="B936" s="4">
        <v>45970</v>
      </c>
      <c r="C936" s="3" t="s">
        <v>495</v>
      </c>
      <c r="D936" s="3" t="s">
        <v>29</v>
      </c>
      <c r="E936" s="3" t="s">
        <v>30</v>
      </c>
      <c r="F936" s="3" t="s">
        <v>24</v>
      </c>
      <c r="G936" s="3" t="s">
        <v>170</v>
      </c>
      <c r="H936" s="3">
        <v>1258.8499999999999</v>
      </c>
      <c r="I936" s="3">
        <v>1</v>
      </c>
      <c r="J936" s="3">
        <v>0</v>
      </c>
      <c r="K936" s="9">
        <f t="shared" si="42"/>
        <v>1258.8499999999999</v>
      </c>
      <c r="L936" s="9">
        <f t="shared" si="43"/>
        <v>0</v>
      </c>
      <c r="M936" s="10">
        <f t="shared" si="44"/>
        <v>1258.8499999999999</v>
      </c>
      <c r="N936" s="3" t="s">
        <v>33</v>
      </c>
      <c r="O936" s="3" t="s">
        <v>18</v>
      </c>
      <c r="P936" s="3" t="s">
        <v>60</v>
      </c>
    </row>
    <row r="937" spans="1:16" x14ac:dyDescent="0.25">
      <c r="A937" s="2" t="s">
        <v>1294</v>
      </c>
      <c r="B937" s="4">
        <v>45971</v>
      </c>
      <c r="C937" s="2" t="s">
        <v>821</v>
      </c>
      <c r="D937" s="2" t="s">
        <v>22</v>
      </c>
      <c r="E937" s="2" t="s">
        <v>23</v>
      </c>
      <c r="F937" s="2" t="s">
        <v>36</v>
      </c>
      <c r="G937" s="2" t="s">
        <v>78</v>
      </c>
      <c r="H937" s="2">
        <v>84816.71</v>
      </c>
      <c r="I937" s="2">
        <v>5</v>
      </c>
      <c r="J937" s="2">
        <v>10</v>
      </c>
      <c r="K937" s="9">
        <f t="shared" si="42"/>
        <v>424083.55000000005</v>
      </c>
      <c r="L937" s="9">
        <f t="shared" si="43"/>
        <v>42408.355000000003</v>
      </c>
      <c r="M937" s="10">
        <f t="shared" si="44"/>
        <v>381675.19500000007</v>
      </c>
      <c r="N937" s="2" t="s">
        <v>68</v>
      </c>
      <c r="O937" s="2" t="s">
        <v>52</v>
      </c>
      <c r="P937" s="2" t="s">
        <v>19</v>
      </c>
    </row>
    <row r="938" spans="1:16" x14ac:dyDescent="0.25">
      <c r="A938" s="3" t="s">
        <v>1295</v>
      </c>
      <c r="B938" s="4">
        <v>45972</v>
      </c>
      <c r="C938" s="3" t="s">
        <v>653</v>
      </c>
      <c r="D938" s="3" t="s">
        <v>22</v>
      </c>
      <c r="E938" s="3" t="s">
        <v>23</v>
      </c>
      <c r="F938" s="3" t="s">
        <v>72</v>
      </c>
      <c r="G938" s="3" t="s">
        <v>73</v>
      </c>
      <c r="H938" s="3">
        <v>327.68</v>
      </c>
      <c r="I938" s="3">
        <v>4</v>
      </c>
      <c r="J938" s="3">
        <v>0</v>
      </c>
      <c r="K938" s="9">
        <f t="shared" si="42"/>
        <v>1310.72</v>
      </c>
      <c r="L938" s="9">
        <f t="shared" si="43"/>
        <v>0</v>
      </c>
      <c r="M938" s="10">
        <f t="shared" si="44"/>
        <v>1310.72</v>
      </c>
      <c r="N938" s="3" t="s">
        <v>33</v>
      </c>
      <c r="O938" s="3" t="s">
        <v>18</v>
      </c>
      <c r="P938" s="3" t="s">
        <v>19</v>
      </c>
    </row>
    <row r="939" spans="1:16" x14ac:dyDescent="0.25">
      <c r="A939" s="2" t="s">
        <v>1296</v>
      </c>
      <c r="B939" s="4">
        <v>45973</v>
      </c>
      <c r="C939" s="2" t="s">
        <v>601</v>
      </c>
      <c r="D939" s="2" t="s">
        <v>22</v>
      </c>
      <c r="E939" s="2" t="s">
        <v>23</v>
      </c>
      <c r="F939" s="2" t="s">
        <v>15</v>
      </c>
      <c r="G939" s="2" t="s">
        <v>56</v>
      </c>
      <c r="H939" s="2">
        <v>1686.56</v>
      </c>
      <c r="I939" s="2">
        <v>1</v>
      </c>
      <c r="J939" s="2">
        <v>10</v>
      </c>
      <c r="K939" s="9">
        <f t="shared" si="42"/>
        <v>1686.56</v>
      </c>
      <c r="L939" s="9">
        <f t="shared" si="43"/>
        <v>168.65599999999998</v>
      </c>
      <c r="M939" s="10">
        <f t="shared" si="44"/>
        <v>1517.904</v>
      </c>
      <c r="N939" s="2" t="s">
        <v>17</v>
      </c>
      <c r="O939" s="2" t="s">
        <v>39</v>
      </c>
      <c r="P939" s="2" t="s">
        <v>19</v>
      </c>
    </row>
    <row r="940" spans="1:16" x14ac:dyDescent="0.25">
      <c r="A940" s="3" t="s">
        <v>1297</v>
      </c>
      <c r="B940" s="4">
        <v>45974</v>
      </c>
      <c r="C940" s="3" t="s">
        <v>919</v>
      </c>
      <c r="D940" s="3" t="s">
        <v>83</v>
      </c>
      <c r="E940" s="3" t="s">
        <v>84</v>
      </c>
      <c r="F940" s="3" t="s">
        <v>72</v>
      </c>
      <c r="G940" s="3" t="s">
        <v>73</v>
      </c>
      <c r="H940" s="3">
        <v>352.73</v>
      </c>
      <c r="I940" s="3">
        <v>1</v>
      </c>
      <c r="J940" s="3">
        <v>15</v>
      </c>
      <c r="K940" s="9">
        <f t="shared" si="42"/>
        <v>352.73</v>
      </c>
      <c r="L940" s="9">
        <f t="shared" si="43"/>
        <v>52.909500000000008</v>
      </c>
      <c r="M940" s="10">
        <f t="shared" si="44"/>
        <v>299.82050000000004</v>
      </c>
      <c r="N940" s="3" t="s">
        <v>68</v>
      </c>
      <c r="O940" s="3" t="s">
        <v>18</v>
      </c>
      <c r="P940" s="3" t="s">
        <v>19</v>
      </c>
    </row>
    <row r="941" spans="1:16" x14ac:dyDescent="0.25">
      <c r="A941" s="2" t="s">
        <v>1298</v>
      </c>
      <c r="B941" s="4">
        <v>45975</v>
      </c>
      <c r="C941" s="2" t="s">
        <v>1299</v>
      </c>
      <c r="D941" s="2" t="s">
        <v>83</v>
      </c>
      <c r="E941" s="2" t="s">
        <v>84</v>
      </c>
      <c r="F941" s="2" t="s">
        <v>43</v>
      </c>
      <c r="G941" s="2" t="s">
        <v>105</v>
      </c>
      <c r="H941" s="2">
        <v>2588.91</v>
      </c>
      <c r="I941" s="2">
        <v>2</v>
      </c>
      <c r="J941" s="2">
        <v>0</v>
      </c>
      <c r="K941" s="9">
        <f t="shared" si="42"/>
        <v>5177.82</v>
      </c>
      <c r="L941" s="9">
        <f t="shared" si="43"/>
        <v>0</v>
      </c>
      <c r="M941" s="10">
        <f t="shared" si="44"/>
        <v>5177.82</v>
      </c>
      <c r="N941" s="2" t="s">
        <v>26</v>
      </c>
      <c r="O941" s="2" t="s">
        <v>27</v>
      </c>
      <c r="P941" s="2" t="s">
        <v>53</v>
      </c>
    </row>
    <row r="942" spans="1:16" x14ac:dyDescent="0.25">
      <c r="A942" s="3" t="s">
        <v>1300</v>
      </c>
      <c r="B942" s="4">
        <v>45976</v>
      </c>
      <c r="C942" s="3" t="s">
        <v>355</v>
      </c>
      <c r="D942" s="3" t="s">
        <v>13</v>
      </c>
      <c r="E942" s="3" t="s">
        <v>14</v>
      </c>
      <c r="F942" s="3" t="s">
        <v>36</v>
      </c>
      <c r="G942" s="3" t="s">
        <v>78</v>
      </c>
      <c r="H942" s="3">
        <v>85104.52</v>
      </c>
      <c r="I942" s="3">
        <v>3</v>
      </c>
      <c r="J942" s="3">
        <v>0</v>
      </c>
      <c r="K942" s="9">
        <f t="shared" si="42"/>
        <v>255313.56</v>
      </c>
      <c r="L942" s="9">
        <f t="shared" si="43"/>
        <v>0</v>
      </c>
      <c r="M942" s="10">
        <f t="shared" si="44"/>
        <v>255313.56</v>
      </c>
      <c r="N942" s="3" t="s">
        <v>26</v>
      </c>
      <c r="O942" s="3" t="s">
        <v>18</v>
      </c>
      <c r="P942" s="3" t="s">
        <v>40</v>
      </c>
    </row>
    <row r="943" spans="1:16" x14ac:dyDescent="0.25">
      <c r="A943" s="2" t="s">
        <v>1301</v>
      </c>
      <c r="B943" s="4">
        <v>45977</v>
      </c>
      <c r="C943" s="2" t="s">
        <v>234</v>
      </c>
      <c r="D943" s="2" t="s">
        <v>83</v>
      </c>
      <c r="E943" s="2" t="s">
        <v>84</v>
      </c>
      <c r="F943" s="2" t="s">
        <v>72</v>
      </c>
      <c r="G943" s="2" t="s">
        <v>137</v>
      </c>
      <c r="H943" s="2">
        <v>2270.0300000000002</v>
      </c>
      <c r="I943" s="2">
        <v>4</v>
      </c>
      <c r="J943" s="2">
        <v>10</v>
      </c>
      <c r="K943" s="9">
        <f t="shared" si="42"/>
        <v>9080.1200000000008</v>
      </c>
      <c r="L943" s="9">
        <f t="shared" si="43"/>
        <v>908.01200000000017</v>
      </c>
      <c r="M943" s="10">
        <f t="shared" si="44"/>
        <v>8172.1080000000002</v>
      </c>
      <c r="N943" s="2" t="s">
        <v>17</v>
      </c>
      <c r="O943" s="2" t="s">
        <v>18</v>
      </c>
      <c r="P943" s="2" t="s">
        <v>34</v>
      </c>
    </row>
    <row r="944" spans="1:16" x14ac:dyDescent="0.25">
      <c r="A944" s="3" t="s">
        <v>1302</v>
      </c>
      <c r="B944" s="4">
        <v>45978</v>
      </c>
      <c r="C944" s="3" t="s">
        <v>239</v>
      </c>
      <c r="D944" s="3" t="s">
        <v>83</v>
      </c>
      <c r="E944" s="3" t="s">
        <v>84</v>
      </c>
      <c r="F944" s="3" t="s">
        <v>110</v>
      </c>
      <c r="G944" s="3" t="s">
        <v>153</v>
      </c>
      <c r="H944" s="3">
        <v>3631.55</v>
      </c>
      <c r="I944" s="3">
        <v>1</v>
      </c>
      <c r="J944" s="3">
        <v>0</v>
      </c>
      <c r="K944" s="9">
        <f t="shared" si="42"/>
        <v>3631.55</v>
      </c>
      <c r="L944" s="9">
        <f t="shared" si="43"/>
        <v>0</v>
      </c>
      <c r="M944" s="10">
        <f t="shared" si="44"/>
        <v>3631.55</v>
      </c>
      <c r="N944" s="3" t="s">
        <v>68</v>
      </c>
      <c r="O944" s="3" t="s">
        <v>18</v>
      </c>
      <c r="P944" s="3" t="s">
        <v>53</v>
      </c>
    </row>
    <row r="945" spans="1:16" x14ac:dyDescent="0.25">
      <c r="A945" s="2" t="s">
        <v>1303</v>
      </c>
      <c r="B945" s="4">
        <v>45979</v>
      </c>
      <c r="C945" s="2" t="s">
        <v>285</v>
      </c>
      <c r="D945" s="2" t="s">
        <v>29</v>
      </c>
      <c r="E945" s="2" t="s">
        <v>30</v>
      </c>
      <c r="F945" s="2" t="s">
        <v>110</v>
      </c>
      <c r="G945" s="2" t="s">
        <v>153</v>
      </c>
      <c r="H945" s="2">
        <v>3564.25</v>
      </c>
      <c r="I945" s="2">
        <v>3</v>
      </c>
      <c r="J945" s="2">
        <v>10</v>
      </c>
      <c r="K945" s="9">
        <f t="shared" si="42"/>
        <v>10692.75</v>
      </c>
      <c r="L945" s="9">
        <f t="shared" si="43"/>
        <v>1069.2750000000001</v>
      </c>
      <c r="M945" s="10">
        <f t="shared" si="44"/>
        <v>9623.4750000000004</v>
      </c>
      <c r="N945" s="2" t="s">
        <v>17</v>
      </c>
      <c r="O945" s="2" t="s">
        <v>18</v>
      </c>
      <c r="P945" s="2" t="s">
        <v>40</v>
      </c>
    </row>
    <row r="946" spans="1:16" x14ac:dyDescent="0.25">
      <c r="A946" s="3" t="s">
        <v>1304</v>
      </c>
      <c r="B946" s="4">
        <v>45980</v>
      </c>
      <c r="C946" s="3" t="s">
        <v>364</v>
      </c>
      <c r="D946" s="3" t="s">
        <v>65</v>
      </c>
      <c r="E946" s="3" t="s">
        <v>66</v>
      </c>
      <c r="F946" s="3" t="s">
        <v>15</v>
      </c>
      <c r="G946" s="3" t="s">
        <v>163</v>
      </c>
      <c r="H946" s="3">
        <v>2450.0300000000002</v>
      </c>
      <c r="I946" s="3">
        <v>1</v>
      </c>
      <c r="J946" s="3">
        <v>10</v>
      </c>
      <c r="K946" s="9">
        <f t="shared" si="42"/>
        <v>2450.0300000000002</v>
      </c>
      <c r="L946" s="9">
        <f t="shared" si="43"/>
        <v>245.00300000000004</v>
      </c>
      <c r="M946" s="10">
        <f t="shared" si="44"/>
        <v>2205.027</v>
      </c>
      <c r="N946" s="3" t="s">
        <v>33</v>
      </c>
      <c r="O946" s="3" t="s">
        <v>27</v>
      </c>
      <c r="P946" s="3" t="s">
        <v>53</v>
      </c>
    </row>
    <row r="947" spans="1:16" x14ac:dyDescent="0.25">
      <c r="A947" s="2" t="s">
        <v>1305</v>
      </c>
      <c r="B947" s="4">
        <v>45981</v>
      </c>
      <c r="C947" s="2" t="s">
        <v>1306</v>
      </c>
      <c r="D947" s="2" t="s">
        <v>47</v>
      </c>
      <c r="E947" s="2" t="s">
        <v>48</v>
      </c>
      <c r="F947" s="2" t="s">
        <v>15</v>
      </c>
      <c r="G947" s="2" t="s">
        <v>163</v>
      </c>
      <c r="H947" s="2">
        <v>2607.2199999999998</v>
      </c>
      <c r="I947" s="2">
        <v>5</v>
      </c>
      <c r="J947" s="2">
        <v>5</v>
      </c>
      <c r="K947" s="9">
        <f t="shared" si="42"/>
        <v>13036.099999999999</v>
      </c>
      <c r="L947" s="9">
        <f t="shared" si="43"/>
        <v>651.80499999999995</v>
      </c>
      <c r="M947" s="10">
        <f t="shared" si="44"/>
        <v>12384.294999999998</v>
      </c>
      <c r="N947" s="2" t="s">
        <v>17</v>
      </c>
      <c r="O947" s="2" t="s">
        <v>52</v>
      </c>
      <c r="P947" s="2" t="s">
        <v>53</v>
      </c>
    </row>
    <row r="948" spans="1:16" x14ac:dyDescent="0.25">
      <c r="A948" s="3" t="s">
        <v>1307</v>
      </c>
      <c r="B948" s="4">
        <v>45982</v>
      </c>
      <c r="C948" s="3" t="s">
        <v>320</v>
      </c>
      <c r="D948" s="3" t="s">
        <v>65</v>
      </c>
      <c r="E948" s="3" t="s">
        <v>66</v>
      </c>
      <c r="F948" s="3" t="s">
        <v>43</v>
      </c>
      <c r="G948" s="3" t="s">
        <v>44</v>
      </c>
      <c r="H948" s="3">
        <v>3824.81</v>
      </c>
      <c r="I948" s="3">
        <v>2</v>
      </c>
      <c r="J948" s="3">
        <v>0</v>
      </c>
      <c r="K948" s="9">
        <f t="shared" si="42"/>
        <v>7649.62</v>
      </c>
      <c r="L948" s="9">
        <f t="shared" si="43"/>
        <v>0</v>
      </c>
      <c r="M948" s="10">
        <f t="shared" si="44"/>
        <v>7649.62</v>
      </c>
      <c r="N948" s="3" t="s">
        <v>38</v>
      </c>
      <c r="O948" s="3" t="s">
        <v>18</v>
      </c>
      <c r="P948" s="3" t="s">
        <v>19</v>
      </c>
    </row>
    <row r="949" spans="1:16" x14ac:dyDescent="0.25">
      <c r="A949" s="2" t="s">
        <v>1308</v>
      </c>
      <c r="B949" s="4">
        <v>45983</v>
      </c>
      <c r="C949" s="2" t="s">
        <v>19</v>
      </c>
      <c r="D949" s="2" t="s">
        <v>65</v>
      </c>
      <c r="E949" s="2" t="s">
        <v>66</v>
      </c>
      <c r="F949" s="2" t="s">
        <v>36</v>
      </c>
      <c r="G949" s="2" t="s">
        <v>338</v>
      </c>
      <c r="H949" s="2">
        <v>66822.31</v>
      </c>
      <c r="I949" s="2">
        <v>3</v>
      </c>
      <c r="J949" s="2">
        <v>0</v>
      </c>
      <c r="K949" s="9">
        <f t="shared" si="42"/>
        <v>200466.93</v>
      </c>
      <c r="L949" s="9">
        <f t="shared" si="43"/>
        <v>0</v>
      </c>
      <c r="M949" s="10">
        <f t="shared" si="44"/>
        <v>200466.93</v>
      </c>
      <c r="N949" s="2" t="s">
        <v>38</v>
      </c>
      <c r="O949" s="2" t="s">
        <v>18</v>
      </c>
      <c r="P949" s="2" t="s">
        <v>53</v>
      </c>
    </row>
    <row r="950" spans="1:16" x14ac:dyDescent="0.25">
      <c r="A950" s="3" t="s">
        <v>1309</v>
      </c>
      <c r="B950" s="4">
        <v>45984</v>
      </c>
      <c r="C950" s="3" t="s">
        <v>821</v>
      </c>
      <c r="D950" s="3" t="s">
        <v>65</v>
      </c>
      <c r="E950" s="3" t="s">
        <v>66</v>
      </c>
      <c r="F950" s="3" t="s">
        <v>24</v>
      </c>
      <c r="G950" s="3" t="s">
        <v>134</v>
      </c>
      <c r="H950" s="3">
        <v>2725.89</v>
      </c>
      <c r="I950" s="3">
        <v>1</v>
      </c>
      <c r="J950" s="3">
        <v>10</v>
      </c>
      <c r="K950" s="9">
        <f t="shared" si="42"/>
        <v>2725.89</v>
      </c>
      <c r="L950" s="9">
        <f t="shared" si="43"/>
        <v>272.589</v>
      </c>
      <c r="M950" s="10">
        <f t="shared" si="44"/>
        <v>2453.3009999999999</v>
      </c>
      <c r="N950" s="3" t="s">
        <v>17</v>
      </c>
      <c r="O950" s="3" t="s">
        <v>27</v>
      </c>
      <c r="P950" s="3" t="s">
        <v>34</v>
      </c>
    </row>
    <row r="951" spans="1:16" x14ac:dyDescent="0.25">
      <c r="A951" s="2" t="s">
        <v>1310</v>
      </c>
      <c r="B951" s="4">
        <v>45985</v>
      </c>
      <c r="C951" s="2" t="s">
        <v>919</v>
      </c>
      <c r="D951" s="2" t="s">
        <v>83</v>
      </c>
      <c r="E951" s="2" t="s">
        <v>84</v>
      </c>
      <c r="F951" s="2" t="s">
        <v>31</v>
      </c>
      <c r="G951" s="2" t="s">
        <v>242</v>
      </c>
      <c r="H951" s="2">
        <v>965.77</v>
      </c>
      <c r="I951" s="2">
        <v>5</v>
      </c>
      <c r="J951" s="2">
        <v>0</v>
      </c>
      <c r="K951" s="9">
        <f t="shared" si="42"/>
        <v>4828.8500000000004</v>
      </c>
      <c r="L951" s="9">
        <f t="shared" si="43"/>
        <v>0</v>
      </c>
      <c r="M951" s="10">
        <f t="shared" si="44"/>
        <v>4828.8500000000004</v>
      </c>
      <c r="N951" s="2" t="s">
        <v>17</v>
      </c>
      <c r="O951" s="2" t="s">
        <v>18</v>
      </c>
      <c r="P951" s="2" t="s">
        <v>40</v>
      </c>
    </row>
    <row r="952" spans="1:16" x14ac:dyDescent="0.25">
      <c r="A952" s="3" t="s">
        <v>1311</v>
      </c>
      <c r="B952" s="4">
        <v>45986</v>
      </c>
      <c r="C952" s="3" t="s">
        <v>557</v>
      </c>
      <c r="D952" s="3" t="s">
        <v>100</v>
      </c>
      <c r="E952" s="3" t="s">
        <v>88</v>
      </c>
      <c r="F952" s="3" t="s">
        <v>31</v>
      </c>
      <c r="G952" s="3" t="s">
        <v>242</v>
      </c>
      <c r="H952" s="3">
        <v>909.3</v>
      </c>
      <c r="I952" s="3">
        <v>4</v>
      </c>
      <c r="J952" s="3">
        <v>0</v>
      </c>
      <c r="K952" s="9">
        <f t="shared" si="42"/>
        <v>3637.2</v>
      </c>
      <c r="L952" s="9">
        <f t="shared" si="43"/>
        <v>0</v>
      </c>
      <c r="M952" s="10">
        <f t="shared" si="44"/>
        <v>3637.2</v>
      </c>
      <c r="N952" s="3" t="s">
        <v>17</v>
      </c>
      <c r="O952" s="3" t="s">
        <v>18</v>
      </c>
      <c r="P952" s="3" t="s">
        <v>34</v>
      </c>
    </row>
    <row r="953" spans="1:16" x14ac:dyDescent="0.25">
      <c r="A953" s="2" t="s">
        <v>1312</v>
      </c>
      <c r="B953" s="4">
        <v>45987</v>
      </c>
      <c r="C953" s="2" t="s">
        <v>19</v>
      </c>
      <c r="D953" s="2" t="s">
        <v>100</v>
      </c>
      <c r="E953" s="2" t="s">
        <v>88</v>
      </c>
      <c r="F953" s="2" t="s">
        <v>15</v>
      </c>
      <c r="G953" s="2" t="s">
        <v>163</v>
      </c>
      <c r="H953" s="2">
        <v>2321.34</v>
      </c>
      <c r="I953" s="2">
        <v>5</v>
      </c>
      <c r="J953" s="2">
        <v>15</v>
      </c>
      <c r="K953" s="9">
        <f t="shared" si="42"/>
        <v>11606.7</v>
      </c>
      <c r="L953" s="9">
        <f t="shared" si="43"/>
        <v>1741.0050000000001</v>
      </c>
      <c r="M953" s="10">
        <f t="shared" si="44"/>
        <v>9865.6949999999997</v>
      </c>
      <c r="N953" s="2" t="s">
        <v>68</v>
      </c>
      <c r="O953" s="2" t="s">
        <v>27</v>
      </c>
      <c r="P953" s="2" t="s">
        <v>34</v>
      </c>
    </row>
    <row r="954" spans="1:16" x14ac:dyDescent="0.25">
      <c r="A954" s="3" t="s">
        <v>1313</v>
      </c>
      <c r="B954" s="4">
        <v>45988</v>
      </c>
      <c r="C954" s="3" t="s">
        <v>605</v>
      </c>
      <c r="D954" s="3" t="s">
        <v>29</v>
      </c>
      <c r="E954" s="3" t="s">
        <v>30</v>
      </c>
      <c r="F954" s="3" t="s">
        <v>43</v>
      </c>
      <c r="G954" s="3" t="s">
        <v>145</v>
      </c>
      <c r="H954" s="3">
        <v>11239.45</v>
      </c>
      <c r="I954" s="3">
        <v>3</v>
      </c>
      <c r="J954" s="3">
        <v>5</v>
      </c>
      <c r="K954" s="9">
        <f t="shared" si="42"/>
        <v>33718.350000000006</v>
      </c>
      <c r="L954" s="9">
        <f t="shared" si="43"/>
        <v>1685.9175000000002</v>
      </c>
      <c r="M954" s="10">
        <f t="shared" si="44"/>
        <v>32032.432500000006</v>
      </c>
      <c r="N954" s="3" t="s">
        <v>17</v>
      </c>
      <c r="O954" s="3" t="s">
        <v>18</v>
      </c>
      <c r="P954" s="3" t="s">
        <v>34</v>
      </c>
    </row>
    <row r="955" spans="1:16" x14ac:dyDescent="0.25">
      <c r="A955" s="2" t="s">
        <v>1314</v>
      </c>
      <c r="B955" s="4">
        <v>45989</v>
      </c>
      <c r="C955" s="2" t="s">
        <v>423</v>
      </c>
      <c r="D955" s="2" t="s">
        <v>51</v>
      </c>
      <c r="E955" s="2" t="s">
        <v>14</v>
      </c>
      <c r="F955" s="2" t="s">
        <v>31</v>
      </c>
      <c r="G955" s="2" t="s">
        <v>32</v>
      </c>
      <c r="H955" s="2">
        <v>2723.73</v>
      </c>
      <c r="I955" s="2">
        <v>4</v>
      </c>
      <c r="J955" s="2">
        <v>0</v>
      </c>
      <c r="K955" s="9">
        <f t="shared" si="42"/>
        <v>10894.92</v>
      </c>
      <c r="L955" s="9">
        <f t="shared" si="43"/>
        <v>0</v>
      </c>
      <c r="M955" s="10">
        <f t="shared" si="44"/>
        <v>10894.92</v>
      </c>
      <c r="N955" s="2" t="s">
        <v>68</v>
      </c>
      <c r="O955" s="2" t="s">
        <v>27</v>
      </c>
      <c r="P955" s="2" t="s">
        <v>40</v>
      </c>
    </row>
    <row r="956" spans="1:16" x14ac:dyDescent="0.25">
      <c r="A956" s="3" t="s">
        <v>1315</v>
      </c>
      <c r="B956" s="4">
        <v>45990</v>
      </c>
      <c r="C956" s="3" t="s">
        <v>981</v>
      </c>
      <c r="D956" s="3" t="s">
        <v>22</v>
      </c>
      <c r="E956" s="3" t="s">
        <v>23</v>
      </c>
      <c r="F956" s="3" t="s">
        <v>24</v>
      </c>
      <c r="G956" s="3" t="s">
        <v>59</v>
      </c>
      <c r="H956" s="3">
        <v>4557.41</v>
      </c>
      <c r="I956" s="3">
        <v>3</v>
      </c>
      <c r="J956" s="3">
        <v>5</v>
      </c>
      <c r="K956" s="9">
        <f t="shared" si="42"/>
        <v>13672.23</v>
      </c>
      <c r="L956" s="9">
        <f t="shared" si="43"/>
        <v>683.61149999999998</v>
      </c>
      <c r="M956" s="10">
        <f t="shared" si="44"/>
        <v>12988.6185</v>
      </c>
      <c r="N956" s="3" t="s">
        <v>33</v>
      </c>
      <c r="O956" s="3" t="s">
        <v>39</v>
      </c>
      <c r="P956" s="3" t="s">
        <v>40</v>
      </c>
    </row>
    <row r="957" spans="1:16" x14ac:dyDescent="0.25">
      <c r="A957" s="2" t="s">
        <v>1316</v>
      </c>
      <c r="B957" s="4">
        <v>45991</v>
      </c>
      <c r="C957" s="2" t="s">
        <v>19</v>
      </c>
      <c r="D957" s="2" t="s">
        <v>100</v>
      </c>
      <c r="E957" s="2" t="s">
        <v>88</v>
      </c>
      <c r="F957" s="2" t="s">
        <v>43</v>
      </c>
      <c r="G957" s="2" t="s">
        <v>145</v>
      </c>
      <c r="H957" s="2">
        <v>12036.03</v>
      </c>
      <c r="I957" s="2">
        <v>5</v>
      </c>
      <c r="J957" s="2">
        <v>10</v>
      </c>
      <c r="K957" s="9">
        <f t="shared" si="42"/>
        <v>60180.15</v>
      </c>
      <c r="L957" s="9">
        <f t="shared" si="43"/>
        <v>6018.0150000000003</v>
      </c>
      <c r="M957" s="10">
        <f t="shared" si="44"/>
        <v>54162.135000000002</v>
      </c>
      <c r="N957" s="2" t="s">
        <v>68</v>
      </c>
      <c r="O957" s="2" t="s">
        <v>18</v>
      </c>
      <c r="P957" s="2" t="s">
        <v>40</v>
      </c>
    </row>
    <row r="958" spans="1:16" x14ac:dyDescent="0.25">
      <c r="A958" s="3" t="s">
        <v>1317</v>
      </c>
      <c r="B958" s="4">
        <v>45992</v>
      </c>
      <c r="C958" s="3" t="s">
        <v>439</v>
      </c>
      <c r="D958" s="3" t="s">
        <v>13</v>
      </c>
      <c r="E958" s="3" t="s">
        <v>14</v>
      </c>
      <c r="F958" s="3" t="s">
        <v>15</v>
      </c>
      <c r="G958" s="3" t="s">
        <v>95</v>
      </c>
      <c r="H958" s="3">
        <v>1248.6199999999999</v>
      </c>
      <c r="I958" s="3">
        <v>3</v>
      </c>
      <c r="J958" s="3">
        <v>0</v>
      </c>
      <c r="K958" s="9">
        <f t="shared" si="42"/>
        <v>3745.8599999999997</v>
      </c>
      <c r="L958" s="9">
        <f t="shared" si="43"/>
        <v>0</v>
      </c>
      <c r="M958" s="10">
        <f t="shared" si="44"/>
        <v>3745.8599999999997</v>
      </c>
      <c r="N958" s="3" t="s">
        <v>17</v>
      </c>
      <c r="O958" s="3" t="s">
        <v>27</v>
      </c>
      <c r="P958" s="3" t="s">
        <v>19</v>
      </c>
    </row>
    <row r="959" spans="1:16" x14ac:dyDescent="0.25">
      <c r="A959" s="2" t="s">
        <v>1318</v>
      </c>
      <c r="B959" s="4">
        <v>45993</v>
      </c>
      <c r="C959" s="2" t="s">
        <v>630</v>
      </c>
      <c r="D959" s="2" t="s">
        <v>100</v>
      </c>
      <c r="E959" s="2" t="s">
        <v>88</v>
      </c>
      <c r="F959" s="2" t="s">
        <v>15</v>
      </c>
      <c r="G959" s="2" t="s">
        <v>56</v>
      </c>
      <c r="H959" s="2">
        <v>1945.37</v>
      </c>
      <c r="I959" s="2">
        <v>2</v>
      </c>
      <c r="J959" s="2">
        <v>10</v>
      </c>
      <c r="K959" s="9">
        <f t="shared" si="42"/>
        <v>3890.74</v>
      </c>
      <c r="L959" s="9">
        <f t="shared" si="43"/>
        <v>389.07399999999996</v>
      </c>
      <c r="M959" s="10">
        <f t="shared" si="44"/>
        <v>3501.6659999999997</v>
      </c>
      <c r="N959" s="2" t="s">
        <v>38</v>
      </c>
      <c r="O959" s="2" t="s">
        <v>39</v>
      </c>
      <c r="P959" s="2" t="s">
        <v>53</v>
      </c>
    </row>
    <row r="960" spans="1:16" x14ac:dyDescent="0.25">
      <c r="A960" s="3" t="s">
        <v>1319</v>
      </c>
      <c r="B960" s="4">
        <v>45994</v>
      </c>
      <c r="C960" s="3" t="s">
        <v>351</v>
      </c>
      <c r="D960" s="3" t="s">
        <v>65</v>
      </c>
      <c r="E960" s="3" t="s">
        <v>66</v>
      </c>
      <c r="F960" s="3" t="s">
        <v>43</v>
      </c>
      <c r="G960" s="3" t="s">
        <v>145</v>
      </c>
      <c r="H960" s="3">
        <v>11209.16</v>
      </c>
      <c r="I960" s="3">
        <v>1</v>
      </c>
      <c r="J960" s="3">
        <v>0</v>
      </c>
      <c r="K960" s="9">
        <f t="shared" si="42"/>
        <v>11209.16</v>
      </c>
      <c r="L960" s="9">
        <f t="shared" si="43"/>
        <v>0</v>
      </c>
      <c r="M960" s="10">
        <f t="shared" si="44"/>
        <v>11209.16</v>
      </c>
      <c r="N960" s="3" t="s">
        <v>26</v>
      </c>
      <c r="O960" s="3" t="s">
        <v>39</v>
      </c>
      <c r="P960" s="3" t="s">
        <v>19</v>
      </c>
    </row>
    <row r="961" spans="1:16" x14ac:dyDescent="0.25">
      <c r="A961" s="2" t="s">
        <v>1320</v>
      </c>
      <c r="B961" s="4">
        <v>45995</v>
      </c>
      <c r="C961" s="2" t="s">
        <v>579</v>
      </c>
      <c r="D961" s="2" t="s">
        <v>76</v>
      </c>
      <c r="E961" s="2" t="s">
        <v>77</v>
      </c>
      <c r="F961" s="2" t="s">
        <v>31</v>
      </c>
      <c r="G961" s="2" t="s">
        <v>116</v>
      </c>
      <c r="H961" s="2">
        <v>1131.1400000000001</v>
      </c>
      <c r="I961" s="2">
        <v>5</v>
      </c>
      <c r="J961" s="2">
        <v>0</v>
      </c>
      <c r="K961" s="9">
        <f t="shared" si="42"/>
        <v>5655.7000000000007</v>
      </c>
      <c r="L961" s="9">
        <f t="shared" si="43"/>
        <v>0</v>
      </c>
      <c r="M961" s="10">
        <f t="shared" si="44"/>
        <v>5655.7000000000007</v>
      </c>
      <c r="N961" s="2" t="s">
        <v>26</v>
      </c>
      <c r="O961" s="2" t="s">
        <v>18</v>
      </c>
      <c r="P961" s="2" t="s">
        <v>19</v>
      </c>
    </row>
    <row r="962" spans="1:16" x14ac:dyDescent="0.25">
      <c r="A962" s="3" t="s">
        <v>1321</v>
      </c>
      <c r="B962" s="4">
        <v>45996</v>
      </c>
      <c r="C962" s="3" t="s">
        <v>1118</v>
      </c>
      <c r="D962" s="3" t="s">
        <v>76</v>
      </c>
      <c r="E962" s="3" t="s">
        <v>77</v>
      </c>
      <c r="F962" s="3" t="s">
        <v>36</v>
      </c>
      <c r="G962" s="3" t="s">
        <v>338</v>
      </c>
      <c r="H962" s="3">
        <v>58576.58</v>
      </c>
      <c r="I962" s="3">
        <v>4</v>
      </c>
      <c r="J962" s="3">
        <v>0</v>
      </c>
      <c r="K962" s="9">
        <f t="shared" ref="K962:K996" si="45">I962*H962</f>
        <v>234306.32</v>
      </c>
      <c r="L962" s="9">
        <f t="shared" ref="L962:L1025" si="46">K962*J962/100</f>
        <v>0</v>
      </c>
      <c r="M962" s="10">
        <f t="shared" ref="M962:M1025" si="47">K962-L962</f>
        <v>234306.32</v>
      </c>
      <c r="N962" s="3" t="s">
        <v>38</v>
      </c>
      <c r="O962" s="3" t="s">
        <v>18</v>
      </c>
      <c r="P962" s="3" t="s">
        <v>40</v>
      </c>
    </row>
    <row r="963" spans="1:16" x14ac:dyDescent="0.25">
      <c r="A963" s="2" t="s">
        <v>1322</v>
      </c>
      <c r="B963" s="4">
        <v>45997</v>
      </c>
      <c r="C963" s="2" t="s">
        <v>543</v>
      </c>
      <c r="D963" s="2" t="s">
        <v>100</v>
      </c>
      <c r="E963" s="2" t="s">
        <v>88</v>
      </c>
      <c r="F963" s="2" t="s">
        <v>43</v>
      </c>
      <c r="G963" s="2" t="s">
        <v>105</v>
      </c>
      <c r="H963" s="2">
        <v>2524.96</v>
      </c>
      <c r="I963" s="2">
        <v>4</v>
      </c>
      <c r="J963" s="2">
        <v>10</v>
      </c>
      <c r="K963" s="9">
        <f t="shared" si="45"/>
        <v>10099.84</v>
      </c>
      <c r="L963" s="9">
        <f t="shared" si="46"/>
        <v>1009.9839999999999</v>
      </c>
      <c r="M963" s="10">
        <f t="shared" si="47"/>
        <v>9089.8559999999998</v>
      </c>
      <c r="N963" s="2" t="s">
        <v>26</v>
      </c>
      <c r="O963" s="2" t="s">
        <v>18</v>
      </c>
      <c r="P963" s="2" t="s">
        <v>19</v>
      </c>
    </row>
    <row r="964" spans="1:16" x14ac:dyDescent="0.25">
      <c r="A964" s="3" t="s">
        <v>1323</v>
      </c>
      <c r="B964" s="4">
        <v>45998</v>
      </c>
      <c r="C964" s="3" t="s">
        <v>541</v>
      </c>
      <c r="D964" s="3" t="s">
        <v>22</v>
      </c>
      <c r="E964" s="3" t="s">
        <v>23</v>
      </c>
      <c r="F964" s="3" t="s">
        <v>43</v>
      </c>
      <c r="G964" s="3" t="s">
        <v>44</v>
      </c>
      <c r="H964" s="3">
        <v>3258.94</v>
      </c>
      <c r="I964" s="3">
        <v>3</v>
      </c>
      <c r="J964" s="3">
        <v>0</v>
      </c>
      <c r="K964" s="9">
        <f t="shared" si="45"/>
        <v>9776.82</v>
      </c>
      <c r="L964" s="9">
        <f t="shared" si="46"/>
        <v>0</v>
      </c>
      <c r="M964" s="10">
        <f t="shared" si="47"/>
        <v>9776.82</v>
      </c>
      <c r="N964" s="3" t="s">
        <v>33</v>
      </c>
      <c r="O964" s="3" t="s">
        <v>18</v>
      </c>
      <c r="P964" s="3" t="s">
        <v>34</v>
      </c>
    </row>
    <row r="965" spans="1:16" x14ac:dyDescent="0.25">
      <c r="A965" s="2" t="s">
        <v>1324</v>
      </c>
      <c r="B965" s="4">
        <v>45999</v>
      </c>
      <c r="C965" s="2" t="s">
        <v>470</v>
      </c>
      <c r="D965" s="2" t="s">
        <v>100</v>
      </c>
      <c r="E965" s="2" t="s">
        <v>88</v>
      </c>
      <c r="F965" s="2" t="s">
        <v>110</v>
      </c>
      <c r="G965" s="2" t="s">
        <v>215</v>
      </c>
      <c r="H965" s="2">
        <v>2304.35</v>
      </c>
      <c r="I965" s="2">
        <v>4</v>
      </c>
      <c r="J965" s="2">
        <v>0</v>
      </c>
      <c r="K965" s="9">
        <f t="shared" si="45"/>
        <v>9217.4</v>
      </c>
      <c r="L965" s="9">
        <f t="shared" si="46"/>
        <v>0</v>
      </c>
      <c r="M965" s="10">
        <f t="shared" si="47"/>
        <v>9217.4</v>
      </c>
      <c r="N965" s="2" t="s">
        <v>33</v>
      </c>
      <c r="O965" s="2" t="s">
        <v>18</v>
      </c>
      <c r="P965" s="2" t="s">
        <v>53</v>
      </c>
    </row>
    <row r="966" spans="1:16" x14ac:dyDescent="0.25">
      <c r="A966" s="3" t="s">
        <v>1325</v>
      </c>
      <c r="B966" s="4">
        <v>46000</v>
      </c>
      <c r="C966" s="3" t="s">
        <v>730</v>
      </c>
      <c r="D966" s="3" t="s">
        <v>13</v>
      </c>
      <c r="E966" s="3" t="s">
        <v>14</v>
      </c>
      <c r="F966" s="3" t="s">
        <v>31</v>
      </c>
      <c r="G966" s="3" t="s">
        <v>186</v>
      </c>
      <c r="H966" s="3">
        <v>737.71</v>
      </c>
      <c r="I966" s="3">
        <v>3</v>
      </c>
      <c r="J966" s="3">
        <v>15</v>
      </c>
      <c r="K966" s="9">
        <f t="shared" si="45"/>
        <v>2213.13</v>
      </c>
      <c r="L966" s="9">
        <f t="shared" si="46"/>
        <v>331.96950000000004</v>
      </c>
      <c r="M966" s="10">
        <f t="shared" si="47"/>
        <v>1881.1605</v>
      </c>
      <c r="N966" s="3" t="s">
        <v>26</v>
      </c>
      <c r="O966" s="3" t="s">
        <v>18</v>
      </c>
      <c r="P966" s="3" t="s">
        <v>60</v>
      </c>
    </row>
    <row r="967" spans="1:16" x14ac:dyDescent="0.25">
      <c r="A967" s="2" t="s">
        <v>1326</v>
      </c>
      <c r="B967" s="4">
        <v>46001</v>
      </c>
      <c r="C967" s="2" t="s">
        <v>687</v>
      </c>
      <c r="D967" s="2" t="s">
        <v>100</v>
      </c>
      <c r="E967" s="2" t="s">
        <v>88</v>
      </c>
      <c r="F967" s="2" t="s">
        <v>15</v>
      </c>
      <c r="G967" s="2" t="s">
        <v>163</v>
      </c>
      <c r="H967" s="2">
        <v>2724.19</v>
      </c>
      <c r="I967" s="2">
        <v>3</v>
      </c>
      <c r="J967" s="2">
        <v>5</v>
      </c>
      <c r="K967" s="9">
        <f t="shared" si="45"/>
        <v>8172.57</v>
      </c>
      <c r="L967" s="9">
        <f t="shared" si="46"/>
        <v>408.62849999999997</v>
      </c>
      <c r="M967" s="10">
        <f t="shared" si="47"/>
        <v>7763.9414999999999</v>
      </c>
      <c r="N967" s="2" t="s">
        <v>33</v>
      </c>
      <c r="O967" s="2" t="s">
        <v>18</v>
      </c>
      <c r="P967" s="2" t="s">
        <v>19</v>
      </c>
    </row>
    <row r="968" spans="1:16" x14ac:dyDescent="0.25">
      <c r="A968" s="3" t="s">
        <v>1327</v>
      </c>
      <c r="B968" s="4">
        <v>46002</v>
      </c>
      <c r="C968" s="3" t="s">
        <v>244</v>
      </c>
      <c r="D968" s="3" t="s">
        <v>100</v>
      </c>
      <c r="E968" s="3" t="s">
        <v>88</v>
      </c>
      <c r="F968" s="3" t="s">
        <v>31</v>
      </c>
      <c r="G968" s="3" t="s">
        <v>70</v>
      </c>
      <c r="H968" s="3">
        <v>600.22</v>
      </c>
      <c r="I968" s="3">
        <v>4</v>
      </c>
      <c r="J968" s="3">
        <v>0</v>
      </c>
      <c r="K968" s="9">
        <f t="shared" si="45"/>
        <v>2400.88</v>
      </c>
      <c r="L968" s="9">
        <f t="shared" si="46"/>
        <v>0</v>
      </c>
      <c r="M968" s="10">
        <f t="shared" si="47"/>
        <v>2400.88</v>
      </c>
      <c r="N968" s="3" t="s">
        <v>68</v>
      </c>
      <c r="O968" s="3" t="s">
        <v>18</v>
      </c>
      <c r="P968" s="3" t="s">
        <v>40</v>
      </c>
    </row>
    <row r="969" spans="1:16" x14ac:dyDescent="0.25">
      <c r="A969" s="2" t="s">
        <v>1328</v>
      </c>
      <c r="B969" s="4">
        <v>46003</v>
      </c>
      <c r="C969" s="2" t="s">
        <v>320</v>
      </c>
      <c r="D969" s="2" t="s">
        <v>83</v>
      </c>
      <c r="E969" s="2" t="s">
        <v>84</v>
      </c>
      <c r="F969" s="2" t="s">
        <v>36</v>
      </c>
      <c r="G969" s="2" t="s">
        <v>121</v>
      </c>
      <c r="H969" s="2">
        <v>89993.59</v>
      </c>
      <c r="I969" s="2">
        <v>3</v>
      </c>
      <c r="J969" s="2">
        <v>5</v>
      </c>
      <c r="K969" s="9">
        <f t="shared" si="45"/>
        <v>269980.77</v>
      </c>
      <c r="L969" s="9">
        <f t="shared" si="46"/>
        <v>13499.038500000001</v>
      </c>
      <c r="M969" s="10">
        <f t="shared" si="47"/>
        <v>256481.73150000002</v>
      </c>
      <c r="N969" s="2" t="s">
        <v>17</v>
      </c>
      <c r="O969" s="2" t="s">
        <v>27</v>
      </c>
      <c r="P969" s="2" t="s">
        <v>40</v>
      </c>
    </row>
    <row r="970" spans="1:16" x14ac:dyDescent="0.25">
      <c r="A970" s="3" t="s">
        <v>1329</v>
      </c>
      <c r="B970" s="4">
        <v>46004</v>
      </c>
      <c r="C970" s="3" t="s">
        <v>653</v>
      </c>
      <c r="D970" s="3" t="s">
        <v>47</v>
      </c>
      <c r="E970" s="3" t="s">
        <v>48</v>
      </c>
      <c r="F970" s="3" t="s">
        <v>43</v>
      </c>
      <c r="G970" s="3" t="s">
        <v>44</v>
      </c>
      <c r="H970" s="3">
        <v>3682.63</v>
      </c>
      <c r="I970" s="3">
        <v>2</v>
      </c>
      <c r="J970" s="3">
        <v>0</v>
      </c>
      <c r="K970" s="9">
        <f t="shared" si="45"/>
        <v>7365.26</v>
      </c>
      <c r="L970" s="9">
        <f t="shared" si="46"/>
        <v>0</v>
      </c>
      <c r="M970" s="10">
        <f t="shared" si="47"/>
        <v>7365.26</v>
      </c>
      <c r="N970" s="3" t="s">
        <v>26</v>
      </c>
      <c r="O970" s="3" t="s">
        <v>27</v>
      </c>
      <c r="P970" s="3" t="s">
        <v>19</v>
      </c>
    </row>
    <row r="971" spans="1:16" x14ac:dyDescent="0.25">
      <c r="A971" s="2" t="s">
        <v>1330</v>
      </c>
      <c r="B971" s="4">
        <v>46005</v>
      </c>
      <c r="C971" s="2" t="s">
        <v>183</v>
      </c>
      <c r="D971" s="2" t="s">
        <v>22</v>
      </c>
      <c r="E971" s="2" t="s">
        <v>23</v>
      </c>
      <c r="F971" s="2" t="s">
        <v>72</v>
      </c>
      <c r="G971" s="2" t="s">
        <v>137</v>
      </c>
      <c r="H971" s="2">
        <v>2417.4699999999998</v>
      </c>
      <c r="I971" s="2">
        <v>2</v>
      </c>
      <c r="J971" s="2">
        <v>15</v>
      </c>
      <c r="K971" s="9">
        <f t="shared" si="45"/>
        <v>4834.9399999999996</v>
      </c>
      <c r="L971" s="9">
        <f t="shared" si="46"/>
        <v>725.24099999999987</v>
      </c>
      <c r="M971" s="10">
        <f t="shared" si="47"/>
        <v>4109.6989999999996</v>
      </c>
      <c r="N971" s="2" t="s">
        <v>33</v>
      </c>
      <c r="O971" s="2" t="s">
        <v>18</v>
      </c>
      <c r="P971" s="2" t="s">
        <v>60</v>
      </c>
    </row>
    <row r="972" spans="1:16" x14ac:dyDescent="0.25">
      <c r="A972" s="3" t="s">
        <v>1331</v>
      </c>
      <c r="B972" s="4">
        <v>46006</v>
      </c>
      <c r="C972" s="3" t="s">
        <v>455</v>
      </c>
      <c r="D972" s="3" t="s">
        <v>83</v>
      </c>
      <c r="E972" s="3" t="s">
        <v>84</v>
      </c>
      <c r="F972" s="3" t="s">
        <v>110</v>
      </c>
      <c r="G972" s="3" t="s">
        <v>153</v>
      </c>
      <c r="H972" s="3">
        <v>3282.07</v>
      </c>
      <c r="I972" s="3">
        <v>5</v>
      </c>
      <c r="J972" s="3">
        <v>0</v>
      </c>
      <c r="K972" s="9">
        <f t="shared" si="45"/>
        <v>16410.350000000002</v>
      </c>
      <c r="L972" s="9">
        <f t="shared" si="46"/>
        <v>0</v>
      </c>
      <c r="M972" s="10">
        <f t="shared" si="47"/>
        <v>16410.350000000002</v>
      </c>
      <c r="N972" s="3" t="s">
        <v>26</v>
      </c>
      <c r="O972" s="3" t="s">
        <v>18</v>
      </c>
      <c r="P972" s="3" t="s">
        <v>40</v>
      </c>
    </row>
    <row r="973" spans="1:16" x14ac:dyDescent="0.25">
      <c r="A973" s="2" t="s">
        <v>1332</v>
      </c>
      <c r="B973" s="4">
        <v>46007</v>
      </c>
      <c r="C973" s="2" t="s">
        <v>1333</v>
      </c>
      <c r="D973" s="2" t="s">
        <v>47</v>
      </c>
      <c r="E973" s="2" t="s">
        <v>48</v>
      </c>
      <c r="F973" s="2" t="s">
        <v>24</v>
      </c>
      <c r="G973" s="2" t="s">
        <v>25</v>
      </c>
      <c r="H973" s="2">
        <v>4433.67</v>
      </c>
      <c r="I973" s="2">
        <v>5</v>
      </c>
      <c r="J973" s="2">
        <v>5</v>
      </c>
      <c r="K973" s="9">
        <f t="shared" si="45"/>
        <v>22168.35</v>
      </c>
      <c r="L973" s="9">
        <f t="shared" si="46"/>
        <v>1108.4175</v>
      </c>
      <c r="M973" s="10">
        <f t="shared" si="47"/>
        <v>21059.932499999999</v>
      </c>
      <c r="N973" s="2" t="s">
        <v>68</v>
      </c>
      <c r="O973" s="2" t="s">
        <v>39</v>
      </c>
      <c r="P973" s="2" t="s">
        <v>40</v>
      </c>
    </row>
    <row r="974" spans="1:16" x14ac:dyDescent="0.25">
      <c r="A974" s="3" t="s">
        <v>1334</v>
      </c>
      <c r="B974" s="4">
        <v>46008</v>
      </c>
      <c r="C974" s="3" t="s">
        <v>590</v>
      </c>
      <c r="D974" s="3" t="s">
        <v>47</v>
      </c>
      <c r="E974" s="3" t="s">
        <v>48</v>
      </c>
      <c r="F974" s="3" t="s">
        <v>15</v>
      </c>
      <c r="G974" s="3" t="s">
        <v>163</v>
      </c>
      <c r="H974" s="3">
        <v>2360.89</v>
      </c>
      <c r="I974" s="3">
        <v>4</v>
      </c>
      <c r="J974" s="3">
        <v>15</v>
      </c>
      <c r="K974" s="9">
        <f t="shared" si="45"/>
        <v>9443.56</v>
      </c>
      <c r="L974" s="9">
        <f t="shared" si="46"/>
        <v>1416.5339999999999</v>
      </c>
      <c r="M974" s="10">
        <f t="shared" si="47"/>
        <v>8027.0259999999998</v>
      </c>
      <c r="N974" s="3" t="s">
        <v>68</v>
      </c>
      <c r="O974" s="3" t="s">
        <v>52</v>
      </c>
      <c r="P974" s="3" t="s">
        <v>60</v>
      </c>
    </row>
    <row r="975" spans="1:16" x14ac:dyDescent="0.25">
      <c r="A975" s="2" t="s">
        <v>1335</v>
      </c>
      <c r="B975" s="4">
        <v>46009</v>
      </c>
      <c r="C975" s="2" t="s">
        <v>1336</v>
      </c>
      <c r="D975" s="2" t="s">
        <v>22</v>
      </c>
      <c r="E975" s="2" t="s">
        <v>23</v>
      </c>
      <c r="F975" s="2" t="s">
        <v>31</v>
      </c>
      <c r="G975" s="2" t="s">
        <v>116</v>
      </c>
      <c r="H975" s="2">
        <v>1147.33</v>
      </c>
      <c r="I975" s="2">
        <v>3</v>
      </c>
      <c r="J975" s="2">
        <v>0</v>
      </c>
      <c r="K975" s="9">
        <f t="shared" si="45"/>
        <v>3441.99</v>
      </c>
      <c r="L975" s="9">
        <f t="shared" si="46"/>
        <v>0</v>
      </c>
      <c r="M975" s="10">
        <f t="shared" si="47"/>
        <v>3441.99</v>
      </c>
      <c r="N975" s="2" t="s">
        <v>33</v>
      </c>
      <c r="O975" s="2" t="s">
        <v>18</v>
      </c>
      <c r="P975" s="2" t="s">
        <v>34</v>
      </c>
    </row>
    <row r="976" spans="1:16" x14ac:dyDescent="0.25">
      <c r="A976" s="3" t="s">
        <v>1337</v>
      </c>
      <c r="B976" s="4">
        <v>46010</v>
      </c>
      <c r="C976" s="3" t="s">
        <v>1299</v>
      </c>
      <c r="D976" s="3" t="s">
        <v>13</v>
      </c>
      <c r="E976" s="3" t="s">
        <v>14</v>
      </c>
      <c r="F976" s="3" t="s">
        <v>36</v>
      </c>
      <c r="G976" s="3" t="s">
        <v>121</v>
      </c>
      <c r="H976" s="3">
        <v>99650.34</v>
      </c>
      <c r="I976" s="3">
        <v>2</v>
      </c>
      <c r="J976" s="3">
        <v>0</v>
      </c>
      <c r="K976" s="9">
        <f t="shared" si="45"/>
        <v>199300.68</v>
      </c>
      <c r="L976" s="9">
        <f t="shared" si="46"/>
        <v>0</v>
      </c>
      <c r="M976" s="10">
        <f t="shared" si="47"/>
        <v>199300.68</v>
      </c>
      <c r="N976" s="3" t="s">
        <v>33</v>
      </c>
      <c r="O976" s="3" t="s">
        <v>18</v>
      </c>
      <c r="P976" s="3" t="s">
        <v>19</v>
      </c>
    </row>
    <row r="977" spans="1:16" x14ac:dyDescent="0.25">
      <c r="A977" s="2" t="s">
        <v>1338</v>
      </c>
      <c r="B977" s="4">
        <v>46011</v>
      </c>
      <c r="C977" s="2" t="s">
        <v>299</v>
      </c>
      <c r="D977" s="2" t="s">
        <v>47</v>
      </c>
      <c r="E977" s="2" t="s">
        <v>48</v>
      </c>
      <c r="F977" s="2" t="s">
        <v>43</v>
      </c>
      <c r="G977" s="2" t="s">
        <v>105</v>
      </c>
      <c r="H977" s="2">
        <v>2707.2</v>
      </c>
      <c r="I977" s="2">
        <v>1</v>
      </c>
      <c r="J977" s="2">
        <v>0</v>
      </c>
      <c r="K977" s="9">
        <f t="shared" si="45"/>
        <v>2707.2</v>
      </c>
      <c r="L977" s="9">
        <f t="shared" si="46"/>
        <v>0</v>
      </c>
      <c r="M977" s="10">
        <f t="shared" si="47"/>
        <v>2707.2</v>
      </c>
      <c r="N977" s="2" t="s">
        <v>68</v>
      </c>
      <c r="O977" s="2" t="s">
        <v>27</v>
      </c>
      <c r="P977" s="2" t="s">
        <v>19</v>
      </c>
    </row>
    <row r="978" spans="1:16" x14ac:dyDescent="0.25">
      <c r="A978" s="3" t="s">
        <v>1339</v>
      </c>
      <c r="B978" s="4">
        <v>46012</v>
      </c>
      <c r="C978" s="3" t="s">
        <v>736</v>
      </c>
      <c r="D978" s="3" t="s">
        <v>87</v>
      </c>
      <c r="E978" s="3" t="s">
        <v>88</v>
      </c>
      <c r="F978" s="3" t="s">
        <v>15</v>
      </c>
      <c r="G978" s="3" t="s">
        <v>56</v>
      </c>
      <c r="H978" s="3">
        <v>1810.39</v>
      </c>
      <c r="I978" s="3">
        <v>3</v>
      </c>
      <c r="J978" s="3">
        <v>5</v>
      </c>
      <c r="K978" s="9">
        <f t="shared" si="45"/>
        <v>5431.17</v>
      </c>
      <c r="L978" s="9">
        <f t="shared" si="46"/>
        <v>271.55849999999998</v>
      </c>
      <c r="M978" s="10">
        <f t="shared" si="47"/>
        <v>5159.6115</v>
      </c>
      <c r="N978" s="3" t="s">
        <v>38</v>
      </c>
      <c r="O978" s="3" t="s">
        <v>18</v>
      </c>
      <c r="P978" s="3" t="s">
        <v>19</v>
      </c>
    </row>
    <row r="979" spans="1:16" x14ac:dyDescent="0.25">
      <c r="A979" s="2" t="s">
        <v>1340</v>
      </c>
      <c r="B979" s="4">
        <v>46013</v>
      </c>
      <c r="C979" s="2" t="s">
        <v>725</v>
      </c>
      <c r="D979" s="2" t="s">
        <v>100</v>
      </c>
      <c r="E979" s="2" t="s">
        <v>88</v>
      </c>
      <c r="F979" s="2" t="s">
        <v>15</v>
      </c>
      <c r="G979" s="2" t="s">
        <v>56</v>
      </c>
      <c r="H979" s="2">
        <v>1663.33</v>
      </c>
      <c r="I979" s="2">
        <v>5</v>
      </c>
      <c r="J979" s="2">
        <v>0</v>
      </c>
      <c r="K979" s="9">
        <f t="shared" si="45"/>
        <v>8316.65</v>
      </c>
      <c r="L979" s="9">
        <f t="shared" si="46"/>
        <v>0</v>
      </c>
      <c r="M979" s="10">
        <f t="shared" si="47"/>
        <v>8316.65</v>
      </c>
      <c r="N979" s="2" t="s">
        <v>26</v>
      </c>
      <c r="O979" s="2" t="s">
        <v>18</v>
      </c>
      <c r="P979" s="2" t="s">
        <v>60</v>
      </c>
    </row>
    <row r="980" spans="1:16" x14ac:dyDescent="0.25">
      <c r="A980" s="3" t="s">
        <v>1341</v>
      </c>
      <c r="B980" s="4">
        <v>46014</v>
      </c>
      <c r="C980" s="3" t="s">
        <v>265</v>
      </c>
      <c r="D980" s="3" t="s">
        <v>29</v>
      </c>
      <c r="E980" s="3" t="s">
        <v>30</v>
      </c>
      <c r="F980" s="3" t="s">
        <v>31</v>
      </c>
      <c r="G980" s="3" t="s">
        <v>116</v>
      </c>
      <c r="H980" s="3">
        <v>1254.08</v>
      </c>
      <c r="I980" s="3">
        <v>2</v>
      </c>
      <c r="J980" s="3">
        <v>0</v>
      </c>
      <c r="K980" s="9">
        <f t="shared" si="45"/>
        <v>2508.16</v>
      </c>
      <c r="L980" s="9">
        <f t="shared" si="46"/>
        <v>0</v>
      </c>
      <c r="M980" s="10">
        <f t="shared" si="47"/>
        <v>2508.16</v>
      </c>
      <c r="N980" s="3" t="s">
        <v>26</v>
      </c>
      <c r="O980" s="3" t="s">
        <v>18</v>
      </c>
      <c r="P980" s="3" t="s">
        <v>53</v>
      </c>
    </row>
    <row r="981" spans="1:16" x14ac:dyDescent="0.25">
      <c r="A981" s="2" t="s">
        <v>1342</v>
      </c>
      <c r="B981" s="4">
        <v>46015</v>
      </c>
      <c r="C981" s="2" t="s">
        <v>590</v>
      </c>
      <c r="D981" s="2" t="s">
        <v>47</v>
      </c>
      <c r="E981" s="2" t="s">
        <v>48</v>
      </c>
      <c r="F981" s="2" t="s">
        <v>72</v>
      </c>
      <c r="G981" s="2" t="s">
        <v>73</v>
      </c>
      <c r="H981" s="2">
        <v>383.26</v>
      </c>
      <c r="I981" s="2">
        <v>3</v>
      </c>
      <c r="J981" s="2">
        <v>5</v>
      </c>
      <c r="K981" s="9">
        <f t="shared" si="45"/>
        <v>1149.78</v>
      </c>
      <c r="L981" s="9">
        <f t="shared" si="46"/>
        <v>57.488999999999997</v>
      </c>
      <c r="M981" s="10">
        <f t="shared" si="47"/>
        <v>1092.2909999999999</v>
      </c>
      <c r="N981" s="2" t="s">
        <v>68</v>
      </c>
      <c r="O981" s="2" t="s">
        <v>18</v>
      </c>
      <c r="P981" s="2" t="s">
        <v>40</v>
      </c>
    </row>
    <row r="982" spans="1:16" x14ac:dyDescent="0.25">
      <c r="A982" s="3" t="s">
        <v>1343</v>
      </c>
      <c r="B982" s="4">
        <v>46016</v>
      </c>
      <c r="C982" s="3" t="s">
        <v>590</v>
      </c>
      <c r="D982" s="3" t="s">
        <v>83</v>
      </c>
      <c r="E982" s="3" t="s">
        <v>84</v>
      </c>
      <c r="F982" s="3" t="s">
        <v>72</v>
      </c>
      <c r="G982" s="3" t="s">
        <v>81</v>
      </c>
      <c r="H982" s="3">
        <v>1400.08</v>
      </c>
      <c r="I982" s="3">
        <v>3</v>
      </c>
      <c r="J982" s="3">
        <v>10</v>
      </c>
      <c r="K982" s="9">
        <f t="shared" si="45"/>
        <v>4200.24</v>
      </c>
      <c r="L982" s="9">
        <f t="shared" si="46"/>
        <v>420.02399999999994</v>
      </c>
      <c r="M982" s="10">
        <f t="shared" si="47"/>
        <v>3780.2159999999999</v>
      </c>
      <c r="N982" s="3" t="s">
        <v>26</v>
      </c>
      <c r="O982" s="3" t="s">
        <v>18</v>
      </c>
      <c r="P982" s="3" t="s">
        <v>40</v>
      </c>
    </row>
    <row r="983" spans="1:16" x14ac:dyDescent="0.25">
      <c r="A983" s="2" t="s">
        <v>1344</v>
      </c>
      <c r="B983" s="4">
        <v>46017</v>
      </c>
      <c r="C983" s="2" t="s">
        <v>1345</v>
      </c>
      <c r="D983" s="2" t="s">
        <v>51</v>
      </c>
      <c r="E983" s="2" t="s">
        <v>14</v>
      </c>
      <c r="F983" s="2" t="s">
        <v>15</v>
      </c>
      <c r="G983" s="2" t="s">
        <v>95</v>
      </c>
      <c r="H983" s="2">
        <v>1198.81</v>
      </c>
      <c r="I983" s="2">
        <v>5</v>
      </c>
      <c r="J983" s="2">
        <v>10</v>
      </c>
      <c r="K983" s="9">
        <f t="shared" si="45"/>
        <v>5994.0499999999993</v>
      </c>
      <c r="L983" s="9">
        <f t="shared" si="46"/>
        <v>599.40499999999997</v>
      </c>
      <c r="M983" s="10">
        <f t="shared" si="47"/>
        <v>5394.6449999999995</v>
      </c>
      <c r="N983" s="2" t="s">
        <v>68</v>
      </c>
      <c r="O983" s="2" t="s">
        <v>18</v>
      </c>
      <c r="P983" s="2" t="s">
        <v>60</v>
      </c>
    </row>
    <row r="984" spans="1:16" x14ac:dyDescent="0.25">
      <c r="A984" s="3" t="s">
        <v>1346</v>
      </c>
      <c r="B984" s="4">
        <v>46018</v>
      </c>
      <c r="C984" s="3" t="s">
        <v>334</v>
      </c>
      <c r="D984" s="3" t="s">
        <v>65</v>
      </c>
      <c r="E984" s="3" t="s">
        <v>66</v>
      </c>
      <c r="F984" s="3" t="s">
        <v>43</v>
      </c>
      <c r="G984" s="3" t="s">
        <v>89</v>
      </c>
      <c r="H984" s="3">
        <v>4294.34</v>
      </c>
      <c r="I984" s="3">
        <v>2</v>
      </c>
      <c r="J984" s="3">
        <v>10</v>
      </c>
      <c r="K984" s="9">
        <f t="shared" si="45"/>
        <v>8588.68</v>
      </c>
      <c r="L984" s="9">
        <f t="shared" si="46"/>
        <v>858.86800000000005</v>
      </c>
      <c r="M984" s="10">
        <f t="shared" si="47"/>
        <v>7729.8119999999999</v>
      </c>
      <c r="N984" s="3" t="s">
        <v>26</v>
      </c>
      <c r="O984" s="3" t="s">
        <v>52</v>
      </c>
      <c r="P984" s="3" t="s">
        <v>53</v>
      </c>
    </row>
    <row r="985" spans="1:16" x14ac:dyDescent="0.25">
      <c r="A985" s="2" t="s">
        <v>1347</v>
      </c>
      <c r="B985" s="4">
        <v>46019</v>
      </c>
      <c r="C985" s="2" t="s">
        <v>838</v>
      </c>
      <c r="D985" s="2" t="s">
        <v>83</v>
      </c>
      <c r="E985" s="2" t="s">
        <v>84</v>
      </c>
      <c r="F985" s="2" t="s">
        <v>43</v>
      </c>
      <c r="G985" s="2" t="s">
        <v>89</v>
      </c>
      <c r="H985" s="2">
        <v>4686.9799999999996</v>
      </c>
      <c r="I985" s="2">
        <v>5</v>
      </c>
      <c r="J985" s="2">
        <v>0</v>
      </c>
      <c r="K985" s="9">
        <f t="shared" si="45"/>
        <v>23434.899999999998</v>
      </c>
      <c r="L985" s="9">
        <f t="shared" si="46"/>
        <v>0</v>
      </c>
      <c r="M985" s="10">
        <f t="shared" si="47"/>
        <v>23434.899999999998</v>
      </c>
      <c r="N985" s="2" t="s">
        <v>38</v>
      </c>
      <c r="O985" s="2" t="s">
        <v>39</v>
      </c>
      <c r="P985" s="2" t="s">
        <v>53</v>
      </c>
    </row>
    <row r="986" spans="1:16" x14ac:dyDescent="0.25">
      <c r="A986" s="3" t="s">
        <v>1348</v>
      </c>
      <c r="B986" s="4">
        <v>46020</v>
      </c>
      <c r="C986" s="3" t="s">
        <v>576</v>
      </c>
      <c r="D986" s="3" t="s">
        <v>83</v>
      </c>
      <c r="E986" s="3" t="s">
        <v>84</v>
      </c>
      <c r="F986" s="3" t="s">
        <v>36</v>
      </c>
      <c r="G986" s="3" t="s">
        <v>49</v>
      </c>
      <c r="H986" s="3">
        <v>141717.88</v>
      </c>
      <c r="I986" s="3">
        <v>5</v>
      </c>
      <c r="J986" s="3">
        <v>0</v>
      </c>
      <c r="K986" s="9">
        <f t="shared" si="45"/>
        <v>708589.4</v>
      </c>
      <c r="L986" s="9">
        <f t="shared" si="46"/>
        <v>0</v>
      </c>
      <c r="M986" s="10">
        <f t="shared" si="47"/>
        <v>708589.4</v>
      </c>
      <c r="N986" s="3" t="s">
        <v>38</v>
      </c>
      <c r="O986" s="3" t="s">
        <v>18</v>
      </c>
      <c r="P986" s="3" t="s">
        <v>53</v>
      </c>
    </row>
    <row r="987" spans="1:16" x14ac:dyDescent="0.25">
      <c r="A987" s="2" t="s">
        <v>1349</v>
      </c>
      <c r="B987" s="4">
        <v>46021</v>
      </c>
      <c r="C987" s="2" t="s">
        <v>387</v>
      </c>
      <c r="D987" s="2" t="s">
        <v>13</v>
      </c>
      <c r="E987" s="2" t="s">
        <v>14</v>
      </c>
      <c r="F987" s="2" t="s">
        <v>15</v>
      </c>
      <c r="G987" s="2" t="s">
        <v>163</v>
      </c>
      <c r="H987" s="2">
        <v>2744.77</v>
      </c>
      <c r="I987" s="2">
        <v>2</v>
      </c>
      <c r="J987" s="2">
        <v>15</v>
      </c>
      <c r="K987" s="9">
        <f t="shared" si="45"/>
        <v>5489.54</v>
      </c>
      <c r="L987" s="9">
        <f t="shared" si="46"/>
        <v>823.43100000000004</v>
      </c>
      <c r="M987" s="10">
        <f t="shared" si="47"/>
        <v>4666.1090000000004</v>
      </c>
      <c r="N987" s="2" t="s">
        <v>68</v>
      </c>
      <c r="O987" s="2" t="s">
        <v>18</v>
      </c>
      <c r="P987" s="2" t="s">
        <v>34</v>
      </c>
    </row>
    <row r="988" spans="1:16" x14ac:dyDescent="0.25">
      <c r="A988" s="3" t="s">
        <v>1350</v>
      </c>
      <c r="B988" s="4">
        <v>46022</v>
      </c>
      <c r="C988" s="3" t="s">
        <v>75</v>
      </c>
      <c r="D988" s="3" t="s">
        <v>87</v>
      </c>
      <c r="E988" s="3" t="s">
        <v>88</v>
      </c>
      <c r="F988" s="3" t="s">
        <v>36</v>
      </c>
      <c r="G988" s="3" t="s">
        <v>121</v>
      </c>
      <c r="H988" s="3">
        <v>102295.74</v>
      </c>
      <c r="I988" s="3">
        <v>3</v>
      </c>
      <c r="J988" s="3">
        <v>0</v>
      </c>
      <c r="K988" s="9">
        <f t="shared" si="45"/>
        <v>306887.22000000003</v>
      </c>
      <c r="L988" s="9">
        <f t="shared" si="46"/>
        <v>0</v>
      </c>
      <c r="M988" s="10">
        <f t="shared" si="47"/>
        <v>306887.22000000003</v>
      </c>
      <c r="N988" s="3" t="s">
        <v>33</v>
      </c>
      <c r="O988" s="3" t="s">
        <v>52</v>
      </c>
      <c r="P988" s="3" t="s">
        <v>34</v>
      </c>
    </row>
    <row r="989" spans="1:16" x14ac:dyDescent="0.25">
      <c r="A989" s="2" t="s">
        <v>1351</v>
      </c>
      <c r="B989" s="4">
        <v>46023</v>
      </c>
      <c r="C989" s="2" t="s">
        <v>378</v>
      </c>
      <c r="D989" s="2" t="s">
        <v>13</v>
      </c>
      <c r="E989" s="2" t="s">
        <v>14</v>
      </c>
      <c r="F989" s="2" t="s">
        <v>72</v>
      </c>
      <c r="G989" s="2" t="s">
        <v>137</v>
      </c>
      <c r="H989" s="2">
        <v>2076.48</v>
      </c>
      <c r="I989" s="2">
        <v>3</v>
      </c>
      <c r="J989" s="2">
        <v>15</v>
      </c>
      <c r="K989" s="9">
        <f t="shared" si="45"/>
        <v>6229.4400000000005</v>
      </c>
      <c r="L989" s="9">
        <f t="shared" si="46"/>
        <v>934.41600000000005</v>
      </c>
      <c r="M989" s="10">
        <f t="shared" si="47"/>
        <v>5295.0240000000003</v>
      </c>
      <c r="N989" s="2" t="s">
        <v>38</v>
      </c>
      <c r="O989" s="2" t="s">
        <v>18</v>
      </c>
      <c r="P989" s="2" t="s">
        <v>19</v>
      </c>
    </row>
    <row r="990" spans="1:16" x14ac:dyDescent="0.25">
      <c r="A990" s="3" t="s">
        <v>1352</v>
      </c>
      <c r="B990" s="4">
        <v>46024</v>
      </c>
      <c r="C990" s="3" t="s">
        <v>1061</v>
      </c>
      <c r="D990" s="3" t="s">
        <v>65</v>
      </c>
      <c r="E990" s="3" t="s">
        <v>66</v>
      </c>
      <c r="F990" s="3" t="s">
        <v>15</v>
      </c>
      <c r="G990" s="3" t="s">
        <v>16</v>
      </c>
      <c r="H990" s="3">
        <v>1611.01</v>
      </c>
      <c r="I990" s="3">
        <v>5</v>
      </c>
      <c r="J990" s="3">
        <v>0</v>
      </c>
      <c r="K990" s="9">
        <f t="shared" si="45"/>
        <v>8055.05</v>
      </c>
      <c r="L990" s="9">
        <f t="shared" si="46"/>
        <v>0</v>
      </c>
      <c r="M990" s="10">
        <f t="shared" si="47"/>
        <v>8055.05</v>
      </c>
      <c r="N990" s="3" t="s">
        <v>26</v>
      </c>
      <c r="O990" s="3" t="s">
        <v>39</v>
      </c>
      <c r="P990" s="3" t="s">
        <v>60</v>
      </c>
    </row>
    <row r="991" spans="1:16" x14ac:dyDescent="0.25">
      <c r="A991" s="2" t="s">
        <v>1353</v>
      </c>
      <c r="B991" s="4">
        <v>46025</v>
      </c>
      <c r="C991" s="2" t="s">
        <v>136</v>
      </c>
      <c r="D991" s="2" t="s">
        <v>51</v>
      </c>
      <c r="E991" s="2" t="s">
        <v>14</v>
      </c>
      <c r="F991" s="2" t="s">
        <v>110</v>
      </c>
      <c r="G991" s="2" t="s">
        <v>67</v>
      </c>
      <c r="H991" s="2">
        <v>4190.08</v>
      </c>
      <c r="I991" s="2">
        <v>2</v>
      </c>
      <c r="J991" s="2">
        <v>0</v>
      </c>
      <c r="K991" s="9">
        <f t="shared" si="45"/>
        <v>8380.16</v>
      </c>
      <c r="L991" s="9">
        <f t="shared" si="46"/>
        <v>0</v>
      </c>
      <c r="M991" s="10">
        <f t="shared" si="47"/>
        <v>8380.16</v>
      </c>
      <c r="N991" s="2" t="s">
        <v>38</v>
      </c>
      <c r="O991" s="2" t="s">
        <v>18</v>
      </c>
      <c r="P991" s="2" t="s">
        <v>60</v>
      </c>
    </row>
    <row r="992" spans="1:16" x14ac:dyDescent="0.25">
      <c r="A992" s="3" t="s">
        <v>1354</v>
      </c>
      <c r="B992" s="4">
        <v>46026</v>
      </c>
      <c r="C992" s="3" t="s">
        <v>397</v>
      </c>
      <c r="D992" s="3" t="s">
        <v>76</v>
      </c>
      <c r="E992" s="3" t="s">
        <v>77</v>
      </c>
      <c r="F992" s="3" t="s">
        <v>24</v>
      </c>
      <c r="G992" s="3" t="s">
        <v>25</v>
      </c>
      <c r="H992" s="3">
        <v>4219.97</v>
      </c>
      <c r="I992" s="3">
        <v>4</v>
      </c>
      <c r="J992" s="3">
        <v>0</v>
      </c>
      <c r="K992" s="9">
        <f t="shared" si="45"/>
        <v>16879.88</v>
      </c>
      <c r="L992" s="9">
        <f t="shared" si="46"/>
        <v>0</v>
      </c>
      <c r="M992" s="10">
        <f t="shared" si="47"/>
        <v>16879.88</v>
      </c>
      <c r="N992" s="3" t="s">
        <v>38</v>
      </c>
      <c r="O992" s="3" t="s">
        <v>18</v>
      </c>
      <c r="P992" s="3" t="s">
        <v>34</v>
      </c>
    </row>
    <row r="993" spans="1:16" x14ac:dyDescent="0.25">
      <c r="A993" s="2" t="s">
        <v>1355</v>
      </c>
      <c r="B993" s="4">
        <v>46027</v>
      </c>
      <c r="C993" s="2" t="s">
        <v>104</v>
      </c>
      <c r="D993" s="2" t="s">
        <v>29</v>
      </c>
      <c r="E993" s="2" t="s">
        <v>30</v>
      </c>
      <c r="F993" s="2" t="s">
        <v>24</v>
      </c>
      <c r="G993" s="2" t="s">
        <v>92</v>
      </c>
      <c r="H993" s="2">
        <v>1393.06</v>
      </c>
      <c r="I993" s="2">
        <v>4</v>
      </c>
      <c r="J993" s="2">
        <v>0</v>
      </c>
      <c r="K993" s="9">
        <f t="shared" si="45"/>
        <v>5572.24</v>
      </c>
      <c r="L993" s="9">
        <f t="shared" si="46"/>
        <v>0</v>
      </c>
      <c r="M993" s="10">
        <f t="shared" si="47"/>
        <v>5572.24</v>
      </c>
      <c r="N993" s="2" t="s">
        <v>33</v>
      </c>
      <c r="O993" s="2" t="s">
        <v>27</v>
      </c>
      <c r="P993" s="2" t="s">
        <v>60</v>
      </c>
    </row>
    <row r="994" spans="1:16" x14ac:dyDescent="0.25">
      <c r="A994" s="3" t="s">
        <v>1356</v>
      </c>
      <c r="B994" s="4">
        <v>46028</v>
      </c>
      <c r="C994" s="3" t="s">
        <v>572</v>
      </c>
      <c r="D994" s="3" t="s">
        <v>100</v>
      </c>
      <c r="E994" s="3" t="s">
        <v>88</v>
      </c>
      <c r="F994" s="3" t="s">
        <v>15</v>
      </c>
      <c r="G994" s="3" t="s">
        <v>198</v>
      </c>
      <c r="H994" s="3">
        <v>816.53</v>
      </c>
      <c r="I994" s="3">
        <v>4</v>
      </c>
      <c r="J994" s="3">
        <v>15</v>
      </c>
      <c r="K994" s="9">
        <f t="shared" si="45"/>
        <v>3266.12</v>
      </c>
      <c r="L994" s="9">
        <f t="shared" si="46"/>
        <v>489.91799999999995</v>
      </c>
      <c r="M994" s="10">
        <f t="shared" si="47"/>
        <v>2776.2019999999998</v>
      </c>
      <c r="N994" s="3" t="s">
        <v>68</v>
      </c>
      <c r="O994" s="3" t="s">
        <v>18</v>
      </c>
      <c r="P994" s="3" t="s">
        <v>40</v>
      </c>
    </row>
    <row r="995" spans="1:16" x14ac:dyDescent="0.25">
      <c r="A995" s="2" t="s">
        <v>1357</v>
      </c>
      <c r="B995" s="4">
        <v>46029</v>
      </c>
      <c r="C995" s="2" t="s">
        <v>442</v>
      </c>
      <c r="D995" s="2" t="s">
        <v>51</v>
      </c>
      <c r="E995" s="2" t="s">
        <v>14</v>
      </c>
      <c r="F995" s="2" t="s">
        <v>72</v>
      </c>
      <c r="G995" s="2" t="s">
        <v>81</v>
      </c>
      <c r="H995" s="2">
        <v>1430.3</v>
      </c>
      <c r="I995" s="2">
        <v>5</v>
      </c>
      <c r="J995" s="2">
        <v>10</v>
      </c>
      <c r="K995" s="9">
        <f t="shared" si="45"/>
        <v>7151.5</v>
      </c>
      <c r="L995" s="9">
        <f t="shared" si="46"/>
        <v>715.15</v>
      </c>
      <c r="M995" s="10">
        <f t="shared" si="47"/>
        <v>6436.35</v>
      </c>
      <c r="N995" s="2" t="s">
        <v>68</v>
      </c>
      <c r="O995" s="2" t="s">
        <v>39</v>
      </c>
      <c r="P995" s="2" t="s">
        <v>40</v>
      </c>
    </row>
    <row r="996" spans="1:16" x14ac:dyDescent="0.25">
      <c r="A996" s="3" t="s">
        <v>1358</v>
      </c>
      <c r="B996" s="4">
        <v>46030</v>
      </c>
      <c r="C996" s="3" t="s">
        <v>292</v>
      </c>
      <c r="D996" s="3" t="s">
        <v>22</v>
      </c>
      <c r="E996" s="3" t="s">
        <v>23</v>
      </c>
      <c r="F996" s="3" t="s">
        <v>24</v>
      </c>
      <c r="G996" s="3" t="s">
        <v>25</v>
      </c>
      <c r="H996" s="3">
        <v>4482.38</v>
      </c>
      <c r="I996" s="3">
        <v>5</v>
      </c>
      <c r="J996" s="3">
        <v>5</v>
      </c>
      <c r="K996" s="9">
        <f t="shared" si="45"/>
        <v>22411.9</v>
      </c>
      <c r="L996" s="9">
        <f t="shared" si="46"/>
        <v>1120.595</v>
      </c>
      <c r="M996" s="10">
        <f t="shared" si="47"/>
        <v>21291.305</v>
      </c>
      <c r="N996" s="3" t="s">
        <v>26</v>
      </c>
      <c r="O996" s="3" t="s">
        <v>18</v>
      </c>
      <c r="P996" s="3" t="s">
        <v>34</v>
      </c>
    </row>
    <row r="997" spans="1:16" x14ac:dyDescent="0.25">
      <c r="K997"/>
      <c r="L997"/>
      <c r="M997"/>
    </row>
    <row r="998" spans="1:16" x14ac:dyDescent="0.25">
      <c r="K998"/>
      <c r="L998"/>
      <c r="M998"/>
    </row>
    <row r="999" spans="1:16" x14ac:dyDescent="0.25">
      <c r="K999"/>
      <c r="L999"/>
      <c r="M999"/>
    </row>
    <row r="1000" spans="1:16" x14ac:dyDescent="0.25">
      <c r="K1000"/>
      <c r="L1000"/>
      <c r="M1000"/>
    </row>
    <row r="1001" spans="1:16" x14ac:dyDescent="0.25">
      <c r="K1001"/>
      <c r="L1001"/>
      <c r="M1001"/>
    </row>
  </sheetData>
  <autoFilter ref="A1:P99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A8F0-AA3D-497C-B169-8B6C973BCC93}">
  <dimension ref="A1:Q991"/>
  <sheetViews>
    <sheetView workbookViewId="0">
      <selection activeCell="G1" sqref="G1"/>
    </sheetView>
  </sheetViews>
  <sheetFormatPr defaultRowHeight="15" x14ac:dyDescent="0.25"/>
  <cols>
    <col min="1" max="1" width="11.140625" customWidth="1"/>
    <col min="2" max="3" width="16.42578125" customWidth="1"/>
    <col min="4" max="4" width="19" customWidth="1"/>
    <col min="5" max="5" width="15.140625" customWidth="1"/>
    <col min="6" max="6" width="16.5703125" customWidth="1"/>
    <col min="7" max="7" width="14.85546875" customWidth="1"/>
    <col min="8" max="8" width="17.85546875" customWidth="1"/>
    <col min="9" max="9" width="13.42578125" customWidth="1"/>
    <col min="10" max="10" width="13.85546875" customWidth="1"/>
    <col min="11" max="11" width="13.42578125" customWidth="1"/>
    <col min="12" max="12" width="13.7109375" customWidth="1"/>
    <col min="13" max="13" width="18.85546875" customWidth="1"/>
    <col min="14" max="14" width="14.42578125" customWidth="1"/>
    <col min="15" max="15" width="18.85546875" customWidth="1"/>
    <col min="16" max="16" width="17.42578125" customWidth="1"/>
    <col min="17" max="17" width="22.28515625" customWidth="1"/>
    <col min="18" max="18" width="11.5703125" bestFit="1" customWidth="1"/>
  </cols>
  <sheetData>
    <row r="1" spans="1:17" x14ac:dyDescent="0.25">
      <c r="A1" s="1" t="s">
        <v>0</v>
      </c>
      <c r="B1" s="1" t="s">
        <v>1361</v>
      </c>
      <c r="C1" s="5" t="s">
        <v>1372</v>
      </c>
      <c r="D1" s="1" t="s">
        <v>1362</v>
      </c>
      <c r="E1" s="1" t="s">
        <v>1</v>
      </c>
      <c r="F1" s="1" t="s">
        <v>2</v>
      </c>
      <c r="G1" s="1" t="s">
        <v>3</v>
      </c>
      <c r="H1" s="1" t="s">
        <v>4</v>
      </c>
      <c r="I1" s="1" t="s">
        <v>5</v>
      </c>
      <c r="J1" s="1" t="s">
        <v>6</v>
      </c>
      <c r="K1" s="1" t="s">
        <v>7</v>
      </c>
      <c r="L1" s="8" t="s">
        <v>1364</v>
      </c>
      <c r="M1" s="8" t="s">
        <v>1365</v>
      </c>
      <c r="N1" s="8" t="s">
        <v>1366</v>
      </c>
      <c r="O1" s="1" t="s">
        <v>8</v>
      </c>
      <c r="P1" s="1" t="s">
        <v>9</v>
      </c>
      <c r="Q1" s="1" t="s">
        <v>10</v>
      </c>
    </row>
    <row r="2" spans="1:17" x14ac:dyDescent="0.25">
      <c r="A2" s="2" t="s">
        <v>11</v>
      </c>
      <c r="B2" s="4">
        <v>45031</v>
      </c>
      <c r="C2" s="4" t="str">
        <f t="shared" ref="C2:C65" si="0">TEXT(B2,"mmm")</f>
        <v>Apr</v>
      </c>
      <c r="D2" s="2" t="s">
        <v>12</v>
      </c>
      <c r="E2" s="6" t="s">
        <v>13</v>
      </c>
      <c r="F2" s="2" t="s">
        <v>14</v>
      </c>
      <c r="G2" s="2" t="s">
        <v>15</v>
      </c>
      <c r="H2" s="2" t="s">
        <v>16</v>
      </c>
      <c r="I2" s="2">
        <v>1423.47</v>
      </c>
      <c r="J2" s="2">
        <v>2</v>
      </c>
      <c r="K2" s="2">
        <v>5</v>
      </c>
      <c r="L2" s="9">
        <f t="shared" ref="L2:L65" si="1">J2*I2</f>
        <v>2846.94</v>
      </c>
      <c r="M2" s="9">
        <f t="shared" ref="M2:M65" si="2">L2*K2/100</f>
        <v>142.34700000000001</v>
      </c>
      <c r="N2" s="10">
        <f t="shared" ref="N2:N65" si="3">L2-M2</f>
        <v>2704.5929999999998</v>
      </c>
      <c r="O2" s="2" t="s">
        <v>17</v>
      </c>
      <c r="P2" s="2" t="s">
        <v>18</v>
      </c>
      <c r="Q2" s="6" t="s">
        <v>19</v>
      </c>
    </row>
    <row r="3" spans="1:17" x14ac:dyDescent="0.25">
      <c r="A3" s="3" t="s">
        <v>20</v>
      </c>
      <c r="B3" s="4">
        <v>45032</v>
      </c>
      <c r="C3" s="4" t="str">
        <f t="shared" si="0"/>
        <v>Apr</v>
      </c>
      <c r="D3" s="3" t="s">
        <v>21</v>
      </c>
      <c r="E3" s="3" t="s">
        <v>22</v>
      </c>
      <c r="F3" s="3" t="s">
        <v>23</v>
      </c>
      <c r="G3" s="7" t="s">
        <v>24</v>
      </c>
      <c r="H3" s="3" t="s">
        <v>25</v>
      </c>
      <c r="I3" s="3">
        <v>4504.82</v>
      </c>
      <c r="J3" s="3">
        <v>1</v>
      </c>
      <c r="K3" s="3">
        <v>5</v>
      </c>
      <c r="L3" s="9">
        <f t="shared" si="1"/>
        <v>4504.82</v>
      </c>
      <c r="M3" s="9">
        <f t="shared" si="2"/>
        <v>225.24099999999999</v>
      </c>
      <c r="N3" s="10">
        <f t="shared" si="3"/>
        <v>4279.5789999999997</v>
      </c>
      <c r="O3" s="3" t="s">
        <v>26</v>
      </c>
      <c r="P3" s="3" t="s">
        <v>27</v>
      </c>
      <c r="Q3" s="3" t="s">
        <v>19</v>
      </c>
    </row>
    <row r="4" spans="1:17" x14ac:dyDescent="0.25">
      <c r="A4" s="2" t="s">
        <v>28</v>
      </c>
      <c r="B4" s="4">
        <v>45033</v>
      </c>
      <c r="C4" s="4" t="str">
        <f t="shared" si="0"/>
        <v>Apr</v>
      </c>
      <c r="D4" s="6" t="s">
        <v>237</v>
      </c>
      <c r="E4" s="6" t="s">
        <v>29</v>
      </c>
      <c r="F4" s="2" t="s">
        <v>30</v>
      </c>
      <c r="G4" s="2" t="s">
        <v>31</v>
      </c>
      <c r="H4" s="2" t="s">
        <v>32</v>
      </c>
      <c r="I4" s="2">
        <v>2629.4</v>
      </c>
      <c r="J4" s="2">
        <v>2</v>
      </c>
      <c r="K4" s="2">
        <v>0</v>
      </c>
      <c r="L4" s="9">
        <f t="shared" si="1"/>
        <v>5258.8</v>
      </c>
      <c r="M4" s="9">
        <f t="shared" si="2"/>
        <v>0</v>
      </c>
      <c r="N4" s="10">
        <f t="shared" si="3"/>
        <v>5258.8</v>
      </c>
      <c r="O4" s="2" t="s">
        <v>33</v>
      </c>
      <c r="P4" s="2" t="s">
        <v>18</v>
      </c>
      <c r="Q4" s="2" t="s">
        <v>34</v>
      </c>
    </row>
    <row r="5" spans="1:17" x14ac:dyDescent="0.25">
      <c r="A5" s="3" t="s">
        <v>35</v>
      </c>
      <c r="B5" s="4">
        <v>45034</v>
      </c>
      <c r="C5" s="4" t="str">
        <f t="shared" si="0"/>
        <v>Apr</v>
      </c>
      <c r="D5" s="3" t="s">
        <v>323</v>
      </c>
      <c r="E5" s="3" t="s">
        <v>22</v>
      </c>
      <c r="F5" s="3" t="s">
        <v>23</v>
      </c>
      <c r="G5" s="3" t="s">
        <v>36</v>
      </c>
      <c r="H5" s="3" t="s">
        <v>37</v>
      </c>
      <c r="I5" s="3">
        <v>11032.12</v>
      </c>
      <c r="J5" s="3">
        <v>3</v>
      </c>
      <c r="K5" s="3">
        <v>15</v>
      </c>
      <c r="L5" s="9">
        <f t="shared" si="1"/>
        <v>33096.36</v>
      </c>
      <c r="M5" s="9">
        <f t="shared" si="2"/>
        <v>4964.4540000000006</v>
      </c>
      <c r="N5" s="10">
        <f t="shared" si="3"/>
        <v>28131.905999999999</v>
      </c>
      <c r="O5" s="3" t="s">
        <v>38</v>
      </c>
      <c r="P5" s="3" t="s">
        <v>39</v>
      </c>
      <c r="Q5" s="3" t="s">
        <v>40</v>
      </c>
    </row>
    <row r="6" spans="1:17" x14ac:dyDescent="0.25">
      <c r="A6" s="2" t="s">
        <v>41</v>
      </c>
      <c r="B6" s="4">
        <v>45035</v>
      </c>
      <c r="C6" s="4" t="str">
        <f t="shared" si="0"/>
        <v>Apr</v>
      </c>
      <c r="D6" s="2" t="s">
        <v>42</v>
      </c>
      <c r="E6" s="2" t="s">
        <v>22</v>
      </c>
      <c r="F6" s="2" t="s">
        <v>23</v>
      </c>
      <c r="G6" s="2" t="s">
        <v>43</v>
      </c>
      <c r="H6" s="2" t="s">
        <v>44</v>
      </c>
      <c r="I6" s="2">
        <v>3536.43</v>
      </c>
      <c r="J6" s="2">
        <v>5</v>
      </c>
      <c r="K6" s="2">
        <v>0</v>
      </c>
      <c r="L6" s="9">
        <f t="shared" si="1"/>
        <v>17682.149999999998</v>
      </c>
      <c r="M6" s="9">
        <f t="shared" si="2"/>
        <v>0</v>
      </c>
      <c r="N6" s="10">
        <f t="shared" si="3"/>
        <v>17682.149999999998</v>
      </c>
      <c r="O6" s="2" t="s">
        <v>17</v>
      </c>
      <c r="P6" s="2" t="s">
        <v>18</v>
      </c>
      <c r="Q6" s="2" t="s">
        <v>40</v>
      </c>
    </row>
    <row r="7" spans="1:17" x14ac:dyDescent="0.25">
      <c r="A7" s="3" t="s">
        <v>45</v>
      </c>
      <c r="B7" s="4">
        <v>45036</v>
      </c>
      <c r="C7" s="4" t="str">
        <f t="shared" si="0"/>
        <v>Apr</v>
      </c>
      <c r="D7" s="3" t="s">
        <v>46</v>
      </c>
      <c r="E7" s="3" t="s">
        <v>47</v>
      </c>
      <c r="F7" s="3" t="s">
        <v>48</v>
      </c>
      <c r="G7" s="3" t="s">
        <v>36</v>
      </c>
      <c r="H7" s="3" t="s">
        <v>49</v>
      </c>
      <c r="I7" s="3">
        <v>160994.51</v>
      </c>
      <c r="J7" s="3">
        <v>4</v>
      </c>
      <c r="K7" s="3">
        <v>0</v>
      </c>
      <c r="L7" s="9">
        <f t="shared" si="1"/>
        <v>643978.04</v>
      </c>
      <c r="M7" s="9">
        <f t="shared" si="2"/>
        <v>0</v>
      </c>
      <c r="N7" s="10">
        <f t="shared" si="3"/>
        <v>643978.04</v>
      </c>
      <c r="O7" s="3" t="s">
        <v>33</v>
      </c>
      <c r="P7" s="3" t="s">
        <v>27</v>
      </c>
      <c r="Q7" s="3" t="s">
        <v>34</v>
      </c>
    </row>
    <row r="8" spans="1:17" x14ac:dyDescent="0.25">
      <c r="A8" s="2" t="s">
        <v>50</v>
      </c>
      <c r="B8" s="4">
        <v>45037</v>
      </c>
      <c r="C8" s="4" t="str">
        <f t="shared" si="0"/>
        <v>Apr</v>
      </c>
      <c r="D8" s="2" t="s">
        <v>316</v>
      </c>
      <c r="E8" s="2" t="s">
        <v>51</v>
      </c>
      <c r="F8" s="2" t="s">
        <v>14</v>
      </c>
      <c r="G8" s="2" t="s">
        <v>15</v>
      </c>
      <c r="H8" s="2" t="s">
        <v>16</v>
      </c>
      <c r="I8" s="2">
        <v>1560.55</v>
      </c>
      <c r="J8" s="2">
        <v>1</v>
      </c>
      <c r="K8" s="2">
        <v>0</v>
      </c>
      <c r="L8" s="9">
        <f t="shared" si="1"/>
        <v>1560.55</v>
      </c>
      <c r="M8" s="9">
        <f t="shared" si="2"/>
        <v>0</v>
      </c>
      <c r="N8" s="10">
        <f t="shared" si="3"/>
        <v>1560.55</v>
      </c>
      <c r="O8" s="6" t="s">
        <v>26</v>
      </c>
      <c r="P8" s="2" t="s">
        <v>52</v>
      </c>
      <c r="Q8" s="2" t="s">
        <v>53</v>
      </c>
    </row>
    <row r="9" spans="1:17" x14ac:dyDescent="0.25">
      <c r="A9" s="3" t="s">
        <v>54</v>
      </c>
      <c r="B9" s="4">
        <v>45038</v>
      </c>
      <c r="C9" s="4" t="str">
        <f t="shared" si="0"/>
        <v>Apr</v>
      </c>
      <c r="D9" s="3" t="s">
        <v>55</v>
      </c>
      <c r="E9" s="3" t="s">
        <v>47</v>
      </c>
      <c r="F9" s="3" t="s">
        <v>48</v>
      </c>
      <c r="G9" s="3" t="s">
        <v>15</v>
      </c>
      <c r="H9" s="3" t="s">
        <v>56</v>
      </c>
      <c r="I9" s="3">
        <v>1699.06</v>
      </c>
      <c r="J9" s="3">
        <v>3</v>
      </c>
      <c r="K9" s="3">
        <v>0</v>
      </c>
      <c r="L9" s="9">
        <f t="shared" si="1"/>
        <v>5097.18</v>
      </c>
      <c r="M9" s="9">
        <f t="shared" si="2"/>
        <v>0</v>
      </c>
      <c r="N9" s="10">
        <f t="shared" si="3"/>
        <v>5097.18</v>
      </c>
      <c r="O9" s="7" t="s">
        <v>508</v>
      </c>
      <c r="P9" s="3" t="s">
        <v>39</v>
      </c>
      <c r="Q9" s="3" t="s">
        <v>40</v>
      </c>
    </row>
    <row r="10" spans="1:17" x14ac:dyDescent="0.25">
      <c r="A10" s="3" t="s">
        <v>61</v>
      </c>
      <c r="B10" s="4">
        <v>45040</v>
      </c>
      <c r="C10" s="4" t="str">
        <f t="shared" si="0"/>
        <v>Apr</v>
      </c>
      <c r="D10" s="3" t="s">
        <v>62</v>
      </c>
      <c r="E10" s="3" t="s">
        <v>51</v>
      </c>
      <c r="F10" s="3" t="s">
        <v>14</v>
      </c>
      <c r="G10" s="3" t="s">
        <v>15</v>
      </c>
      <c r="H10" s="3" t="s">
        <v>56</v>
      </c>
      <c r="I10" s="3">
        <v>1814.03</v>
      </c>
      <c r="J10" s="3">
        <v>5</v>
      </c>
      <c r="K10" s="3">
        <v>0</v>
      </c>
      <c r="L10" s="9">
        <f t="shared" si="1"/>
        <v>9070.15</v>
      </c>
      <c r="M10" s="9">
        <f t="shared" si="2"/>
        <v>0</v>
      </c>
      <c r="N10" s="10">
        <f t="shared" si="3"/>
        <v>9070.15</v>
      </c>
      <c r="O10" s="3" t="s">
        <v>17</v>
      </c>
      <c r="P10" s="3" t="s">
        <v>18</v>
      </c>
      <c r="Q10" s="3" t="s">
        <v>34</v>
      </c>
    </row>
    <row r="11" spans="1:17" x14ac:dyDescent="0.25">
      <c r="A11" s="3" t="s">
        <v>63</v>
      </c>
      <c r="B11" s="4">
        <v>45042</v>
      </c>
      <c r="C11" s="4" t="str">
        <f t="shared" si="0"/>
        <v>Apr</v>
      </c>
      <c r="D11" s="3" t="s">
        <v>64</v>
      </c>
      <c r="E11" s="3" t="s">
        <v>65</v>
      </c>
      <c r="F11" s="3" t="s">
        <v>66</v>
      </c>
      <c r="G11" s="3" t="s">
        <v>110</v>
      </c>
      <c r="H11" s="3" t="s">
        <v>67</v>
      </c>
      <c r="I11" s="3">
        <v>4526.2</v>
      </c>
      <c r="J11" s="3">
        <v>5</v>
      </c>
      <c r="K11" s="3">
        <v>0</v>
      </c>
      <c r="L11" s="9">
        <f t="shared" si="1"/>
        <v>22631</v>
      </c>
      <c r="M11" s="9">
        <f t="shared" si="2"/>
        <v>0</v>
      </c>
      <c r="N11" s="10">
        <f t="shared" si="3"/>
        <v>22631</v>
      </c>
      <c r="O11" s="3" t="s">
        <v>68</v>
      </c>
      <c r="P11" s="3" t="s">
        <v>27</v>
      </c>
      <c r="Q11" s="3" t="s">
        <v>19</v>
      </c>
    </row>
    <row r="12" spans="1:17" x14ac:dyDescent="0.25">
      <c r="A12" s="2" t="s">
        <v>69</v>
      </c>
      <c r="B12" s="4">
        <v>45043</v>
      </c>
      <c r="C12" s="4" t="str">
        <f t="shared" si="0"/>
        <v>Apr</v>
      </c>
      <c r="D12" s="2" t="s">
        <v>336</v>
      </c>
      <c r="E12" s="2" t="s">
        <v>22</v>
      </c>
      <c r="F12" s="2" t="s">
        <v>23</v>
      </c>
      <c r="G12" s="2" t="s">
        <v>31</v>
      </c>
      <c r="H12" s="2" t="s">
        <v>70</v>
      </c>
      <c r="I12" s="2">
        <v>558.98</v>
      </c>
      <c r="J12" s="2">
        <v>1</v>
      </c>
      <c r="K12" s="2">
        <v>10</v>
      </c>
      <c r="L12" s="9">
        <f t="shared" si="1"/>
        <v>558.98</v>
      </c>
      <c r="M12" s="9">
        <f t="shared" si="2"/>
        <v>55.898000000000003</v>
      </c>
      <c r="N12" s="10">
        <f t="shared" si="3"/>
        <v>503.08199999999999</v>
      </c>
      <c r="O12" s="2" t="s">
        <v>17</v>
      </c>
      <c r="P12" s="2" t="s">
        <v>39</v>
      </c>
      <c r="Q12" s="2" t="s">
        <v>53</v>
      </c>
    </row>
    <row r="13" spans="1:17" x14ac:dyDescent="0.25">
      <c r="A13" s="3" t="s">
        <v>71</v>
      </c>
      <c r="B13" s="4">
        <v>45044</v>
      </c>
      <c r="C13" s="4" t="str">
        <f t="shared" si="0"/>
        <v>Apr</v>
      </c>
      <c r="D13" s="3" t="s">
        <v>816</v>
      </c>
      <c r="E13" s="3" t="s">
        <v>47</v>
      </c>
      <c r="F13" s="3" t="s">
        <v>48</v>
      </c>
      <c r="G13" s="3" t="s">
        <v>72</v>
      </c>
      <c r="H13" s="3" t="s">
        <v>73</v>
      </c>
      <c r="I13" s="3">
        <v>357.63</v>
      </c>
      <c r="J13" s="3">
        <v>2</v>
      </c>
      <c r="K13" s="3">
        <v>0</v>
      </c>
      <c r="L13" s="9">
        <f t="shared" si="1"/>
        <v>715.26</v>
      </c>
      <c r="M13" s="9">
        <f t="shared" si="2"/>
        <v>0</v>
      </c>
      <c r="N13" s="10">
        <f t="shared" si="3"/>
        <v>715.26</v>
      </c>
      <c r="O13" s="3" t="s">
        <v>26</v>
      </c>
      <c r="P13" s="3" t="s">
        <v>52</v>
      </c>
      <c r="Q13" s="3" t="s">
        <v>19</v>
      </c>
    </row>
    <row r="14" spans="1:17" x14ac:dyDescent="0.25">
      <c r="A14" s="2" t="s">
        <v>74</v>
      </c>
      <c r="B14" s="4">
        <v>45045</v>
      </c>
      <c r="C14" s="4" t="str">
        <f t="shared" si="0"/>
        <v>Apr</v>
      </c>
      <c r="D14" s="2" t="s">
        <v>75</v>
      </c>
      <c r="E14" s="2" t="s">
        <v>76</v>
      </c>
      <c r="F14" s="2" t="s">
        <v>77</v>
      </c>
      <c r="G14" s="2" t="s">
        <v>36</v>
      </c>
      <c r="H14" s="2" t="s">
        <v>78</v>
      </c>
      <c r="I14" s="2">
        <v>92294.68</v>
      </c>
      <c r="J14" s="2">
        <v>3</v>
      </c>
      <c r="K14" s="2">
        <v>0</v>
      </c>
      <c r="L14" s="9">
        <f t="shared" si="1"/>
        <v>276884.03999999998</v>
      </c>
      <c r="M14" s="9">
        <f t="shared" si="2"/>
        <v>0</v>
      </c>
      <c r="N14" s="10">
        <f t="shared" si="3"/>
        <v>276884.03999999998</v>
      </c>
      <c r="O14" s="2" t="s">
        <v>68</v>
      </c>
      <c r="P14" s="2" t="s">
        <v>18</v>
      </c>
      <c r="Q14" s="2" t="s">
        <v>19</v>
      </c>
    </row>
    <row r="15" spans="1:17" x14ac:dyDescent="0.25">
      <c r="A15" s="3" t="s">
        <v>79</v>
      </c>
      <c r="B15" s="4">
        <v>45046</v>
      </c>
      <c r="C15" s="4" t="str">
        <f t="shared" si="0"/>
        <v>Apr</v>
      </c>
      <c r="D15" s="3" t="s">
        <v>80</v>
      </c>
      <c r="E15" s="3" t="s">
        <v>76</v>
      </c>
      <c r="F15" s="3" t="s">
        <v>77</v>
      </c>
      <c r="G15" s="3" t="s">
        <v>72</v>
      </c>
      <c r="H15" s="3" t="s">
        <v>81</v>
      </c>
      <c r="I15" s="3">
        <v>1643.4</v>
      </c>
      <c r="J15" s="3">
        <v>5</v>
      </c>
      <c r="K15" s="3">
        <v>10</v>
      </c>
      <c r="L15" s="9">
        <f t="shared" si="1"/>
        <v>8217</v>
      </c>
      <c r="M15" s="9">
        <f t="shared" si="2"/>
        <v>821.7</v>
      </c>
      <c r="N15" s="10">
        <f t="shared" si="3"/>
        <v>7395.3</v>
      </c>
      <c r="O15" s="3" t="s">
        <v>26</v>
      </c>
      <c r="P15" s="3" t="s">
        <v>27</v>
      </c>
      <c r="Q15" s="3" t="s">
        <v>60</v>
      </c>
    </row>
    <row r="16" spans="1:17" x14ac:dyDescent="0.25">
      <c r="A16" s="2" t="s">
        <v>82</v>
      </c>
      <c r="B16" s="4">
        <v>45047</v>
      </c>
      <c r="C16" s="4" t="str">
        <f t="shared" si="0"/>
        <v>May</v>
      </c>
      <c r="D16" s="2" t="s">
        <v>288</v>
      </c>
      <c r="E16" s="2" t="s">
        <v>83</v>
      </c>
      <c r="F16" s="2" t="s">
        <v>84</v>
      </c>
      <c r="G16" s="2" t="s">
        <v>72</v>
      </c>
      <c r="H16" s="2" t="s">
        <v>73</v>
      </c>
      <c r="I16" s="2">
        <v>344.62</v>
      </c>
      <c r="J16" s="2">
        <v>2</v>
      </c>
      <c r="K16" s="2">
        <v>5</v>
      </c>
      <c r="L16" s="9">
        <f t="shared" si="1"/>
        <v>689.24</v>
      </c>
      <c r="M16" s="9">
        <f t="shared" si="2"/>
        <v>34.461999999999996</v>
      </c>
      <c r="N16" s="10">
        <f t="shared" si="3"/>
        <v>654.77800000000002</v>
      </c>
      <c r="O16" s="2" t="s">
        <v>26</v>
      </c>
      <c r="P16" s="2" t="s">
        <v>27</v>
      </c>
      <c r="Q16" s="2" t="s">
        <v>34</v>
      </c>
    </row>
    <row r="17" spans="1:17" x14ac:dyDescent="0.25">
      <c r="A17" s="3" t="s">
        <v>85</v>
      </c>
      <c r="B17" s="4">
        <v>45048</v>
      </c>
      <c r="C17" s="4" t="str">
        <f t="shared" si="0"/>
        <v>May</v>
      </c>
      <c r="D17" s="3" t="s">
        <v>86</v>
      </c>
      <c r="E17" s="3" t="s">
        <v>87</v>
      </c>
      <c r="F17" s="3" t="s">
        <v>88</v>
      </c>
      <c r="G17" s="3" t="s">
        <v>43</v>
      </c>
      <c r="H17" s="3" t="s">
        <v>89</v>
      </c>
      <c r="I17" s="3">
        <v>4456.34</v>
      </c>
      <c r="J17" s="3">
        <v>2</v>
      </c>
      <c r="K17" s="3">
        <v>10</v>
      </c>
      <c r="L17" s="9">
        <f t="shared" si="1"/>
        <v>8912.68</v>
      </c>
      <c r="M17" s="9">
        <f t="shared" si="2"/>
        <v>891.26800000000003</v>
      </c>
      <c r="N17" s="10">
        <f t="shared" si="3"/>
        <v>8021.4120000000003</v>
      </c>
      <c r="O17" s="7" t="s">
        <v>508</v>
      </c>
      <c r="P17" s="3" t="s">
        <v>18</v>
      </c>
      <c r="Q17" s="3" t="s">
        <v>40</v>
      </c>
    </row>
    <row r="18" spans="1:17" x14ac:dyDescent="0.25">
      <c r="A18" s="3" t="s">
        <v>93</v>
      </c>
      <c r="B18" s="4">
        <v>45050</v>
      </c>
      <c r="C18" s="4" t="str">
        <f t="shared" si="0"/>
        <v>May</v>
      </c>
      <c r="D18" s="3" t="s">
        <v>94</v>
      </c>
      <c r="E18" s="3" t="s">
        <v>47</v>
      </c>
      <c r="F18" s="3" t="s">
        <v>48</v>
      </c>
      <c r="G18" s="3" t="s">
        <v>15</v>
      </c>
      <c r="H18" s="3" t="s">
        <v>95</v>
      </c>
      <c r="I18" s="3">
        <v>1131.42</v>
      </c>
      <c r="J18" s="3">
        <v>2</v>
      </c>
      <c r="K18" s="3">
        <v>5</v>
      </c>
      <c r="L18" s="9">
        <f t="shared" si="1"/>
        <v>2262.84</v>
      </c>
      <c r="M18" s="9">
        <f t="shared" si="2"/>
        <v>113.14200000000001</v>
      </c>
      <c r="N18" s="10">
        <f t="shared" si="3"/>
        <v>2149.6980000000003</v>
      </c>
      <c r="O18" s="3" t="s">
        <v>17</v>
      </c>
      <c r="P18" s="3" t="s">
        <v>18</v>
      </c>
      <c r="Q18" s="3" t="s">
        <v>53</v>
      </c>
    </row>
    <row r="19" spans="1:17" x14ac:dyDescent="0.25">
      <c r="A19" s="3" t="s">
        <v>96</v>
      </c>
      <c r="B19" s="4">
        <v>45052</v>
      </c>
      <c r="C19" s="4" t="str">
        <f t="shared" si="0"/>
        <v>May</v>
      </c>
      <c r="D19" s="3" t="s">
        <v>97</v>
      </c>
      <c r="E19" s="3" t="s">
        <v>22</v>
      </c>
      <c r="F19" s="3" t="s">
        <v>23</v>
      </c>
      <c r="G19" s="7" t="s">
        <v>36</v>
      </c>
      <c r="H19" s="3" t="s">
        <v>37</v>
      </c>
      <c r="I19" s="3">
        <v>12547.71</v>
      </c>
      <c r="J19" s="3">
        <v>1</v>
      </c>
      <c r="K19" s="3">
        <v>5</v>
      </c>
      <c r="L19" s="9">
        <f t="shared" si="1"/>
        <v>12547.71</v>
      </c>
      <c r="M19" s="9">
        <f t="shared" si="2"/>
        <v>627.38549999999998</v>
      </c>
      <c r="N19" s="10">
        <f t="shared" si="3"/>
        <v>11920.324499999999</v>
      </c>
      <c r="O19" s="3" t="s">
        <v>26</v>
      </c>
      <c r="P19" s="3" t="s">
        <v>18</v>
      </c>
      <c r="Q19" s="3" t="s">
        <v>19</v>
      </c>
    </row>
    <row r="20" spans="1:17" x14ac:dyDescent="0.25">
      <c r="A20" s="2" t="s">
        <v>99</v>
      </c>
      <c r="B20" s="4">
        <v>45053</v>
      </c>
      <c r="C20" s="4" t="str">
        <f t="shared" si="0"/>
        <v>May</v>
      </c>
      <c r="D20" s="2" t="s">
        <v>541</v>
      </c>
      <c r="E20" s="2" t="s">
        <v>100</v>
      </c>
      <c r="F20" s="2" t="s">
        <v>88</v>
      </c>
      <c r="G20" s="2" t="s">
        <v>31</v>
      </c>
      <c r="H20" s="2" t="s">
        <v>70</v>
      </c>
      <c r="I20" s="2">
        <v>569.98</v>
      </c>
      <c r="J20" s="2">
        <v>1</v>
      </c>
      <c r="K20" s="2">
        <v>15</v>
      </c>
      <c r="L20" s="9">
        <f t="shared" si="1"/>
        <v>569.98</v>
      </c>
      <c r="M20" s="9">
        <f t="shared" si="2"/>
        <v>85.497000000000014</v>
      </c>
      <c r="N20" s="10">
        <f t="shared" si="3"/>
        <v>484.483</v>
      </c>
      <c r="O20" s="2" t="s">
        <v>17</v>
      </c>
      <c r="P20" s="2" t="s">
        <v>18</v>
      </c>
      <c r="Q20" s="2" t="s">
        <v>40</v>
      </c>
    </row>
    <row r="21" spans="1:17" x14ac:dyDescent="0.25">
      <c r="A21" s="3" t="s">
        <v>101</v>
      </c>
      <c r="B21" s="4">
        <v>45054</v>
      </c>
      <c r="C21" s="4" t="str">
        <f t="shared" si="0"/>
        <v>May</v>
      </c>
      <c r="D21" s="3" t="s">
        <v>169</v>
      </c>
      <c r="E21" s="3" t="s">
        <v>22</v>
      </c>
      <c r="F21" s="3" t="s">
        <v>23</v>
      </c>
      <c r="G21" s="3" t="s">
        <v>72</v>
      </c>
      <c r="H21" s="3" t="s">
        <v>102</v>
      </c>
      <c r="I21" s="3">
        <v>606.62</v>
      </c>
      <c r="J21" s="3">
        <v>4</v>
      </c>
      <c r="K21" s="3">
        <v>0</v>
      </c>
      <c r="L21" s="9">
        <f t="shared" si="1"/>
        <v>2426.48</v>
      </c>
      <c r="M21" s="9">
        <f t="shared" si="2"/>
        <v>0</v>
      </c>
      <c r="N21" s="10">
        <f t="shared" si="3"/>
        <v>2426.48</v>
      </c>
      <c r="O21" s="3" t="s">
        <v>26</v>
      </c>
      <c r="P21" s="3" t="s">
        <v>39</v>
      </c>
      <c r="Q21" s="3" t="s">
        <v>60</v>
      </c>
    </row>
    <row r="22" spans="1:17" x14ac:dyDescent="0.25">
      <c r="A22" s="2" t="s">
        <v>103</v>
      </c>
      <c r="B22" s="4">
        <v>45055</v>
      </c>
      <c r="C22" s="4" t="str">
        <f t="shared" si="0"/>
        <v>May</v>
      </c>
      <c r="D22" s="2" t="s">
        <v>104</v>
      </c>
      <c r="E22" s="2" t="s">
        <v>13</v>
      </c>
      <c r="F22" s="2" t="s">
        <v>14</v>
      </c>
      <c r="G22" s="2" t="s">
        <v>43</v>
      </c>
      <c r="H22" s="2" t="s">
        <v>105</v>
      </c>
      <c r="I22" s="2">
        <v>3038.85</v>
      </c>
      <c r="J22" s="2">
        <v>4</v>
      </c>
      <c r="K22" s="2">
        <v>15</v>
      </c>
      <c r="L22" s="9">
        <f t="shared" si="1"/>
        <v>12155.4</v>
      </c>
      <c r="M22" s="9">
        <f t="shared" si="2"/>
        <v>1823.31</v>
      </c>
      <c r="N22" s="10">
        <f t="shared" si="3"/>
        <v>10332.09</v>
      </c>
      <c r="O22" s="2" t="s">
        <v>33</v>
      </c>
      <c r="P22" s="2" t="s">
        <v>27</v>
      </c>
      <c r="Q22" s="2" t="s">
        <v>19</v>
      </c>
    </row>
    <row r="23" spans="1:17" x14ac:dyDescent="0.25">
      <c r="A23" s="3" t="s">
        <v>106</v>
      </c>
      <c r="B23" s="4">
        <v>45056</v>
      </c>
      <c r="C23" s="4" t="str">
        <f t="shared" si="0"/>
        <v>May</v>
      </c>
      <c r="D23" s="3" t="s">
        <v>107</v>
      </c>
      <c r="E23" s="3" t="s">
        <v>100</v>
      </c>
      <c r="F23" s="3" t="s">
        <v>88</v>
      </c>
      <c r="G23" s="3" t="s">
        <v>24</v>
      </c>
      <c r="H23" s="3" t="s">
        <v>108</v>
      </c>
      <c r="I23" s="3">
        <v>7548.32</v>
      </c>
      <c r="J23" s="3">
        <v>1</v>
      </c>
      <c r="K23" s="3">
        <v>0</v>
      </c>
      <c r="L23" s="9">
        <f t="shared" si="1"/>
        <v>7548.32</v>
      </c>
      <c r="M23" s="9">
        <f t="shared" si="2"/>
        <v>0</v>
      </c>
      <c r="N23" s="10">
        <f t="shared" si="3"/>
        <v>7548.32</v>
      </c>
      <c r="O23" s="3" t="s">
        <v>17</v>
      </c>
      <c r="P23" s="3" t="s">
        <v>18</v>
      </c>
      <c r="Q23" s="3" t="s">
        <v>34</v>
      </c>
    </row>
    <row r="24" spans="1:17" x14ac:dyDescent="0.25">
      <c r="A24" s="2" t="s">
        <v>109</v>
      </c>
      <c r="B24" s="4">
        <v>45057</v>
      </c>
      <c r="C24" s="4" t="str">
        <f t="shared" si="0"/>
        <v>May</v>
      </c>
      <c r="D24" s="2" t="s">
        <v>1363</v>
      </c>
      <c r="E24" s="2" t="s">
        <v>76</v>
      </c>
      <c r="F24" s="2" t="s">
        <v>77</v>
      </c>
      <c r="G24" s="2" t="s">
        <v>110</v>
      </c>
      <c r="H24" s="2" t="s">
        <v>111</v>
      </c>
      <c r="I24" s="2">
        <v>8849.1200000000008</v>
      </c>
      <c r="J24" s="2">
        <v>5</v>
      </c>
      <c r="K24" s="2">
        <v>0</v>
      </c>
      <c r="L24" s="9">
        <f t="shared" si="1"/>
        <v>44245.600000000006</v>
      </c>
      <c r="M24" s="9">
        <f t="shared" si="2"/>
        <v>0</v>
      </c>
      <c r="N24" s="10">
        <f t="shared" si="3"/>
        <v>44245.600000000006</v>
      </c>
      <c r="O24" s="2" t="s">
        <v>26</v>
      </c>
      <c r="P24" s="2" t="s">
        <v>18</v>
      </c>
      <c r="Q24" s="2" t="s">
        <v>19</v>
      </c>
    </row>
    <row r="25" spans="1:17" x14ac:dyDescent="0.25">
      <c r="A25" s="3" t="s">
        <v>112</v>
      </c>
      <c r="B25" s="4">
        <v>45058</v>
      </c>
      <c r="C25" s="4" t="str">
        <f t="shared" si="0"/>
        <v>May</v>
      </c>
      <c r="D25" s="3" t="s">
        <v>46</v>
      </c>
      <c r="E25" s="3" t="s">
        <v>65</v>
      </c>
      <c r="F25" s="3" t="s">
        <v>66</v>
      </c>
      <c r="G25" s="3" t="s">
        <v>36</v>
      </c>
      <c r="H25" s="3" t="s">
        <v>113</v>
      </c>
      <c r="I25" s="3">
        <v>113909.17</v>
      </c>
      <c r="J25" s="3">
        <v>5</v>
      </c>
      <c r="K25" s="3">
        <v>15</v>
      </c>
      <c r="L25" s="9">
        <f t="shared" si="1"/>
        <v>569545.85</v>
      </c>
      <c r="M25" s="9">
        <f t="shared" si="2"/>
        <v>85431.877500000002</v>
      </c>
      <c r="N25" s="10">
        <f t="shared" si="3"/>
        <v>484113.97249999997</v>
      </c>
      <c r="O25" s="7" t="s">
        <v>508</v>
      </c>
      <c r="P25" s="3" t="s">
        <v>18</v>
      </c>
      <c r="Q25" s="3" t="s">
        <v>60</v>
      </c>
    </row>
    <row r="26" spans="1:17" x14ac:dyDescent="0.25">
      <c r="A26" s="3" t="s">
        <v>117</v>
      </c>
      <c r="B26" s="4">
        <v>45060</v>
      </c>
      <c r="C26" s="4" t="str">
        <f t="shared" si="0"/>
        <v>May</v>
      </c>
      <c r="D26" s="3" t="s">
        <v>118</v>
      </c>
      <c r="E26" s="3" t="s">
        <v>76</v>
      </c>
      <c r="F26" s="3" t="s">
        <v>77</v>
      </c>
      <c r="G26" s="3" t="s">
        <v>31</v>
      </c>
      <c r="H26" s="3" t="s">
        <v>32</v>
      </c>
      <c r="I26" s="3">
        <v>2254.66</v>
      </c>
      <c r="J26" s="3">
        <v>5</v>
      </c>
      <c r="K26" s="3">
        <v>0</v>
      </c>
      <c r="L26" s="9">
        <f t="shared" si="1"/>
        <v>11273.3</v>
      </c>
      <c r="M26" s="9">
        <f t="shared" si="2"/>
        <v>0</v>
      </c>
      <c r="N26" s="10">
        <f t="shared" si="3"/>
        <v>11273.3</v>
      </c>
      <c r="O26" s="3" t="s">
        <v>68</v>
      </c>
      <c r="P26" s="3" t="s">
        <v>18</v>
      </c>
      <c r="Q26" s="3" t="s">
        <v>19</v>
      </c>
    </row>
    <row r="27" spans="1:17" x14ac:dyDescent="0.25">
      <c r="A27" s="3" t="s">
        <v>119</v>
      </c>
      <c r="B27" s="4">
        <v>45062</v>
      </c>
      <c r="C27" s="4" t="str">
        <f t="shared" si="0"/>
        <v>May</v>
      </c>
      <c r="D27" s="3" t="s">
        <v>120</v>
      </c>
      <c r="E27" s="3" t="s">
        <v>83</v>
      </c>
      <c r="F27" s="3" t="s">
        <v>84</v>
      </c>
      <c r="G27" s="3" t="s">
        <v>36</v>
      </c>
      <c r="H27" s="3" t="s">
        <v>121</v>
      </c>
      <c r="I27" s="3">
        <v>101024.98</v>
      </c>
      <c r="J27" s="3">
        <v>3</v>
      </c>
      <c r="K27" s="3">
        <v>0</v>
      </c>
      <c r="L27" s="9">
        <f t="shared" si="1"/>
        <v>303074.94</v>
      </c>
      <c r="M27" s="9">
        <f t="shared" si="2"/>
        <v>0</v>
      </c>
      <c r="N27" s="10">
        <f t="shared" si="3"/>
        <v>303074.94</v>
      </c>
      <c r="O27" s="3" t="s">
        <v>68</v>
      </c>
      <c r="P27" s="3" t="s">
        <v>18</v>
      </c>
      <c r="Q27" s="3" t="s">
        <v>34</v>
      </c>
    </row>
    <row r="28" spans="1:17" x14ac:dyDescent="0.25">
      <c r="A28" s="2" t="s">
        <v>122</v>
      </c>
      <c r="B28" s="4">
        <v>45063</v>
      </c>
      <c r="C28" s="4" t="str">
        <f t="shared" si="0"/>
        <v>May</v>
      </c>
      <c r="D28" s="2" t="s">
        <v>455</v>
      </c>
      <c r="E28" s="2" t="s">
        <v>83</v>
      </c>
      <c r="F28" s="2" t="s">
        <v>84</v>
      </c>
      <c r="G28" s="2" t="s">
        <v>24</v>
      </c>
      <c r="H28" s="2" t="s">
        <v>108</v>
      </c>
      <c r="I28" s="2">
        <v>7650.81</v>
      </c>
      <c r="J28" s="2">
        <v>2</v>
      </c>
      <c r="K28" s="2">
        <v>10</v>
      </c>
      <c r="L28" s="9">
        <f t="shared" si="1"/>
        <v>15301.62</v>
      </c>
      <c r="M28" s="9">
        <f t="shared" si="2"/>
        <v>1530.162</v>
      </c>
      <c r="N28" s="10">
        <f t="shared" si="3"/>
        <v>13771.458000000001</v>
      </c>
      <c r="O28" s="2" t="s">
        <v>26</v>
      </c>
      <c r="P28" s="2" t="s">
        <v>27</v>
      </c>
      <c r="Q28" s="2" t="s">
        <v>34</v>
      </c>
    </row>
    <row r="29" spans="1:17" x14ac:dyDescent="0.25">
      <c r="A29" s="3" t="s">
        <v>123</v>
      </c>
      <c r="B29" s="4">
        <v>45064</v>
      </c>
      <c r="C29" s="4" t="str">
        <f t="shared" si="0"/>
        <v>May</v>
      </c>
      <c r="D29" s="3" t="s">
        <v>653</v>
      </c>
      <c r="E29" s="3" t="s">
        <v>13</v>
      </c>
      <c r="F29" s="3" t="s">
        <v>14</v>
      </c>
      <c r="G29" s="3" t="s">
        <v>36</v>
      </c>
      <c r="H29" s="3" t="s">
        <v>121</v>
      </c>
      <c r="I29" s="3">
        <v>93547.94</v>
      </c>
      <c r="J29" s="3">
        <v>3</v>
      </c>
      <c r="K29" s="3">
        <v>15</v>
      </c>
      <c r="L29" s="9">
        <f t="shared" si="1"/>
        <v>280643.82</v>
      </c>
      <c r="M29" s="9">
        <f t="shared" si="2"/>
        <v>42096.572999999997</v>
      </c>
      <c r="N29" s="10">
        <f t="shared" si="3"/>
        <v>238547.247</v>
      </c>
      <c r="O29" s="3" t="s">
        <v>68</v>
      </c>
      <c r="P29" s="3" t="s">
        <v>18</v>
      </c>
      <c r="Q29" s="3" t="s">
        <v>53</v>
      </c>
    </row>
    <row r="30" spans="1:17" x14ac:dyDescent="0.25">
      <c r="A30" s="2" t="s">
        <v>124</v>
      </c>
      <c r="B30" s="4">
        <v>45065</v>
      </c>
      <c r="C30" s="4" t="str">
        <f t="shared" si="0"/>
        <v>May</v>
      </c>
      <c r="D30" s="2" t="s">
        <v>62</v>
      </c>
      <c r="E30" s="2" t="s">
        <v>76</v>
      </c>
      <c r="F30" s="2" t="s">
        <v>77</v>
      </c>
      <c r="G30" s="2" t="s">
        <v>110</v>
      </c>
      <c r="H30" s="2" t="s">
        <v>67</v>
      </c>
      <c r="I30" s="2">
        <v>4554.82</v>
      </c>
      <c r="J30" s="2">
        <v>1</v>
      </c>
      <c r="K30" s="2">
        <v>0</v>
      </c>
      <c r="L30" s="9">
        <f t="shared" si="1"/>
        <v>4554.82</v>
      </c>
      <c r="M30" s="9">
        <f t="shared" si="2"/>
        <v>0</v>
      </c>
      <c r="N30" s="10">
        <f t="shared" si="3"/>
        <v>4554.82</v>
      </c>
      <c r="O30" s="2" t="s">
        <v>26</v>
      </c>
      <c r="P30" s="2" t="s">
        <v>52</v>
      </c>
      <c r="Q30" s="2" t="s">
        <v>40</v>
      </c>
    </row>
    <row r="31" spans="1:17" x14ac:dyDescent="0.25">
      <c r="A31" s="3" t="s">
        <v>125</v>
      </c>
      <c r="B31" s="4">
        <v>45066</v>
      </c>
      <c r="C31" s="4" t="str">
        <f t="shared" si="0"/>
        <v>May</v>
      </c>
      <c r="D31" s="3" t="s">
        <v>126</v>
      </c>
      <c r="E31" s="3" t="s">
        <v>100</v>
      </c>
      <c r="F31" s="3" t="s">
        <v>88</v>
      </c>
      <c r="G31" s="3" t="s">
        <v>43</v>
      </c>
      <c r="H31" s="3" t="s">
        <v>127</v>
      </c>
      <c r="I31" s="3">
        <v>4996.01</v>
      </c>
      <c r="J31" s="3">
        <v>3</v>
      </c>
      <c r="K31" s="3">
        <v>15</v>
      </c>
      <c r="L31" s="9">
        <f t="shared" si="1"/>
        <v>14988.03</v>
      </c>
      <c r="M31" s="9">
        <f t="shared" si="2"/>
        <v>2248.2045000000003</v>
      </c>
      <c r="N31" s="10">
        <f t="shared" si="3"/>
        <v>12739.825500000001</v>
      </c>
      <c r="O31" s="3" t="s">
        <v>38</v>
      </c>
      <c r="P31" s="3" t="s">
        <v>18</v>
      </c>
      <c r="Q31" s="3" t="s">
        <v>53</v>
      </c>
    </row>
    <row r="32" spans="1:17" x14ac:dyDescent="0.25">
      <c r="A32" s="2" t="s">
        <v>128</v>
      </c>
      <c r="B32" s="4">
        <v>45067</v>
      </c>
      <c r="C32" s="4" t="str">
        <f t="shared" si="0"/>
        <v>May</v>
      </c>
      <c r="D32" s="2" t="s">
        <v>601</v>
      </c>
      <c r="E32" s="2" t="s">
        <v>83</v>
      </c>
      <c r="F32" s="2" t="s">
        <v>84</v>
      </c>
      <c r="G32" s="2" t="s">
        <v>72</v>
      </c>
      <c r="H32" s="2" t="s">
        <v>129</v>
      </c>
      <c r="I32" s="2">
        <v>1970.58</v>
      </c>
      <c r="J32" s="2">
        <v>2</v>
      </c>
      <c r="K32" s="2">
        <v>5</v>
      </c>
      <c r="L32" s="9">
        <f t="shared" si="1"/>
        <v>3941.16</v>
      </c>
      <c r="M32" s="9">
        <f t="shared" si="2"/>
        <v>197.05799999999999</v>
      </c>
      <c r="N32" s="10">
        <f t="shared" si="3"/>
        <v>3744.1019999999999</v>
      </c>
      <c r="O32" s="2" t="s">
        <v>26</v>
      </c>
      <c r="P32" s="2" t="s">
        <v>39</v>
      </c>
      <c r="Q32" s="2" t="s">
        <v>53</v>
      </c>
    </row>
    <row r="33" spans="1:17" x14ac:dyDescent="0.25">
      <c r="A33" s="3" t="s">
        <v>130</v>
      </c>
      <c r="B33" s="4">
        <v>45068</v>
      </c>
      <c r="C33" s="4" t="str">
        <f t="shared" si="0"/>
        <v>May</v>
      </c>
      <c r="D33" s="3" t="s">
        <v>131</v>
      </c>
      <c r="E33" s="3" t="s">
        <v>87</v>
      </c>
      <c r="F33" s="3" t="s">
        <v>88</v>
      </c>
      <c r="G33" s="3" t="s">
        <v>72</v>
      </c>
      <c r="H33" s="3" t="s">
        <v>129</v>
      </c>
      <c r="I33" s="3">
        <v>1908.8</v>
      </c>
      <c r="J33" s="3">
        <v>2</v>
      </c>
      <c r="K33" s="3">
        <v>5</v>
      </c>
      <c r="L33" s="9">
        <f t="shared" si="1"/>
        <v>3817.6</v>
      </c>
      <c r="M33" s="9">
        <f t="shared" si="2"/>
        <v>190.88</v>
      </c>
      <c r="N33" s="10">
        <f t="shared" si="3"/>
        <v>3626.72</v>
      </c>
      <c r="O33" s="7" t="s">
        <v>508</v>
      </c>
      <c r="P33" s="3" t="s">
        <v>39</v>
      </c>
      <c r="Q33" s="3" t="s">
        <v>40</v>
      </c>
    </row>
    <row r="34" spans="1:17" x14ac:dyDescent="0.25">
      <c r="A34" s="3" t="s">
        <v>135</v>
      </c>
      <c r="B34" s="4">
        <v>45070</v>
      </c>
      <c r="C34" s="4" t="str">
        <f t="shared" si="0"/>
        <v>May</v>
      </c>
      <c r="D34" s="3" t="s">
        <v>136</v>
      </c>
      <c r="E34" s="3" t="s">
        <v>22</v>
      </c>
      <c r="F34" s="3" t="s">
        <v>23</v>
      </c>
      <c r="G34" s="3" t="s">
        <v>72</v>
      </c>
      <c r="H34" s="3" t="s">
        <v>137</v>
      </c>
      <c r="I34" s="3">
        <v>2134.5</v>
      </c>
      <c r="J34" s="3">
        <v>5</v>
      </c>
      <c r="K34" s="3">
        <v>0</v>
      </c>
      <c r="L34" s="9">
        <f t="shared" si="1"/>
        <v>10672.5</v>
      </c>
      <c r="M34" s="9">
        <f t="shared" si="2"/>
        <v>0</v>
      </c>
      <c r="N34" s="10">
        <f t="shared" si="3"/>
        <v>10672.5</v>
      </c>
      <c r="O34" s="3" t="s">
        <v>17</v>
      </c>
      <c r="P34" s="3" t="s">
        <v>18</v>
      </c>
      <c r="Q34" s="3" t="s">
        <v>40</v>
      </c>
    </row>
    <row r="35" spans="1:17" x14ac:dyDescent="0.25">
      <c r="A35" s="3" t="s">
        <v>138</v>
      </c>
      <c r="B35" s="4">
        <v>45072</v>
      </c>
      <c r="C35" s="4" t="str">
        <f t="shared" si="0"/>
        <v>May</v>
      </c>
      <c r="D35" s="3" t="s">
        <v>139</v>
      </c>
      <c r="E35" s="3" t="s">
        <v>29</v>
      </c>
      <c r="F35" s="3" t="s">
        <v>30</v>
      </c>
      <c r="G35" s="3" t="s">
        <v>24</v>
      </c>
      <c r="H35" s="3" t="s">
        <v>108</v>
      </c>
      <c r="I35" s="3">
        <v>7271.02</v>
      </c>
      <c r="J35" s="3">
        <v>4</v>
      </c>
      <c r="K35" s="3">
        <v>15</v>
      </c>
      <c r="L35" s="9">
        <f t="shared" si="1"/>
        <v>29084.080000000002</v>
      </c>
      <c r="M35" s="9">
        <f t="shared" si="2"/>
        <v>4362.6120000000001</v>
      </c>
      <c r="N35" s="10">
        <f t="shared" si="3"/>
        <v>24721.468000000001</v>
      </c>
      <c r="O35" s="3" t="s">
        <v>17</v>
      </c>
      <c r="P35" s="3" t="s">
        <v>39</v>
      </c>
      <c r="Q35" s="3" t="s">
        <v>19</v>
      </c>
    </row>
    <row r="36" spans="1:17" x14ac:dyDescent="0.25">
      <c r="A36" s="2" t="s">
        <v>140</v>
      </c>
      <c r="B36" s="4">
        <v>45073</v>
      </c>
      <c r="C36" s="4" t="str">
        <f t="shared" si="0"/>
        <v>May</v>
      </c>
      <c r="D36" s="2" t="s">
        <v>395</v>
      </c>
      <c r="E36" s="2" t="s">
        <v>51</v>
      </c>
      <c r="F36" s="2" t="s">
        <v>14</v>
      </c>
      <c r="G36" s="2" t="s">
        <v>31</v>
      </c>
      <c r="H36" s="2" t="s">
        <v>70</v>
      </c>
      <c r="I36" s="2">
        <v>548.4</v>
      </c>
      <c r="J36" s="2">
        <v>3</v>
      </c>
      <c r="K36" s="2">
        <v>15</v>
      </c>
      <c r="L36" s="9">
        <f t="shared" si="1"/>
        <v>1645.1999999999998</v>
      </c>
      <c r="M36" s="9">
        <f t="shared" si="2"/>
        <v>246.77999999999997</v>
      </c>
      <c r="N36" s="10">
        <f t="shared" si="3"/>
        <v>1398.4199999999998</v>
      </c>
      <c r="O36" s="2" t="s">
        <v>38</v>
      </c>
      <c r="P36" s="2" t="s">
        <v>27</v>
      </c>
      <c r="Q36" s="2" t="s">
        <v>40</v>
      </c>
    </row>
    <row r="37" spans="1:17" x14ac:dyDescent="0.25">
      <c r="A37" s="3" t="s">
        <v>141</v>
      </c>
      <c r="B37" s="4">
        <v>45074</v>
      </c>
      <c r="C37" s="4" t="str">
        <f t="shared" si="0"/>
        <v>May</v>
      </c>
      <c r="D37" s="3" t="s">
        <v>851</v>
      </c>
      <c r="E37" s="3" t="s">
        <v>47</v>
      </c>
      <c r="F37" s="3" t="s">
        <v>48</v>
      </c>
      <c r="G37" s="3" t="s">
        <v>15</v>
      </c>
      <c r="H37" s="3" t="s">
        <v>95</v>
      </c>
      <c r="I37" s="3">
        <v>1158.28</v>
      </c>
      <c r="J37" s="3">
        <v>3</v>
      </c>
      <c r="K37" s="3">
        <v>15</v>
      </c>
      <c r="L37" s="9">
        <f t="shared" si="1"/>
        <v>3474.84</v>
      </c>
      <c r="M37" s="9">
        <f t="shared" si="2"/>
        <v>521.22600000000011</v>
      </c>
      <c r="N37" s="10">
        <f t="shared" si="3"/>
        <v>2953.614</v>
      </c>
      <c r="O37" s="3" t="s">
        <v>26</v>
      </c>
      <c r="P37" s="3" t="s">
        <v>18</v>
      </c>
      <c r="Q37" s="3" t="s">
        <v>60</v>
      </c>
    </row>
    <row r="38" spans="1:17" x14ac:dyDescent="0.25">
      <c r="A38" s="2" t="s">
        <v>142</v>
      </c>
      <c r="B38" s="4">
        <v>45075</v>
      </c>
      <c r="C38" s="4" t="str">
        <f t="shared" si="0"/>
        <v>May</v>
      </c>
      <c r="D38" s="2" t="s">
        <v>143</v>
      </c>
      <c r="E38" s="2" t="s">
        <v>100</v>
      </c>
      <c r="F38" s="2" t="s">
        <v>88</v>
      </c>
      <c r="G38" s="2" t="s">
        <v>110</v>
      </c>
      <c r="H38" s="2" t="s">
        <v>111</v>
      </c>
      <c r="I38" s="2">
        <v>9121.7999999999993</v>
      </c>
      <c r="J38" s="2">
        <v>5</v>
      </c>
      <c r="K38" s="2">
        <v>5</v>
      </c>
      <c r="L38" s="9">
        <f t="shared" si="1"/>
        <v>45609</v>
      </c>
      <c r="M38" s="9">
        <f t="shared" si="2"/>
        <v>2280.4499999999998</v>
      </c>
      <c r="N38" s="10">
        <f t="shared" si="3"/>
        <v>43328.55</v>
      </c>
      <c r="O38" s="2" t="s">
        <v>38</v>
      </c>
      <c r="P38" s="2" t="s">
        <v>18</v>
      </c>
      <c r="Q38" s="2" t="s">
        <v>53</v>
      </c>
    </row>
    <row r="39" spans="1:17" x14ac:dyDescent="0.25">
      <c r="A39" s="3" t="s">
        <v>144</v>
      </c>
      <c r="B39" s="4">
        <v>45076</v>
      </c>
      <c r="C39" s="4" t="str">
        <f t="shared" si="0"/>
        <v>May</v>
      </c>
      <c r="D39" s="3" t="s">
        <v>115</v>
      </c>
      <c r="E39" s="3" t="s">
        <v>87</v>
      </c>
      <c r="F39" s="3" t="s">
        <v>88</v>
      </c>
      <c r="G39" s="3" t="s">
        <v>43</v>
      </c>
      <c r="H39" s="3" t="s">
        <v>145</v>
      </c>
      <c r="I39" s="3">
        <v>11861.18</v>
      </c>
      <c r="J39" s="3">
        <v>2</v>
      </c>
      <c r="K39" s="3">
        <v>15</v>
      </c>
      <c r="L39" s="9">
        <f t="shared" si="1"/>
        <v>23722.36</v>
      </c>
      <c r="M39" s="9">
        <f t="shared" si="2"/>
        <v>3558.3540000000003</v>
      </c>
      <c r="N39" s="10">
        <f t="shared" si="3"/>
        <v>20164.006000000001</v>
      </c>
      <c r="O39" s="3" t="s">
        <v>33</v>
      </c>
      <c r="P39" s="3" t="s">
        <v>39</v>
      </c>
      <c r="Q39" s="3" t="s">
        <v>53</v>
      </c>
    </row>
    <row r="40" spans="1:17" x14ac:dyDescent="0.25">
      <c r="A40" s="2" t="s">
        <v>146</v>
      </c>
      <c r="B40" s="4">
        <v>45077</v>
      </c>
      <c r="C40" s="4" t="str">
        <f t="shared" si="0"/>
        <v>May</v>
      </c>
      <c r="D40" s="2" t="s">
        <v>369</v>
      </c>
      <c r="E40" s="2" t="s">
        <v>83</v>
      </c>
      <c r="F40" s="2" t="s">
        <v>84</v>
      </c>
      <c r="G40" s="2" t="s">
        <v>15</v>
      </c>
      <c r="H40" s="2" t="s">
        <v>56</v>
      </c>
      <c r="I40" s="2">
        <v>1740.67</v>
      </c>
      <c r="J40" s="2">
        <v>2</v>
      </c>
      <c r="K40" s="2">
        <v>0</v>
      </c>
      <c r="L40" s="9">
        <f t="shared" si="1"/>
        <v>3481.34</v>
      </c>
      <c r="M40" s="9">
        <f t="shared" si="2"/>
        <v>0</v>
      </c>
      <c r="N40" s="10">
        <f t="shared" si="3"/>
        <v>3481.34</v>
      </c>
      <c r="O40" s="2" t="s">
        <v>38</v>
      </c>
      <c r="P40" s="2" t="s">
        <v>18</v>
      </c>
      <c r="Q40" s="2" t="s">
        <v>53</v>
      </c>
    </row>
    <row r="41" spans="1:17" x14ac:dyDescent="0.25">
      <c r="A41" s="3" t="s">
        <v>147</v>
      </c>
      <c r="B41" s="4">
        <v>45078</v>
      </c>
      <c r="C41" s="4" t="str">
        <f t="shared" si="0"/>
        <v>Jun</v>
      </c>
      <c r="D41" s="3" t="s">
        <v>148</v>
      </c>
      <c r="E41" s="3" t="s">
        <v>51</v>
      </c>
      <c r="F41" s="3" t="s">
        <v>14</v>
      </c>
      <c r="G41" s="3" t="s">
        <v>43</v>
      </c>
      <c r="H41" s="3" t="s">
        <v>89</v>
      </c>
      <c r="I41" s="3">
        <v>4814.76</v>
      </c>
      <c r="J41" s="3">
        <v>1</v>
      </c>
      <c r="K41" s="3">
        <v>0</v>
      </c>
      <c r="L41" s="9">
        <f t="shared" si="1"/>
        <v>4814.76</v>
      </c>
      <c r="M41" s="9">
        <f t="shared" si="2"/>
        <v>0</v>
      </c>
      <c r="N41" s="10">
        <f t="shared" si="3"/>
        <v>4814.76</v>
      </c>
      <c r="O41" s="7" t="s">
        <v>508</v>
      </c>
      <c r="P41" s="3" t="s">
        <v>27</v>
      </c>
      <c r="Q41" s="3" t="s">
        <v>19</v>
      </c>
    </row>
    <row r="42" spans="1:17" x14ac:dyDescent="0.25">
      <c r="A42" s="3" t="s">
        <v>151</v>
      </c>
      <c r="B42" s="4">
        <v>45080</v>
      </c>
      <c r="C42" s="4" t="str">
        <f t="shared" si="0"/>
        <v>Jun</v>
      </c>
      <c r="D42" s="3" t="s">
        <v>152</v>
      </c>
      <c r="E42" s="3" t="s">
        <v>13</v>
      </c>
      <c r="F42" s="3" t="s">
        <v>14</v>
      </c>
      <c r="G42" s="3" t="s">
        <v>110</v>
      </c>
      <c r="H42" s="3" t="s">
        <v>153</v>
      </c>
      <c r="I42" s="3">
        <v>3792.23</v>
      </c>
      <c r="J42" s="3">
        <v>1</v>
      </c>
      <c r="K42" s="3">
        <v>15</v>
      </c>
      <c r="L42" s="9">
        <f t="shared" si="1"/>
        <v>3792.23</v>
      </c>
      <c r="M42" s="9">
        <f t="shared" si="2"/>
        <v>568.83449999999993</v>
      </c>
      <c r="N42" s="10">
        <f t="shared" si="3"/>
        <v>3223.3955000000001</v>
      </c>
      <c r="O42" s="3" t="s">
        <v>26</v>
      </c>
      <c r="P42" s="3" t="s">
        <v>39</v>
      </c>
      <c r="Q42" s="3" t="s">
        <v>60</v>
      </c>
    </row>
    <row r="43" spans="1:17" x14ac:dyDescent="0.25">
      <c r="A43" s="3" t="s">
        <v>154</v>
      </c>
      <c r="B43" s="4">
        <v>45082</v>
      </c>
      <c r="C43" s="4" t="str">
        <f t="shared" si="0"/>
        <v>Jun</v>
      </c>
      <c r="D43" s="3" t="s">
        <v>155</v>
      </c>
      <c r="E43" s="3" t="s">
        <v>47</v>
      </c>
      <c r="F43" s="3" t="s">
        <v>48</v>
      </c>
      <c r="G43" s="3" t="s">
        <v>72</v>
      </c>
      <c r="H43" s="3" t="s">
        <v>102</v>
      </c>
      <c r="I43" s="3">
        <v>694.18</v>
      </c>
      <c r="J43" s="3">
        <v>3</v>
      </c>
      <c r="K43" s="3">
        <v>0</v>
      </c>
      <c r="L43" s="9">
        <f t="shared" si="1"/>
        <v>2082.54</v>
      </c>
      <c r="M43" s="9">
        <f t="shared" si="2"/>
        <v>0</v>
      </c>
      <c r="N43" s="10">
        <f t="shared" si="3"/>
        <v>2082.54</v>
      </c>
      <c r="O43" s="3" t="s">
        <v>33</v>
      </c>
      <c r="P43" s="3" t="s">
        <v>27</v>
      </c>
      <c r="Q43" s="3" t="s">
        <v>53</v>
      </c>
    </row>
    <row r="44" spans="1:17" x14ac:dyDescent="0.25">
      <c r="A44" s="2" t="s">
        <v>156</v>
      </c>
      <c r="B44" s="4">
        <v>45083</v>
      </c>
      <c r="C44" s="4" t="str">
        <f t="shared" si="0"/>
        <v>Jun</v>
      </c>
      <c r="D44" s="2" t="s">
        <v>263</v>
      </c>
      <c r="E44" s="2" t="s">
        <v>47</v>
      </c>
      <c r="F44" s="2" t="s">
        <v>48</v>
      </c>
      <c r="G44" s="2" t="s">
        <v>24</v>
      </c>
      <c r="H44" s="2" t="s">
        <v>108</v>
      </c>
      <c r="I44" s="2">
        <v>7737.36</v>
      </c>
      <c r="J44" s="2">
        <v>5</v>
      </c>
      <c r="K44" s="2">
        <v>5</v>
      </c>
      <c r="L44" s="9">
        <f t="shared" si="1"/>
        <v>38686.799999999996</v>
      </c>
      <c r="M44" s="9">
        <f t="shared" si="2"/>
        <v>1934.3399999999997</v>
      </c>
      <c r="N44" s="10">
        <f t="shared" si="3"/>
        <v>36752.46</v>
      </c>
      <c r="O44" s="2" t="s">
        <v>26</v>
      </c>
      <c r="P44" s="2" t="s">
        <v>18</v>
      </c>
      <c r="Q44" s="2" t="s">
        <v>53</v>
      </c>
    </row>
    <row r="45" spans="1:17" x14ac:dyDescent="0.25">
      <c r="A45" s="3" t="s">
        <v>157</v>
      </c>
      <c r="B45" s="4">
        <v>45084</v>
      </c>
      <c r="C45" s="4" t="str">
        <f t="shared" si="0"/>
        <v>Jun</v>
      </c>
      <c r="D45" s="3" t="s">
        <v>219</v>
      </c>
      <c r="E45" s="3" t="s">
        <v>51</v>
      </c>
      <c r="F45" s="3" t="s">
        <v>14</v>
      </c>
      <c r="G45" s="3" t="s">
        <v>36</v>
      </c>
      <c r="H45" s="3" t="s">
        <v>37</v>
      </c>
      <c r="I45" s="3">
        <v>11778.24</v>
      </c>
      <c r="J45" s="3">
        <v>5</v>
      </c>
      <c r="K45" s="3">
        <v>5</v>
      </c>
      <c r="L45" s="9">
        <f t="shared" si="1"/>
        <v>58891.199999999997</v>
      </c>
      <c r="M45" s="9">
        <f t="shared" si="2"/>
        <v>2944.56</v>
      </c>
      <c r="N45" s="10">
        <f t="shared" si="3"/>
        <v>55946.64</v>
      </c>
      <c r="O45" s="3" t="s">
        <v>33</v>
      </c>
      <c r="P45" s="3" t="s">
        <v>18</v>
      </c>
      <c r="Q45" s="3" t="s">
        <v>53</v>
      </c>
    </row>
    <row r="46" spans="1:17" x14ac:dyDescent="0.25">
      <c r="A46" s="2" t="s">
        <v>158</v>
      </c>
      <c r="B46" s="4">
        <v>45085</v>
      </c>
      <c r="C46" s="4" t="str">
        <f t="shared" si="0"/>
        <v>Jun</v>
      </c>
      <c r="D46" s="2" t="s">
        <v>159</v>
      </c>
      <c r="E46" s="2" t="s">
        <v>13</v>
      </c>
      <c r="F46" s="2" t="s">
        <v>14</v>
      </c>
      <c r="G46" s="2" t="s">
        <v>72</v>
      </c>
      <c r="H46" s="2" t="s">
        <v>73</v>
      </c>
      <c r="I46" s="2">
        <v>341.63</v>
      </c>
      <c r="J46" s="2">
        <v>1</v>
      </c>
      <c r="K46" s="2">
        <v>5</v>
      </c>
      <c r="L46" s="9">
        <f t="shared" si="1"/>
        <v>341.63</v>
      </c>
      <c r="M46" s="9">
        <f t="shared" si="2"/>
        <v>17.081500000000002</v>
      </c>
      <c r="N46" s="10">
        <f t="shared" si="3"/>
        <v>324.54849999999999</v>
      </c>
      <c r="O46" s="2" t="s">
        <v>38</v>
      </c>
      <c r="P46" s="2" t="s">
        <v>39</v>
      </c>
      <c r="Q46" s="2" t="s">
        <v>60</v>
      </c>
    </row>
    <row r="47" spans="1:17" x14ac:dyDescent="0.25">
      <c r="A47" s="3" t="s">
        <v>160</v>
      </c>
      <c r="B47" s="4">
        <v>45086</v>
      </c>
      <c r="C47" s="4" t="str">
        <f t="shared" si="0"/>
        <v>Jun</v>
      </c>
      <c r="D47" s="3" t="s">
        <v>161</v>
      </c>
      <c r="E47" s="3" t="s">
        <v>83</v>
      </c>
      <c r="F47" s="3" t="s">
        <v>84</v>
      </c>
      <c r="G47" s="3" t="s">
        <v>72</v>
      </c>
      <c r="H47" s="3" t="s">
        <v>73</v>
      </c>
      <c r="I47" s="3">
        <v>377.85</v>
      </c>
      <c r="J47" s="3">
        <v>4</v>
      </c>
      <c r="K47" s="3">
        <v>0</v>
      </c>
      <c r="L47" s="9">
        <f t="shared" si="1"/>
        <v>1511.4</v>
      </c>
      <c r="M47" s="9">
        <f t="shared" si="2"/>
        <v>0</v>
      </c>
      <c r="N47" s="10">
        <f t="shared" si="3"/>
        <v>1511.4</v>
      </c>
      <c r="O47" s="3" t="s">
        <v>38</v>
      </c>
      <c r="P47" s="3" t="s">
        <v>18</v>
      </c>
      <c r="Q47" s="3" t="s">
        <v>60</v>
      </c>
    </row>
    <row r="48" spans="1:17" x14ac:dyDescent="0.25">
      <c r="A48" s="2" t="s">
        <v>162</v>
      </c>
      <c r="B48" s="4">
        <v>45087</v>
      </c>
      <c r="C48" s="4" t="str">
        <f t="shared" si="0"/>
        <v>Jun</v>
      </c>
      <c r="D48" s="2" t="s">
        <v>1044</v>
      </c>
      <c r="E48" s="2" t="s">
        <v>65</v>
      </c>
      <c r="F48" s="2" t="s">
        <v>66</v>
      </c>
      <c r="G48" s="2" t="s">
        <v>15</v>
      </c>
      <c r="H48" s="2" t="s">
        <v>163</v>
      </c>
      <c r="I48" s="2">
        <v>2670.25</v>
      </c>
      <c r="J48" s="2">
        <v>2</v>
      </c>
      <c r="K48" s="2">
        <v>10</v>
      </c>
      <c r="L48" s="9">
        <f t="shared" si="1"/>
        <v>5340.5</v>
      </c>
      <c r="M48" s="9">
        <f t="shared" si="2"/>
        <v>534.04999999999995</v>
      </c>
      <c r="N48" s="10">
        <f t="shared" si="3"/>
        <v>4806.45</v>
      </c>
      <c r="O48" s="2" t="s">
        <v>17</v>
      </c>
      <c r="P48" s="2" t="s">
        <v>18</v>
      </c>
      <c r="Q48" s="2" t="s">
        <v>60</v>
      </c>
    </row>
    <row r="49" spans="1:17" x14ac:dyDescent="0.25">
      <c r="A49" s="3" t="s">
        <v>164</v>
      </c>
      <c r="B49" s="4">
        <v>45088</v>
      </c>
      <c r="C49" s="4" t="str">
        <f t="shared" si="0"/>
        <v>Jun</v>
      </c>
      <c r="D49" s="3" t="s">
        <v>165</v>
      </c>
      <c r="E49" s="3" t="s">
        <v>13</v>
      </c>
      <c r="F49" s="3" t="s">
        <v>14</v>
      </c>
      <c r="G49" s="3" t="s">
        <v>36</v>
      </c>
      <c r="H49" s="3" t="s">
        <v>121</v>
      </c>
      <c r="I49" s="3">
        <v>93643.64</v>
      </c>
      <c r="J49" s="3">
        <v>4</v>
      </c>
      <c r="K49" s="3">
        <v>0</v>
      </c>
      <c r="L49" s="9">
        <f t="shared" si="1"/>
        <v>374574.56</v>
      </c>
      <c r="M49" s="9">
        <f t="shared" si="2"/>
        <v>0</v>
      </c>
      <c r="N49" s="10">
        <f t="shared" si="3"/>
        <v>374574.56</v>
      </c>
      <c r="O49" s="7" t="s">
        <v>508</v>
      </c>
      <c r="P49" s="3" t="s">
        <v>18</v>
      </c>
      <c r="Q49" s="3" t="s">
        <v>60</v>
      </c>
    </row>
    <row r="50" spans="1:17" x14ac:dyDescent="0.25">
      <c r="A50" s="2" t="s">
        <v>166</v>
      </c>
      <c r="B50" s="4">
        <v>45089</v>
      </c>
      <c r="C50" s="4" t="str">
        <f t="shared" si="0"/>
        <v>Jun</v>
      </c>
      <c r="D50" s="2" t="s">
        <v>167</v>
      </c>
      <c r="E50" s="2" t="s">
        <v>87</v>
      </c>
      <c r="F50" s="2" t="s">
        <v>88</v>
      </c>
      <c r="G50" s="2" t="s">
        <v>31</v>
      </c>
      <c r="H50" s="2" t="s">
        <v>70</v>
      </c>
      <c r="I50" s="2">
        <v>573.39</v>
      </c>
      <c r="J50" s="2">
        <v>4</v>
      </c>
      <c r="K50" s="2">
        <v>15</v>
      </c>
      <c r="L50" s="9">
        <f t="shared" si="1"/>
        <v>2293.56</v>
      </c>
      <c r="M50" s="9">
        <f t="shared" si="2"/>
        <v>344.03399999999999</v>
      </c>
      <c r="N50" s="10">
        <f t="shared" si="3"/>
        <v>1949.5259999999998</v>
      </c>
      <c r="O50" s="2" t="s">
        <v>68</v>
      </c>
      <c r="P50" s="2" t="s">
        <v>18</v>
      </c>
      <c r="Q50" s="2" t="s">
        <v>40</v>
      </c>
    </row>
    <row r="51" spans="1:17" x14ac:dyDescent="0.25">
      <c r="A51" s="3" t="s">
        <v>168</v>
      </c>
      <c r="B51" s="4">
        <v>45090</v>
      </c>
      <c r="C51" s="4" t="str">
        <f t="shared" si="0"/>
        <v>Jun</v>
      </c>
      <c r="D51" s="3" t="s">
        <v>169</v>
      </c>
      <c r="E51" s="3" t="s">
        <v>87</v>
      </c>
      <c r="F51" s="3" t="s">
        <v>88</v>
      </c>
      <c r="G51" s="3" t="s">
        <v>24</v>
      </c>
      <c r="H51" s="3" t="s">
        <v>170</v>
      </c>
      <c r="I51" s="3">
        <v>1096.47</v>
      </c>
      <c r="J51" s="3">
        <v>1</v>
      </c>
      <c r="K51" s="3">
        <v>10</v>
      </c>
      <c r="L51" s="9">
        <f t="shared" si="1"/>
        <v>1096.47</v>
      </c>
      <c r="M51" s="9">
        <f t="shared" si="2"/>
        <v>109.64700000000001</v>
      </c>
      <c r="N51" s="10">
        <f t="shared" si="3"/>
        <v>986.82299999999998</v>
      </c>
      <c r="O51" s="3" t="s">
        <v>26</v>
      </c>
      <c r="P51" s="3" t="s">
        <v>18</v>
      </c>
      <c r="Q51" s="3" t="s">
        <v>40</v>
      </c>
    </row>
    <row r="52" spans="1:17" x14ac:dyDescent="0.25">
      <c r="A52" s="2" t="s">
        <v>171</v>
      </c>
      <c r="B52" s="4">
        <v>45091</v>
      </c>
      <c r="C52" s="4" t="str">
        <f t="shared" si="0"/>
        <v>Jun</v>
      </c>
      <c r="D52" s="2" t="s">
        <v>60</v>
      </c>
      <c r="E52" s="2" t="s">
        <v>100</v>
      </c>
      <c r="F52" s="2" t="s">
        <v>88</v>
      </c>
      <c r="G52" s="2" t="s">
        <v>43</v>
      </c>
      <c r="H52" s="2" t="s">
        <v>44</v>
      </c>
      <c r="I52" s="2">
        <v>3544.78</v>
      </c>
      <c r="J52" s="2">
        <v>2</v>
      </c>
      <c r="K52" s="2">
        <v>10</v>
      </c>
      <c r="L52" s="9">
        <f t="shared" si="1"/>
        <v>7089.56</v>
      </c>
      <c r="M52" s="9">
        <f t="shared" si="2"/>
        <v>708.95600000000002</v>
      </c>
      <c r="N52" s="10">
        <f t="shared" si="3"/>
        <v>6380.6040000000003</v>
      </c>
      <c r="O52" s="2" t="s">
        <v>38</v>
      </c>
      <c r="P52" s="2" t="s">
        <v>39</v>
      </c>
      <c r="Q52" s="2" t="s">
        <v>34</v>
      </c>
    </row>
    <row r="53" spans="1:17" x14ac:dyDescent="0.25">
      <c r="A53" s="3" t="s">
        <v>172</v>
      </c>
      <c r="B53" s="4">
        <v>45092</v>
      </c>
      <c r="C53" s="4" t="str">
        <f t="shared" si="0"/>
        <v>Jun</v>
      </c>
      <c r="D53" s="3" t="s">
        <v>173</v>
      </c>
      <c r="E53" s="3" t="s">
        <v>22</v>
      </c>
      <c r="F53" s="3" t="s">
        <v>23</v>
      </c>
      <c r="G53" s="3" t="s">
        <v>72</v>
      </c>
      <c r="H53" s="3" t="s">
        <v>102</v>
      </c>
      <c r="I53" s="3">
        <v>710.41</v>
      </c>
      <c r="J53" s="3">
        <v>1</v>
      </c>
      <c r="K53" s="3">
        <v>15</v>
      </c>
      <c r="L53" s="9">
        <f t="shared" si="1"/>
        <v>710.41</v>
      </c>
      <c r="M53" s="9">
        <f t="shared" si="2"/>
        <v>106.5615</v>
      </c>
      <c r="N53" s="10">
        <f t="shared" si="3"/>
        <v>603.84849999999994</v>
      </c>
      <c r="O53" s="3" t="s">
        <v>68</v>
      </c>
      <c r="P53" s="3" t="s">
        <v>18</v>
      </c>
      <c r="Q53" s="3" t="s">
        <v>19</v>
      </c>
    </row>
    <row r="54" spans="1:17" x14ac:dyDescent="0.25">
      <c r="A54" s="2" t="s">
        <v>174</v>
      </c>
      <c r="B54" s="4">
        <v>45093</v>
      </c>
      <c r="C54" s="4" t="str">
        <f t="shared" si="0"/>
        <v>Jun</v>
      </c>
      <c r="D54" s="2" t="s">
        <v>418</v>
      </c>
      <c r="E54" s="2" t="s">
        <v>51</v>
      </c>
      <c r="F54" s="2" t="s">
        <v>14</v>
      </c>
      <c r="G54" s="2" t="s">
        <v>36</v>
      </c>
      <c r="H54" s="2" t="s">
        <v>113</v>
      </c>
      <c r="I54" s="2">
        <v>124574.75</v>
      </c>
      <c r="J54" s="2">
        <v>2</v>
      </c>
      <c r="K54" s="2">
        <v>0</v>
      </c>
      <c r="L54" s="9">
        <f t="shared" si="1"/>
        <v>249149.5</v>
      </c>
      <c r="M54" s="9">
        <f t="shared" si="2"/>
        <v>0</v>
      </c>
      <c r="N54" s="10">
        <f t="shared" si="3"/>
        <v>249149.5</v>
      </c>
      <c r="O54" s="2" t="s">
        <v>38</v>
      </c>
      <c r="P54" s="2" t="s">
        <v>39</v>
      </c>
      <c r="Q54" s="2" t="s">
        <v>19</v>
      </c>
    </row>
    <row r="55" spans="1:17" x14ac:dyDescent="0.25">
      <c r="A55" s="3" t="s">
        <v>175</v>
      </c>
      <c r="B55" s="4">
        <v>45094</v>
      </c>
      <c r="C55" s="4" t="str">
        <f t="shared" si="0"/>
        <v>Jun</v>
      </c>
      <c r="D55" s="3" t="s">
        <v>734</v>
      </c>
      <c r="E55" s="3" t="s">
        <v>87</v>
      </c>
      <c r="F55" s="3" t="s">
        <v>88</v>
      </c>
      <c r="G55" s="3" t="s">
        <v>110</v>
      </c>
      <c r="H55" s="3" t="s">
        <v>67</v>
      </c>
      <c r="I55" s="3">
        <v>4645.37</v>
      </c>
      <c r="J55" s="3">
        <v>1</v>
      </c>
      <c r="K55" s="3">
        <v>5</v>
      </c>
      <c r="L55" s="9">
        <f t="shared" si="1"/>
        <v>4645.37</v>
      </c>
      <c r="M55" s="9">
        <f t="shared" si="2"/>
        <v>232.26849999999999</v>
      </c>
      <c r="N55" s="10">
        <f t="shared" si="3"/>
        <v>4413.1014999999998</v>
      </c>
      <c r="O55" s="3" t="s">
        <v>38</v>
      </c>
      <c r="P55" s="3" t="s">
        <v>18</v>
      </c>
      <c r="Q55" s="3" t="s">
        <v>60</v>
      </c>
    </row>
    <row r="56" spans="1:17" x14ac:dyDescent="0.25">
      <c r="A56" s="2" t="s">
        <v>176</v>
      </c>
      <c r="B56" s="4">
        <v>45095</v>
      </c>
      <c r="C56" s="4" t="str">
        <f t="shared" si="0"/>
        <v>Jun</v>
      </c>
      <c r="D56" s="2" t="s">
        <v>139</v>
      </c>
      <c r="E56" s="2" t="s">
        <v>87</v>
      </c>
      <c r="F56" s="2" t="s">
        <v>88</v>
      </c>
      <c r="G56" s="2" t="s">
        <v>15</v>
      </c>
      <c r="H56" s="2" t="s">
        <v>95</v>
      </c>
      <c r="I56" s="2">
        <v>1249.75</v>
      </c>
      <c r="J56" s="2">
        <v>4</v>
      </c>
      <c r="K56" s="2">
        <v>10</v>
      </c>
      <c r="L56" s="9">
        <f t="shared" si="1"/>
        <v>4999</v>
      </c>
      <c r="M56" s="9">
        <f t="shared" si="2"/>
        <v>499.9</v>
      </c>
      <c r="N56" s="10">
        <f t="shared" si="3"/>
        <v>4499.1000000000004</v>
      </c>
      <c r="O56" s="2" t="s">
        <v>17</v>
      </c>
      <c r="P56" s="2" t="s">
        <v>27</v>
      </c>
      <c r="Q56" s="2" t="s">
        <v>34</v>
      </c>
    </row>
    <row r="57" spans="1:17" x14ac:dyDescent="0.25">
      <c r="A57" s="3" t="s">
        <v>177</v>
      </c>
      <c r="B57" s="4">
        <v>45096</v>
      </c>
      <c r="C57" s="4" t="str">
        <f t="shared" si="0"/>
        <v>Jun</v>
      </c>
      <c r="D57" s="3" t="s">
        <v>178</v>
      </c>
      <c r="E57" s="3" t="s">
        <v>76</v>
      </c>
      <c r="F57" s="3" t="s">
        <v>77</v>
      </c>
      <c r="G57" s="3" t="s">
        <v>43</v>
      </c>
      <c r="H57" s="3" t="s">
        <v>89</v>
      </c>
      <c r="I57" s="3">
        <v>4291.5600000000004</v>
      </c>
      <c r="J57" s="3">
        <v>2</v>
      </c>
      <c r="K57" s="3">
        <v>5</v>
      </c>
      <c r="L57" s="9">
        <f t="shared" si="1"/>
        <v>8583.1200000000008</v>
      </c>
      <c r="M57" s="9">
        <f t="shared" si="2"/>
        <v>429.15600000000006</v>
      </c>
      <c r="N57" s="10">
        <f t="shared" si="3"/>
        <v>8153.9640000000009</v>
      </c>
      <c r="O57" s="3" t="s">
        <v>38</v>
      </c>
      <c r="P57" s="3" t="s">
        <v>18</v>
      </c>
      <c r="Q57" s="3" t="s">
        <v>53</v>
      </c>
    </row>
    <row r="58" spans="1:17" x14ac:dyDescent="0.25">
      <c r="A58" s="2" t="s">
        <v>179</v>
      </c>
      <c r="B58" s="4">
        <v>45097</v>
      </c>
      <c r="C58" s="4" t="str">
        <f t="shared" si="0"/>
        <v>Jun</v>
      </c>
      <c r="D58" s="2" t="s">
        <v>115</v>
      </c>
      <c r="E58" s="2" t="s">
        <v>65</v>
      </c>
      <c r="F58" s="2" t="s">
        <v>66</v>
      </c>
      <c r="G58" s="2" t="s">
        <v>31</v>
      </c>
      <c r="H58" s="2" t="s">
        <v>32</v>
      </c>
      <c r="I58" s="2">
        <v>2497.15</v>
      </c>
      <c r="J58" s="2">
        <v>3</v>
      </c>
      <c r="K58" s="2">
        <v>0</v>
      </c>
      <c r="L58" s="9">
        <f t="shared" si="1"/>
        <v>7491.4500000000007</v>
      </c>
      <c r="M58" s="9">
        <f t="shared" si="2"/>
        <v>0</v>
      </c>
      <c r="N58" s="10">
        <f t="shared" si="3"/>
        <v>7491.4500000000007</v>
      </c>
      <c r="O58" s="2" t="s">
        <v>33</v>
      </c>
      <c r="P58" s="2" t="s">
        <v>18</v>
      </c>
      <c r="Q58" s="2" t="s">
        <v>34</v>
      </c>
    </row>
    <row r="59" spans="1:17" x14ac:dyDescent="0.25">
      <c r="A59" s="3" t="s">
        <v>180</v>
      </c>
      <c r="B59" s="4">
        <v>45098</v>
      </c>
      <c r="C59" s="4" t="str">
        <f t="shared" si="0"/>
        <v>Jun</v>
      </c>
      <c r="D59" s="3" t="s">
        <v>136</v>
      </c>
      <c r="E59" s="3" t="s">
        <v>29</v>
      </c>
      <c r="F59" s="3" t="s">
        <v>30</v>
      </c>
      <c r="G59" s="3" t="s">
        <v>15</v>
      </c>
      <c r="H59" s="3" t="s">
        <v>16</v>
      </c>
      <c r="I59" s="3">
        <v>1516.74</v>
      </c>
      <c r="J59" s="3">
        <v>5</v>
      </c>
      <c r="K59" s="3">
        <v>5</v>
      </c>
      <c r="L59" s="9">
        <f t="shared" si="1"/>
        <v>7583.7</v>
      </c>
      <c r="M59" s="9">
        <f t="shared" si="2"/>
        <v>379.185</v>
      </c>
      <c r="N59" s="10">
        <f t="shared" si="3"/>
        <v>7204.5149999999994</v>
      </c>
      <c r="O59" s="7" t="s">
        <v>508</v>
      </c>
      <c r="P59" s="3" t="s">
        <v>18</v>
      </c>
      <c r="Q59" s="3" t="s">
        <v>60</v>
      </c>
    </row>
    <row r="60" spans="1:17" x14ac:dyDescent="0.25">
      <c r="A60" s="2" t="s">
        <v>181</v>
      </c>
      <c r="B60" s="4">
        <v>45099</v>
      </c>
      <c r="C60" s="4" t="str">
        <f t="shared" si="0"/>
        <v>Jun</v>
      </c>
      <c r="D60" s="2" t="s">
        <v>91</v>
      </c>
      <c r="E60" s="2" t="s">
        <v>76</v>
      </c>
      <c r="F60" s="2" t="s">
        <v>77</v>
      </c>
      <c r="G60" s="2" t="s">
        <v>15</v>
      </c>
      <c r="H60" s="2" t="s">
        <v>95</v>
      </c>
      <c r="I60" s="2">
        <v>1187.56</v>
      </c>
      <c r="J60" s="2">
        <v>1</v>
      </c>
      <c r="K60" s="2">
        <v>15</v>
      </c>
      <c r="L60" s="9">
        <f t="shared" si="1"/>
        <v>1187.56</v>
      </c>
      <c r="M60" s="9">
        <f t="shared" si="2"/>
        <v>178.13399999999999</v>
      </c>
      <c r="N60" s="10">
        <f t="shared" si="3"/>
        <v>1009.4259999999999</v>
      </c>
      <c r="O60" s="2" t="s">
        <v>38</v>
      </c>
      <c r="P60" s="2" t="s">
        <v>18</v>
      </c>
      <c r="Q60" s="2" t="s">
        <v>60</v>
      </c>
    </row>
    <row r="61" spans="1:17" x14ac:dyDescent="0.25">
      <c r="A61" s="3" t="s">
        <v>182</v>
      </c>
      <c r="B61" s="4">
        <v>45100</v>
      </c>
      <c r="C61" s="4" t="str">
        <f t="shared" si="0"/>
        <v>Jun</v>
      </c>
      <c r="D61" s="3" t="s">
        <v>183</v>
      </c>
      <c r="E61" s="3" t="s">
        <v>29</v>
      </c>
      <c r="F61" s="3" t="s">
        <v>30</v>
      </c>
      <c r="G61" s="3" t="s">
        <v>31</v>
      </c>
      <c r="H61" s="3" t="s">
        <v>70</v>
      </c>
      <c r="I61" s="3">
        <v>606.41999999999996</v>
      </c>
      <c r="J61" s="3">
        <v>3</v>
      </c>
      <c r="K61" s="3">
        <v>15</v>
      </c>
      <c r="L61" s="9">
        <f t="shared" si="1"/>
        <v>1819.2599999999998</v>
      </c>
      <c r="M61" s="9">
        <f t="shared" si="2"/>
        <v>272.88899999999995</v>
      </c>
      <c r="N61" s="10">
        <f t="shared" si="3"/>
        <v>1546.3709999999999</v>
      </c>
      <c r="O61" s="3" t="s">
        <v>17</v>
      </c>
      <c r="P61" s="3" t="s">
        <v>18</v>
      </c>
      <c r="Q61" s="3" t="s">
        <v>34</v>
      </c>
    </row>
    <row r="62" spans="1:17" x14ac:dyDescent="0.25">
      <c r="A62" s="2" t="s">
        <v>184</v>
      </c>
      <c r="B62" s="4">
        <v>45101</v>
      </c>
      <c r="C62" s="4" t="str">
        <f t="shared" si="0"/>
        <v>Jun</v>
      </c>
      <c r="D62" s="2" t="s">
        <v>185</v>
      </c>
      <c r="E62" s="2" t="s">
        <v>47</v>
      </c>
      <c r="F62" s="2" t="s">
        <v>48</v>
      </c>
      <c r="G62" s="2" t="s">
        <v>31</v>
      </c>
      <c r="H62" s="2" t="s">
        <v>186</v>
      </c>
      <c r="I62" s="2">
        <v>739.3</v>
      </c>
      <c r="J62" s="2">
        <v>2</v>
      </c>
      <c r="K62" s="2">
        <v>50</v>
      </c>
      <c r="L62" s="9">
        <f t="shared" si="1"/>
        <v>1478.6</v>
      </c>
      <c r="M62" s="9">
        <f t="shared" si="2"/>
        <v>739.3</v>
      </c>
      <c r="N62" s="10">
        <f t="shared" si="3"/>
        <v>739.3</v>
      </c>
      <c r="O62" s="2" t="s">
        <v>68</v>
      </c>
      <c r="P62" s="2" t="s">
        <v>27</v>
      </c>
      <c r="Q62" s="2" t="s">
        <v>19</v>
      </c>
    </row>
    <row r="63" spans="1:17" x14ac:dyDescent="0.25">
      <c r="A63" s="3" t="s">
        <v>187</v>
      </c>
      <c r="B63" s="4">
        <v>45102</v>
      </c>
      <c r="C63" s="4" t="str">
        <f t="shared" si="0"/>
        <v>Jun</v>
      </c>
      <c r="D63" s="3" t="s">
        <v>188</v>
      </c>
      <c r="E63" s="3" t="s">
        <v>51</v>
      </c>
      <c r="F63" s="3" t="s">
        <v>14</v>
      </c>
      <c r="G63" s="3" t="s">
        <v>15</v>
      </c>
      <c r="H63" s="3" t="s">
        <v>95</v>
      </c>
      <c r="I63" s="3">
        <v>1146.3599999999999</v>
      </c>
      <c r="J63" s="3">
        <v>5</v>
      </c>
      <c r="K63" s="3">
        <v>0</v>
      </c>
      <c r="L63" s="9">
        <f t="shared" si="1"/>
        <v>5731.7999999999993</v>
      </c>
      <c r="M63" s="9">
        <f t="shared" si="2"/>
        <v>0</v>
      </c>
      <c r="N63" s="10">
        <f t="shared" si="3"/>
        <v>5731.7999999999993</v>
      </c>
      <c r="O63" s="3" t="s">
        <v>17</v>
      </c>
      <c r="P63" s="3" t="s">
        <v>18</v>
      </c>
      <c r="Q63" s="3" t="s">
        <v>40</v>
      </c>
    </row>
    <row r="64" spans="1:17" x14ac:dyDescent="0.25">
      <c r="A64" s="2" t="s">
        <v>189</v>
      </c>
      <c r="B64" s="4">
        <v>45103</v>
      </c>
      <c r="C64" s="4" t="str">
        <f t="shared" si="0"/>
        <v>Jun</v>
      </c>
      <c r="D64" s="2" t="s">
        <v>340</v>
      </c>
      <c r="E64" s="2" t="s">
        <v>87</v>
      </c>
      <c r="F64" s="2" t="s">
        <v>88</v>
      </c>
      <c r="G64" s="2" t="s">
        <v>24</v>
      </c>
      <c r="H64" s="2" t="s">
        <v>108</v>
      </c>
      <c r="I64" s="2">
        <v>7222.64</v>
      </c>
      <c r="J64" s="2">
        <v>5</v>
      </c>
      <c r="K64" s="2">
        <v>10</v>
      </c>
      <c r="L64" s="9">
        <f t="shared" si="1"/>
        <v>36113.200000000004</v>
      </c>
      <c r="M64" s="9">
        <f t="shared" si="2"/>
        <v>3611.3200000000006</v>
      </c>
      <c r="N64" s="10">
        <f t="shared" si="3"/>
        <v>32501.880000000005</v>
      </c>
      <c r="O64" s="2" t="s">
        <v>38</v>
      </c>
      <c r="P64" s="2" t="s">
        <v>18</v>
      </c>
      <c r="Q64" s="2" t="s">
        <v>40</v>
      </c>
    </row>
    <row r="65" spans="1:17" x14ac:dyDescent="0.25">
      <c r="A65" s="3" t="s">
        <v>190</v>
      </c>
      <c r="B65" s="4">
        <v>45104</v>
      </c>
      <c r="C65" s="4" t="str">
        <f t="shared" si="0"/>
        <v>Jun</v>
      </c>
      <c r="D65" s="3" t="s">
        <v>495</v>
      </c>
      <c r="E65" s="3" t="s">
        <v>100</v>
      </c>
      <c r="F65" s="3" t="s">
        <v>88</v>
      </c>
      <c r="G65" s="3" t="s">
        <v>15</v>
      </c>
      <c r="H65" s="3" t="s">
        <v>95</v>
      </c>
      <c r="I65" s="3">
        <v>1104.6199999999999</v>
      </c>
      <c r="J65" s="3">
        <v>1</v>
      </c>
      <c r="K65" s="3">
        <v>5</v>
      </c>
      <c r="L65" s="9">
        <f t="shared" si="1"/>
        <v>1104.6199999999999</v>
      </c>
      <c r="M65" s="9">
        <f t="shared" si="2"/>
        <v>55.230999999999995</v>
      </c>
      <c r="N65" s="10">
        <f t="shared" si="3"/>
        <v>1049.3889999999999</v>
      </c>
      <c r="O65" s="3" t="s">
        <v>38</v>
      </c>
      <c r="P65" s="3" t="s">
        <v>18</v>
      </c>
      <c r="Q65" s="3" t="s">
        <v>60</v>
      </c>
    </row>
    <row r="66" spans="1:17" x14ac:dyDescent="0.25">
      <c r="A66" s="2" t="s">
        <v>191</v>
      </c>
      <c r="B66" s="4">
        <v>45105</v>
      </c>
      <c r="C66" s="4" t="str">
        <f t="shared" ref="C66:C129" si="4">TEXT(B66,"mmm")</f>
        <v>Jun</v>
      </c>
      <c r="D66" s="2" t="s">
        <v>192</v>
      </c>
      <c r="E66" s="2" t="s">
        <v>13</v>
      </c>
      <c r="F66" s="2" t="s">
        <v>14</v>
      </c>
      <c r="G66" s="2" t="s">
        <v>31</v>
      </c>
      <c r="H66" s="2" t="s">
        <v>70</v>
      </c>
      <c r="I66" s="2">
        <v>553.69000000000005</v>
      </c>
      <c r="J66" s="2">
        <v>1</v>
      </c>
      <c r="K66" s="2">
        <v>15</v>
      </c>
      <c r="L66" s="9">
        <f t="shared" ref="L66:L129" si="5">J66*I66</f>
        <v>553.69000000000005</v>
      </c>
      <c r="M66" s="9">
        <f t="shared" ref="M66:M129" si="6">L66*K66/100</f>
        <v>83.0535</v>
      </c>
      <c r="N66" s="10">
        <f t="shared" ref="N66:N129" si="7">L66-M66</f>
        <v>470.63650000000007</v>
      </c>
      <c r="O66" s="2" t="s">
        <v>33</v>
      </c>
      <c r="P66" s="2" t="s">
        <v>18</v>
      </c>
      <c r="Q66" s="2" t="s">
        <v>19</v>
      </c>
    </row>
    <row r="67" spans="1:17" x14ac:dyDescent="0.25">
      <c r="A67" s="3" t="s">
        <v>193</v>
      </c>
      <c r="B67" s="4">
        <v>45106</v>
      </c>
      <c r="C67" s="4" t="str">
        <f t="shared" si="4"/>
        <v>Jun</v>
      </c>
      <c r="D67" s="3" t="s">
        <v>194</v>
      </c>
      <c r="E67" s="3" t="s">
        <v>100</v>
      </c>
      <c r="F67" s="3" t="s">
        <v>88</v>
      </c>
      <c r="G67" s="3" t="s">
        <v>24</v>
      </c>
      <c r="H67" s="3" t="s">
        <v>59</v>
      </c>
      <c r="I67" s="3">
        <v>5449.13</v>
      </c>
      <c r="J67" s="3">
        <v>1</v>
      </c>
      <c r="K67" s="3">
        <v>10</v>
      </c>
      <c r="L67" s="9">
        <f t="shared" si="5"/>
        <v>5449.13</v>
      </c>
      <c r="M67" s="9">
        <f t="shared" si="6"/>
        <v>544.91300000000001</v>
      </c>
      <c r="N67" s="10">
        <f t="shared" si="7"/>
        <v>4904.2170000000006</v>
      </c>
      <c r="O67" s="3" t="s">
        <v>68</v>
      </c>
      <c r="P67" s="3" t="s">
        <v>52</v>
      </c>
      <c r="Q67" s="3" t="s">
        <v>60</v>
      </c>
    </row>
    <row r="68" spans="1:17" x14ac:dyDescent="0.25">
      <c r="A68" s="2" t="s">
        <v>195</v>
      </c>
      <c r="B68" s="4">
        <v>45107</v>
      </c>
      <c r="C68" s="4" t="str">
        <f t="shared" si="4"/>
        <v>Jun</v>
      </c>
      <c r="D68" s="2" t="s">
        <v>173</v>
      </c>
      <c r="E68" s="2" t="s">
        <v>51</v>
      </c>
      <c r="F68" s="2" t="s">
        <v>14</v>
      </c>
      <c r="G68" s="2" t="s">
        <v>72</v>
      </c>
      <c r="H68" s="2" t="s">
        <v>73</v>
      </c>
      <c r="I68" s="2">
        <v>341.63</v>
      </c>
      <c r="J68" s="2">
        <v>4</v>
      </c>
      <c r="K68" s="2">
        <v>10</v>
      </c>
      <c r="L68" s="9">
        <f t="shared" si="5"/>
        <v>1366.52</v>
      </c>
      <c r="M68" s="9">
        <f t="shared" si="6"/>
        <v>136.65200000000002</v>
      </c>
      <c r="N68" s="10">
        <f t="shared" si="7"/>
        <v>1229.8679999999999</v>
      </c>
      <c r="O68" s="2" t="s">
        <v>17</v>
      </c>
      <c r="P68" s="2" t="s">
        <v>18</v>
      </c>
      <c r="Q68" s="2" t="s">
        <v>34</v>
      </c>
    </row>
    <row r="69" spans="1:17" x14ac:dyDescent="0.25">
      <c r="A69" s="3" t="s">
        <v>196</v>
      </c>
      <c r="B69" s="4">
        <v>45108</v>
      </c>
      <c r="C69" s="4" t="str">
        <f t="shared" si="4"/>
        <v>Jul</v>
      </c>
      <c r="D69" s="3" t="s">
        <v>197</v>
      </c>
      <c r="E69" s="3" t="s">
        <v>29</v>
      </c>
      <c r="F69" s="3" t="s">
        <v>30</v>
      </c>
      <c r="G69" s="3" t="s">
        <v>15</v>
      </c>
      <c r="H69" s="3" t="s">
        <v>198</v>
      </c>
      <c r="I69" s="3">
        <v>871.61</v>
      </c>
      <c r="J69" s="3">
        <v>2</v>
      </c>
      <c r="K69" s="3">
        <v>0</v>
      </c>
      <c r="L69" s="9">
        <f t="shared" si="5"/>
        <v>1743.22</v>
      </c>
      <c r="M69" s="9">
        <f t="shared" si="6"/>
        <v>0</v>
      </c>
      <c r="N69" s="10">
        <f t="shared" si="7"/>
        <v>1743.22</v>
      </c>
      <c r="O69" s="7" t="s">
        <v>508</v>
      </c>
      <c r="P69" s="3" t="s">
        <v>18</v>
      </c>
      <c r="Q69" s="3" t="s">
        <v>40</v>
      </c>
    </row>
    <row r="70" spans="1:17" x14ac:dyDescent="0.25">
      <c r="A70" s="2" t="s">
        <v>199</v>
      </c>
      <c r="B70" s="4">
        <v>45109</v>
      </c>
      <c r="C70" s="4" t="str">
        <f t="shared" si="4"/>
        <v>Jul</v>
      </c>
      <c r="D70" s="2" t="s">
        <v>200</v>
      </c>
      <c r="E70" s="2" t="s">
        <v>83</v>
      </c>
      <c r="F70" s="2" t="s">
        <v>84</v>
      </c>
      <c r="G70" s="2" t="s">
        <v>36</v>
      </c>
      <c r="H70" s="2" t="s">
        <v>49</v>
      </c>
      <c r="I70" s="2">
        <v>135080.26999999999</v>
      </c>
      <c r="J70" s="2">
        <v>4</v>
      </c>
      <c r="K70" s="2">
        <v>0</v>
      </c>
      <c r="L70" s="9">
        <f t="shared" si="5"/>
        <v>540321.07999999996</v>
      </c>
      <c r="M70" s="9">
        <f t="shared" si="6"/>
        <v>0</v>
      </c>
      <c r="N70" s="10">
        <f t="shared" si="7"/>
        <v>540321.07999999996</v>
      </c>
      <c r="O70" s="2" t="s">
        <v>17</v>
      </c>
      <c r="P70" s="2" t="s">
        <v>18</v>
      </c>
      <c r="Q70" s="2" t="s">
        <v>34</v>
      </c>
    </row>
    <row r="71" spans="1:17" x14ac:dyDescent="0.25">
      <c r="A71" s="3" t="s">
        <v>201</v>
      </c>
      <c r="B71" s="4">
        <v>45110</v>
      </c>
      <c r="C71" s="4" t="str">
        <f t="shared" si="4"/>
        <v>Jul</v>
      </c>
      <c r="D71" s="3" t="s">
        <v>183</v>
      </c>
      <c r="E71" s="3" t="s">
        <v>47</v>
      </c>
      <c r="F71" s="3" t="s">
        <v>48</v>
      </c>
      <c r="G71" s="3" t="s">
        <v>15</v>
      </c>
      <c r="H71" s="3" t="s">
        <v>95</v>
      </c>
      <c r="I71" s="3">
        <v>1097.08</v>
      </c>
      <c r="J71" s="3">
        <v>2</v>
      </c>
      <c r="K71" s="3">
        <v>5</v>
      </c>
      <c r="L71" s="9">
        <f t="shared" si="5"/>
        <v>2194.16</v>
      </c>
      <c r="M71" s="9">
        <f t="shared" si="6"/>
        <v>109.708</v>
      </c>
      <c r="N71" s="10">
        <f t="shared" si="7"/>
        <v>2084.4519999999998</v>
      </c>
      <c r="O71" s="3" t="s">
        <v>17</v>
      </c>
      <c r="P71" s="3" t="s">
        <v>27</v>
      </c>
      <c r="Q71" s="3" t="s">
        <v>53</v>
      </c>
    </row>
    <row r="72" spans="1:17" x14ac:dyDescent="0.25">
      <c r="A72" s="2" t="s">
        <v>202</v>
      </c>
      <c r="B72" s="4">
        <v>45111</v>
      </c>
      <c r="C72" s="4" t="str">
        <f t="shared" si="4"/>
        <v>Jul</v>
      </c>
      <c r="D72" s="2" t="s">
        <v>203</v>
      </c>
      <c r="E72" s="2" t="s">
        <v>51</v>
      </c>
      <c r="F72" s="2" t="s">
        <v>14</v>
      </c>
      <c r="G72" s="2" t="s">
        <v>15</v>
      </c>
      <c r="H72" s="2" t="s">
        <v>163</v>
      </c>
      <c r="I72" s="2">
        <v>2704.21</v>
      </c>
      <c r="J72" s="2">
        <v>2</v>
      </c>
      <c r="K72" s="2">
        <v>10</v>
      </c>
      <c r="L72" s="9">
        <f t="shared" si="5"/>
        <v>5408.42</v>
      </c>
      <c r="M72" s="9">
        <f t="shared" si="6"/>
        <v>540.84199999999998</v>
      </c>
      <c r="N72" s="10">
        <f t="shared" si="7"/>
        <v>4867.5780000000004</v>
      </c>
      <c r="O72" s="2" t="s">
        <v>68</v>
      </c>
      <c r="P72" s="2" t="s">
        <v>18</v>
      </c>
      <c r="Q72" s="2" t="s">
        <v>34</v>
      </c>
    </row>
    <row r="73" spans="1:17" x14ac:dyDescent="0.25">
      <c r="A73" s="3" t="s">
        <v>204</v>
      </c>
      <c r="B73" s="4">
        <v>45112</v>
      </c>
      <c r="C73" s="4" t="str">
        <f t="shared" si="4"/>
        <v>Jul</v>
      </c>
      <c r="D73" s="3" t="s">
        <v>205</v>
      </c>
      <c r="E73" s="3" t="s">
        <v>47</v>
      </c>
      <c r="F73" s="3" t="s">
        <v>48</v>
      </c>
      <c r="G73" s="3" t="s">
        <v>43</v>
      </c>
      <c r="H73" s="3" t="s">
        <v>44</v>
      </c>
      <c r="I73" s="3">
        <v>3478.09</v>
      </c>
      <c r="J73" s="3">
        <v>3</v>
      </c>
      <c r="K73" s="3">
        <v>10</v>
      </c>
      <c r="L73" s="9">
        <f t="shared" si="5"/>
        <v>10434.27</v>
      </c>
      <c r="M73" s="9">
        <f t="shared" si="6"/>
        <v>1043.4270000000001</v>
      </c>
      <c r="N73" s="10">
        <f t="shared" si="7"/>
        <v>9390.8430000000008</v>
      </c>
      <c r="O73" s="3" t="s">
        <v>33</v>
      </c>
      <c r="P73" s="3" t="s">
        <v>18</v>
      </c>
      <c r="Q73" s="3" t="s">
        <v>19</v>
      </c>
    </row>
    <row r="74" spans="1:17" x14ac:dyDescent="0.25">
      <c r="A74" s="2" t="s">
        <v>206</v>
      </c>
      <c r="B74" s="4">
        <v>45113</v>
      </c>
      <c r="C74" s="4" t="str">
        <f t="shared" si="4"/>
        <v>Jul</v>
      </c>
      <c r="D74" s="2" t="s">
        <v>155</v>
      </c>
      <c r="E74" s="2" t="s">
        <v>22</v>
      </c>
      <c r="F74" s="2" t="s">
        <v>23</v>
      </c>
      <c r="G74" s="2" t="s">
        <v>110</v>
      </c>
      <c r="H74" s="2" t="s">
        <v>207</v>
      </c>
      <c r="I74" s="2">
        <v>9162.02</v>
      </c>
      <c r="J74" s="2">
        <v>3</v>
      </c>
      <c r="K74" s="2">
        <v>0</v>
      </c>
      <c r="L74" s="9">
        <f t="shared" si="5"/>
        <v>27486.06</v>
      </c>
      <c r="M74" s="9">
        <f t="shared" si="6"/>
        <v>0</v>
      </c>
      <c r="N74" s="10">
        <f t="shared" si="7"/>
        <v>27486.06</v>
      </c>
      <c r="O74" s="2" t="s">
        <v>38</v>
      </c>
      <c r="P74" s="2" t="s">
        <v>18</v>
      </c>
      <c r="Q74" s="2" t="s">
        <v>40</v>
      </c>
    </row>
    <row r="75" spans="1:17" x14ac:dyDescent="0.25">
      <c r="A75" s="3" t="s">
        <v>208</v>
      </c>
      <c r="B75" s="4">
        <v>45114</v>
      </c>
      <c r="C75" s="4" t="str">
        <f t="shared" si="4"/>
        <v>Jul</v>
      </c>
      <c r="D75" s="3" t="s">
        <v>426</v>
      </c>
      <c r="E75" s="3" t="s">
        <v>29</v>
      </c>
      <c r="F75" s="3" t="s">
        <v>30</v>
      </c>
      <c r="G75" s="3" t="s">
        <v>36</v>
      </c>
      <c r="H75" s="3" t="s">
        <v>121</v>
      </c>
      <c r="I75" s="3">
        <v>101107</v>
      </c>
      <c r="J75" s="3">
        <v>5</v>
      </c>
      <c r="K75" s="3">
        <v>15</v>
      </c>
      <c r="L75" s="9">
        <f t="shared" si="5"/>
        <v>505535</v>
      </c>
      <c r="M75" s="9">
        <f t="shared" si="6"/>
        <v>75830.25</v>
      </c>
      <c r="N75" s="10">
        <f t="shared" si="7"/>
        <v>429704.75</v>
      </c>
      <c r="O75" s="3" t="s">
        <v>26</v>
      </c>
      <c r="P75" s="3" t="s">
        <v>18</v>
      </c>
      <c r="Q75" s="3" t="s">
        <v>19</v>
      </c>
    </row>
    <row r="76" spans="1:17" x14ac:dyDescent="0.25">
      <c r="A76" s="2" t="s">
        <v>209</v>
      </c>
      <c r="B76" s="4">
        <v>45115</v>
      </c>
      <c r="C76" s="4" t="str">
        <f t="shared" si="4"/>
        <v>Jul</v>
      </c>
      <c r="D76" s="2" t="s">
        <v>185</v>
      </c>
      <c r="E76" s="2" t="s">
        <v>100</v>
      </c>
      <c r="F76" s="2" t="s">
        <v>88</v>
      </c>
      <c r="G76" s="2" t="s">
        <v>110</v>
      </c>
      <c r="H76" s="2" t="s">
        <v>67</v>
      </c>
      <c r="I76" s="2">
        <v>4621.3100000000004</v>
      </c>
      <c r="J76" s="2">
        <v>4</v>
      </c>
      <c r="K76" s="2">
        <v>0</v>
      </c>
      <c r="L76" s="9">
        <f t="shared" si="5"/>
        <v>18485.240000000002</v>
      </c>
      <c r="M76" s="9">
        <f t="shared" si="6"/>
        <v>0</v>
      </c>
      <c r="N76" s="10">
        <f t="shared" si="7"/>
        <v>18485.240000000002</v>
      </c>
      <c r="O76" s="2" t="s">
        <v>33</v>
      </c>
      <c r="P76" s="2" t="s">
        <v>18</v>
      </c>
      <c r="Q76" s="2" t="s">
        <v>60</v>
      </c>
    </row>
    <row r="77" spans="1:17" x14ac:dyDescent="0.25">
      <c r="A77" s="3" t="s">
        <v>210</v>
      </c>
      <c r="B77" s="4">
        <v>45116</v>
      </c>
      <c r="C77" s="4" t="str">
        <f t="shared" si="4"/>
        <v>Jul</v>
      </c>
      <c r="D77" s="3" t="s">
        <v>211</v>
      </c>
      <c r="E77" s="3" t="s">
        <v>22</v>
      </c>
      <c r="F77" s="3" t="s">
        <v>23</v>
      </c>
      <c r="G77" s="3" t="s">
        <v>72</v>
      </c>
      <c r="H77" s="3" t="s">
        <v>102</v>
      </c>
      <c r="I77" s="3">
        <v>627.87</v>
      </c>
      <c r="J77" s="3">
        <v>4</v>
      </c>
      <c r="K77" s="3">
        <v>0</v>
      </c>
      <c r="L77" s="9">
        <f t="shared" si="5"/>
        <v>2511.48</v>
      </c>
      <c r="M77" s="9">
        <f t="shared" si="6"/>
        <v>0</v>
      </c>
      <c r="N77" s="10">
        <f t="shared" si="7"/>
        <v>2511.48</v>
      </c>
      <c r="O77" s="3" t="s">
        <v>33</v>
      </c>
      <c r="P77" s="3" t="s">
        <v>39</v>
      </c>
      <c r="Q77" s="3" t="s">
        <v>19</v>
      </c>
    </row>
    <row r="78" spans="1:17" x14ac:dyDescent="0.25">
      <c r="A78" s="2" t="s">
        <v>212</v>
      </c>
      <c r="B78" s="4">
        <v>45117</v>
      </c>
      <c r="C78" s="4" t="str">
        <f t="shared" si="4"/>
        <v>Jul</v>
      </c>
      <c r="D78" s="2" t="s">
        <v>263</v>
      </c>
      <c r="E78" s="2" t="s">
        <v>87</v>
      </c>
      <c r="F78" s="2" t="s">
        <v>88</v>
      </c>
      <c r="G78" s="2" t="s">
        <v>31</v>
      </c>
      <c r="H78" s="2" t="s">
        <v>116</v>
      </c>
      <c r="I78" s="2">
        <v>1107.82</v>
      </c>
      <c r="J78" s="2">
        <v>4</v>
      </c>
      <c r="K78" s="2">
        <v>5</v>
      </c>
      <c r="L78" s="9">
        <f t="shared" si="5"/>
        <v>4431.28</v>
      </c>
      <c r="M78" s="9">
        <f t="shared" si="6"/>
        <v>221.56399999999996</v>
      </c>
      <c r="N78" s="10">
        <f t="shared" si="7"/>
        <v>4209.7159999999994</v>
      </c>
      <c r="O78" s="2" t="s">
        <v>68</v>
      </c>
      <c r="P78" s="2" t="s">
        <v>27</v>
      </c>
      <c r="Q78" s="2" t="s">
        <v>19</v>
      </c>
    </row>
    <row r="79" spans="1:17" x14ac:dyDescent="0.25">
      <c r="A79" s="3" t="s">
        <v>213</v>
      </c>
      <c r="B79" s="4">
        <v>45118</v>
      </c>
      <c r="C79" s="4" t="str">
        <f t="shared" si="4"/>
        <v>Jul</v>
      </c>
      <c r="D79" s="3" t="s">
        <v>214</v>
      </c>
      <c r="E79" s="3" t="s">
        <v>51</v>
      </c>
      <c r="F79" s="3" t="s">
        <v>14</v>
      </c>
      <c r="G79" s="3" t="s">
        <v>110</v>
      </c>
      <c r="H79" s="3" t="s">
        <v>215</v>
      </c>
      <c r="I79" s="3">
        <v>2561.3200000000002</v>
      </c>
      <c r="J79" s="3">
        <v>4</v>
      </c>
      <c r="K79" s="3">
        <v>0</v>
      </c>
      <c r="L79" s="9">
        <f t="shared" si="5"/>
        <v>10245.280000000001</v>
      </c>
      <c r="M79" s="9">
        <f t="shared" si="6"/>
        <v>0</v>
      </c>
      <c r="N79" s="10">
        <f t="shared" si="7"/>
        <v>10245.280000000001</v>
      </c>
      <c r="O79" s="7" t="s">
        <v>508</v>
      </c>
      <c r="P79" s="3" t="s">
        <v>39</v>
      </c>
      <c r="Q79" s="3" t="s">
        <v>40</v>
      </c>
    </row>
    <row r="80" spans="1:17" x14ac:dyDescent="0.25">
      <c r="A80" s="2" t="s">
        <v>216</v>
      </c>
      <c r="B80" s="4">
        <v>45119</v>
      </c>
      <c r="C80" s="4" t="str">
        <f t="shared" si="4"/>
        <v>Jul</v>
      </c>
      <c r="D80" s="2" t="s">
        <v>217</v>
      </c>
      <c r="E80" s="2" t="s">
        <v>100</v>
      </c>
      <c r="F80" s="2" t="s">
        <v>88</v>
      </c>
      <c r="G80" s="2" t="s">
        <v>31</v>
      </c>
      <c r="H80" s="2" t="s">
        <v>70</v>
      </c>
      <c r="I80" s="2">
        <v>645.70000000000005</v>
      </c>
      <c r="J80" s="2">
        <v>4</v>
      </c>
      <c r="K80" s="2">
        <v>0</v>
      </c>
      <c r="L80" s="9">
        <f t="shared" si="5"/>
        <v>2582.8000000000002</v>
      </c>
      <c r="M80" s="9">
        <f t="shared" si="6"/>
        <v>0</v>
      </c>
      <c r="N80" s="10">
        <f t="shared" si="7"/>
        <v>2582.8000000000002</v>
      </c>
      <c r="O80" s="2" t="s">
        <v>68</v>
      </c>
      <c r="P80" s="2" t="s">
        <v>27</v>
      </c>
      <c r="Q80" s="2" t="s">
        <v>19</v>
      </c>
    </row>
    <row r="81" spans="1:17" x14ac:dyDescent="0.25">
      <c r="A81" s="3" t="s">
        <v>218</v>
      </c>
      <c r="B81" s="4">
        <v>45120</v>
      </c>
      <c r="C81" s="4" t="str">
        <f t="shared" si="4"/>
        <v>Jul</v>
      </c>
      <c r="D81" s="3" t="s">
        <v>219</v>
      </c>
      <c r="E81" s="3" t="s">
        <v>47</v>
      </c>
      <c r="F81" s="3" t="s">
        <v>48</v>
      </c>
      <c r="G81" s="3" t="s">
        <v>110</v>
      </c>
      <c r="H81" s="3" t="s">
        <v>207</v>
      </c>
      <c r="I81" s="3">
        <v>8588.83</v>
      </c>
      <c r="J81" s="3">
        <v>1</v>
      </c>
      <c r="K81" s="3">
        <v>15</v>
      </c>
      <c r="L81" s="9">
        <f t="shared" si="5"/>
        <v>8588.83</v>
      </c>
      <c r="M81" s="9">
        <f t="shared" si="6"/>
        <v>1288.3244999999999</v>
      </c>
      <c r="N81" s="10">
        <f t="shared" si="7"/>
        <v>7300.5055000000002</v>
      </c>
      <c r="O81" s="3" t="s">
        <v>68</v>
      </c>
      <c r="P81" s="3" t="s">
        <v>18</v>
      </c>
      <c r="Q81" s="3" t="s">
        <v>40</v>
      </c>
    </row>
    <row r="82" spans="1:17" x14ac:dyDescent="0.25">
      <c r="A82" s="2" t="s">
        <v>220</v>
      </c>
      <c r="B82" s="4">
        <v>45121</v>
      </c>
      <c r="C82" s="4" t="str">
        <f t="shared" si="4"/>
        <v>Jul</v>
      </c>
      <c r="D82" s="2" t="s">
        <v>221</v>
      </c>
      <c r="E82" s="2" t="s">
        <v>47</v>
      </c>
      <c r="F82" s="2" t="s">
        <v>48</v>
      </c>
      <c r="G82" s="2" t="s">
        <v>110</v>
      </c>
      <c r="H82" s="2" t="s">
        <v>215</v>
      </c>
      <c r="I82" s="2">
        <v>2457.75</v>
      </c>
      <c r="J82" s="2">
        <v>4</v>
      </c>
      <c r="K82" s="2">
        <v>50</v>
      </c>
      <c r="L82" s="9">
        <f t="shared" si="5"/>
        <v>9831</v>
      </c>
      <c r="M82" s="9">
        <f t="shared" si="6"/>
        <v>4915.5</v>
      </c>
      <c r="N82" s="10">
        <f t="shared" si="7"/>
        <v>4915.5</v>
      </c>
      <c r="O82" s="2" t="s">
        <v>26</v>
      </c>
      <c r="P82" s="2" t="s">
        <v>18</v>
      </c>
      <c r="Q82" s="2" t="s">
        <v>19</v>
      </c>
    </row>
    <row r="83" spans="1:17" x14ac:dyDescent="0.25">
      <c r="A83" s="3" t="s">
        <v>222</v>
      </c>
      <c r="B83" s="4">
        <v>45122</v>
      </c>
      <c r="C83" s="4" t="str">
        <f t="shared" si="4"/>
        <v>Jul</v>
      </c>
      <c r="D83" s="3" t="s">
        <v>223</v>
      </c>
      <c r="E83" s="3" t="s">
        <v>29</v>
      </c>
      <c r="F83" s="3" t="s">
        <v>30</v>
      </c>
      <c r="G83" s="3" t="s">
        <v>110</v>
      </c>
      <c r="H83" s="3" t="s">
        <v>153</v>
      </c>
      <c r="I83" s="3">
        <v>3754.82</v>
      </c>
      <c r="J83" s="3">
        <v>3</v>
      </c>
      <c r="K83" s="3">
        <v>0</v>
      </c>
      <c r="L83" s="9">
        <f t="shared" si="5"/>
        <v>11264.460000000001</v>
      </c>
      <c r="M83" s="9">
        <f t="shared" si="6"/>
        <v>0</v>
      </c>
      <c r="N83" s="10">
        <f t="shared" si="7"/>
        <v>11264.460000000001</v>
      </c>
      <c r="O83" s="3" t="s">
        <v>38</v>
      </c>
      <c r="P83" s="3" t="s">
        <v>39</v>
      </c>
      <c r="Q83" s="3" t="s">
        <v>19</v>
      </c>
    </row>
    <row r="84" spans="1:17" x14ac:dyDescent="0.25">
      <c r="A84" s="2" t="s">
        <v>224</v>
      </c>
      <c r="B84" s="4">
        <v>45123</v>
      </c>
      <c r="C84" s="4" t="str">
        <f t="shared" si="4"/>
        <v>Jul</v>
      </c>
      <c r="D84" s="2" t="s">
        <v>413</v>
      </c>
      <c r="E84" s="2" t="s">
        <v>47</v>
      </c>
      <c r="F84" s="2" t="s">
        <v>48</v>
      </c>
      <c r="G84" s="2" t="s">
        <v>72</v>
      </c>
      <c r="H84" s="2" t="s">
        <v>73</v>
      </c>
      <c r="I84" s="2">
        <v>355.59</v>
      </c>
      <c r="J84" s="2">
        <v>4</v>
      </c>
      <c r="K84" s="2">
        <v>0</v>
      </c>
      <c r="L84" s="9">
        <f t="shared" si="5"/>
        <v>1422.36</v>
      </c>
      <c r="M84" s="9">
        <f t="shared" si="6"/>
        <v>0</v>
      </c>
      <c r="N84" s="10">
        <f t="shared" si="7"/>
        <v>1422.36</v>
      </c>
      <c r="O84" s="2" t="s">
        <v>33</v>
      </c>
      <c r="P84" s="2" t="s">
        <v>52</v>
      </c>
      <c r="Q84" s="2" t="s">
        <v>60</v>
      </c>
    </row>
    <row r="85" spans="1:17" x14ac:dyDescent="0.25">
      <c r="A85" s="3" t="s">
        <v>225</v>
      </c>
      <c r="B85" s="4">
        <v>45124</v>
      </c>
      <c r="C85" s="4" t="str">
        <f t="shared" si="4"/>
        <v>Jul</v>
      </c>
      <c r="D85" s="3" t="s">
        <v>665</v>
      </c>
      <c r="E85" s="3" t="s">
        <v>83</v>
      </c>
      <c r="F85" s="3" t="s">
        <v>84</v>
      </c>
      <c r="G85" s="3" t="s">
        <v>43</v>
      </c>
      <c r="H85" s="3" t="s">
        <v>145</v>
      </c>
      <c r="I85" s="3">
        <v>13038.85</v>
      </c>
      <c r="J85" s="3">
        <v>2</v>
      </c>
      <c r="K85" s="3">
        <v>0</v>
      </c>
      <c r="L85" s="9">
        <f t="shared" si="5"/>
        <v>26077.7</v>
      </c>
      <c r="M85" s="9">
        <f t="shared" si="6"/>
        <v>0</v>
      </c>
      <c r="N85" s="10">
        <f t="shared" si="7"/>
        <v>26077.7</v>
      </c>
      <c r="O85" s="3" t="s">
        <v>26</v>
      </c>
      <c r="P85" s="3" t="s">
        <v>52</v>
      </c>
      <c r="Q85" s="3" t="s">
        <v>60</v>
      </c>
    </row>
    <row r="86" spans="1:17" x14ac:dyDescent="0.25">
      <c r="A86" s="2" t="s">
        <v>226</v>
      </c>
      <c r="B86" s="4">
        <v>45125</v>
      </c>
      <c r="C86" s="4" t="str">
        <f t="shared" si="4"/>
        <v>Jul</v>
      </c>
      <c r="D86" s="2" t="s">
        <v>214</v>
      </c>
      <c r="E86" s="2" t="s">
        <v>87</v>
      </c>
      <c r="F86" s="2" t="s">
        <v>88</v>
      </c>
      <c r="G86" s="2" t="s">
        <v>15</v>
      </c>
      <c r="H86" s="2" t="s">
        <v>95</v>
      </c>
      <c r="I86" s="2">
        <v>1249.25</v>
      </c>
      <c r="J86" s="2">
        <v>4</v>
      </c>
      <c r="K86" s="2">
        <v>0</v>
      </c>
      <c r="L86" s="9">
        <f t="shared" si="5"/>
        <v>4997</v>
      </c>
      <c r="M86" s="9">
        <f t="shared" si="6"/>
        <v>0</v>
      </c>
      <c r="N86" s="10">
        <f t="shared" si="7"/>
        <v>4997</v>
      </c>
      <c r="O86" s="2" t="s">
        <v>26</v>
      </c>
      <c r="P86" s="2" t="s">
        <v>18</v>
      </c>
      <c r="Q86" s="2" t="s">
        <v>40</v>
      </c>
    </row>
    <row r="87" spans="1:17" x14ac:dyDescent="0.25">
      <c r="A87" s="3" t="s">
        <v>227</v>
      </c>
      <c r="B87" s="4">
        <v>45126</v>
      </c>
      <c r="C87" s="4" t="str">
        <f t="shared" si="4"/>
        <v>Jul</v>
      </c>
      <c r="D87" s="3" t="s">
        <v>228</v>
      </c>
      <c r="E87" s="3" t="s">
        <v>87</v>
      </c>
      <c r="F87" s="3" t="s">
        <v>88</v>
      </c>
      <c r="G87" s="3" t="s">
        <v>72</v>
      </c>
      <c r="H87" s="3" t="s">
        <v>81</v>
      </c>
      <c r="I87" s="3">
        <v>1612.26</v>
      </c>
      <c r="J87" s="3">
        <v>4</v>
      </c>
      <c r="K87" s="3">
        <v>15</v>
      </c>
      <c r="L87" s="9">
        <f t="shared" si="5"/>
        <v>6449.04</v>
      </c>
      <c r="M87" s="9">
        <f t="shared" si="6"/>
        <v>967.35600000000011</v>
      </c>
      <c r="N87" s="10">
        <f t="shared" si="7"/>
        <v>5481.6840000000002</v>
      </c>
      <c r="O87" s="3" t="s">
        <v>17</v>
      </c>
      <c r="P87" s="3" t="s">
        <v>18</v>
      </c>
      <c r="Q87" s="3" t="s">
        <v>40</v>
      </c>
    </row>
    <row r="88" spans="1:17" x14ac:dyDescent="0.25">
      <c r="A88" s="2" t="s">
        <v>229</v>
      </c>
      <c r="B88" s="4">
        <v>45127</v>
      </c>
      <c r="C88" s="4" t="str">
        <f t="shared" si="4"/>
        <v>Jul</v>
      </c>
      <c r="D88" s="2" t="s">
        <v>541</v>
      </c>
      <c r="E88" s="2" t="s">
        <v>100</v>
      </c>
      <c r="F88" s="2" t="s">
        <v>88</v>
      </c>
      <c r="G88" s="2" t="s">
        <v>36</v>
      </c>
      <c r="H88" s="2" t="s">
        <v>37</v>
      </c>
      <c r="I88" s="2">
        <v>12675.66</v>
      </c>
      <c r="J88" s="2">
        <v>3</v>
      </c>
      <c r="K88" s="2">
        <v>15</v>
      </c>
      <c r="L88" s="9">
        <f t="shared" si="5"/>
        <v>38026.979999999996</v>
      </c>
      <c r="M88" s="9">
        <f t="shared" si="6"/>
        <v>5704.0469999999996</v>
      </c>
      <c r="N88" s="10">
        <f t="shared" si="7"/>
        <v>32322.932999999997</v>
      </c>
      <c r="O88" s="2" t="s">
        <v>17</v>
      </c>
      <c r="P88" s="2" t="s">
        <v>27</v>
      </c>
      <c r="Q88" s="2" t="s">
        <v>60</v>
      </c>
    </row>
    <row r="89" spans="1:17" x14ac:dyDescent="0.25">
      <c r="A89" s="3" t="s">
        <v>230</v>
      </c>
      <c r="B89" s="4">
        <v>45128</v>
      </c>
      <c r="C89" s="4" t="str">
        <f t="shared" si="4"/>
        <v>Jul</v>
      </c>
      <c r="D89" s="3" t="s">
        <v>231</v>
      </c>
      <c r="E89" s="3" t="s">
        <v>83</v>
      </c>
      <c r="F89" s="3" t="s">
        <v>84</v>
      </c>
      <c r="G89" s="3" t="s">
        <v>43</v>
      </c>
      <c r="H89" s="3" t="s">
        <v>105</v>
      </c>
      <c r="I89" s="3">
        <v>2871.01</v>
      </c>
      <c r="J89" s="3">
        <v>4</v>
      </c>
      <c r="K89" s="3">
        <v>0</v>
      </c>
      <c r="L89" s="9">
        <f t="shared" si="5"/>
        <v>11484.04</v>
      </c>
      <c r="M89" s="9">
        <f t="shared" si="6"/>
        <v>0</v>
      </c>
      <c r="N89" s="10">
        <f t="shared" si="7"/>
        <v>11484.04</v>
      </c>
      <c r="O89" s="7" t="s">
        <v>508</v>
      </c>
      <c r="P89" s="3" t="s">
        <v>52</v>
      </c>
      <c r="Q89" s="3" t="s">
        <v>40</v>
      </c>
    </row>
    <row r="90" spans="1:17" x14ac:dyDescent="0.25">
      <c r="A90" s="2" t="s">
        <v>232</v>
      </c>
      <c r="B90" s="4">
        <v>45129</v>
      </c>
      <c r="C90" s="4" t="str">
        <f t="shared" si="4"/>
        <v>Jul</v>
      </c>
      <c r="D90" s="2" t="s">
        <v>97</v>
      </c>
      <c r="E90" s="2" t="s">
        <v>47</v>
      </c>
      <c r="F90" s="2" t="s">
        <v>48</v>
      </c>
      <c r="G90" s="2" t="s">
        <v>24</v>
      </c>
      <c r="H90" s="2" t="s">
        <v>170</v>
      </c>
      <c r="I90" s="2">
        <v>1101.69</v>
      </c>
      <c r="J90" s="2">
        <v>1</v>
      </c>
      <c r="K90" s="2">
        <v>15</v>
      </c>
      <c r="L90" s="9">
        <f t="shared" si="5"/>
        <v>1101.69</v>
      </c>
      <c r="M90" s="9">
        <f t="shared" si="6"/>
        <v>165.25350000000003</v>
      </c>
      <c r="N90" s="10">
        <f t="shared" si="7"/>
        <v>936.43650000000002</v>
      </c>
      <c r="O90" s="2" t="s">
        <v>68</v>
      </c>
      <c r="P90" s="2" t="s">
        <v>18</v>
      </c>
      <c r="Q90" s="2" t="s">
        <v>53</v>
      </c>
    </row>
    <row r="91" spans="1:17" x14ac:dyDescent="0.25">
      <c r="A91" s="3" t="s">
        <v>233</v>
      </c>
      <c r="B91" s="4">
        <v>45130</v>
      </c>
      <c r="C91" s="4" t="str">
        <f t="shared" si="4"/>
        <v>Jul</v>
      </c>
      <c r="D91" s="3" t="s">
        <v>234</v>
      </c>
      <c r="E91" s="3" t="s">
        <v>13</v>
      </c>
      <c r="F91" s="3" t="s">
        <v>14</v>
      </c>
      <c r="G91" s="3" t="s">
        <v>31</v>
      </c>
      <c r="H91" s="3" t="s">
        <v>32</v>
      </c>
      <c r="I91" s="3">
        <v>2396.6799999999998</v>
      </c>
      <c r="J91" s="3">
        <v>3</v>
      </c>
      <c r="K91" s="3">
        <v>5</v>
      </c>
      <c r="L91" s="9">
        <f t="shared" si="5"/>
        <v>7190.0399999999991</v>
      </c>
      <c r="M91" s="9">
        <f t="shared" si="6"/>
        <v>359.50199999999995</v>
      </c>
      <c r="N91" s="10">
        <f t="shared" si="7"/>
        <v>6830.5379999999986</v>
      </c>
      <c r="O91" s="3" t="s">
        <v>26</v>
      </c>
      <c r="P91" s="3" t="s">
        <v>18</v>
      </c>
      <c r="Q91" s="3" t="s">
        <v>19</v>
      </c>
    </row>
    <row r="92" spans="1:17" x14ac:dyDescent="0.25">
      <c r="A92" s="2" t="s">
        <v>235</v>
      </c>
      <c r="B92" s="4">
        <v>45131</v>
      </c>
      <c r="C92" s="4" t="str">
        <f t="shared" si="4"/>
        <v>Jul</v>
      </c>
      <c r="D92" s="2" t="s">
        <v>165</v>
      </c>
      <c r="E92" s="2" t="s">
        <v>100</v>
      </c>
      <c r="F92" s="2" t="s">
        <v>88</v>
      </c>
      <c r="G92" s="2" t="s">
        <v>24</v>
      </c>
      <c r="H92" s="2" t="s">
        <v>25</v>
      </c>
      <c r="I92" s="2">
        <v>4121.07</v>
      </c>
      <c r="J92" s="2">
        <v>4</v>
      </c>
      <c r="K92" s="2">
        <v>15</v>
      </c>
      <c r="L92" s="9">
        <f t="shared" si="5"/>
        <v>16484.28</v>
      </c>
      <c r="M92" s="9">
        <f t="shared" si="6"/>
        <v>2472.6419999999998</v>
      </c>
      <c r="N92" s="10">
        <f t="shared" si="7"/>
        <v>14011.637999999999</v>
      </c>
      <c r="O92" s="2" t="s">
        <v>26</v>
      </c>
      <c r="P92" s="2" t="s">
        <v>18</v>
      </c>
      <c r="Q92" s="2" t="s">
        <v>19</v>
      </c>
    </row>
    <row r="93" spans="1:17" x14ac:dyDescent="0.25">
      <c r="A93" s="3" t="s">
        <v>236</v>
      </c>
      <c r="B93" s="4">
        <v>45132</v>
      </c>
      <c r="C93" s="4" t="str">
        <f t="shared" si="4"/>
        <v>Jul</v>
      </c>
      <c r="D93" s="3" t="s">
        <v>237</v>
      </c>
      <c r="E93" s="3" t="s">
        <v>47</v>
      </c>
      <c r="F93" s="3" t="s">
        <v>48</v>
      </c>
      <c r="G93" s="3" t="s">
        <v>43</v>
      </c>
      <c r="H93" s="3" t="s">
        <v>105</v>
      </c>
      <c r="I93" s="3">
        <v>2893.43</v>
      </c>
      <c r="J93" s="3">
        <v>4</v>
      </c>
      <c r="K93" s="3">
        <v>5</v>
      </c>
      <c r="L93" s="9">
        <f t="shared" si="5"/>
        <v>11573.72</v>
      </c>
      <c r="M93" s="9">
        <f t="shared" si="6"/>
        <v>578.68600000000004</v>
      </c>
      <c r="N93" s="10">
        <f t="shared" si="7"/>
        <v>10995.034</v>
      </c>
      <c r="O93" s="3" t="s">
        <v>17</v>
      </c>
      <c r="P93" s="3" t="s">
        <v>18</v>
      </c>
      <c r="Q93" s="3" t="s">
        <v>40</v>
      </c>
    </row>
    <row r="94" spans="1:17" x14ac:dyDescent="0.25">
      <c r="A94" s="2" t="s">
        <v>238</v>
      </c>
      <c r="B94" s="4">
        <v>45133</v>
      </c>
      <c r="C94" s="4" t="str">
        <f t="shared" si="4"/>
        <v>Jul</v>
      </c>
      <c r="D94" s="2" t="s">
        <v>239</v>
      </c>
      <c r="E94" s="2" t="s">
        <v>47</v>
      </c>
      <c r="F94" s="2" t="s">
        <v>48</v>
      </c>
      <c r="G94" s="2" t="s">
        <v>15</v>
      </c>
      <c r="H94" s="2" t="s">
        <v>95</v>
      </c>
      <c r="I94" s="2">
        <v>1245.68</v>
      </c>
      <c r="J94" s="2">
        <v>4</v>
      </c>
      <c r="K94" s="2">
        <v>0</v>
      </c>
      <c r="L94" s="9">
        <f t="shared" si="5"/>
        <v>4982.72</v>
      </c>
      <c r="M94" s="9">
        <f t="shared" si="6"/>
        <v>0</v>
      </c>
      <c r="N94" s="10">
        <f t="shared" si="7"/>
        <v>4982.72</v>
      </c>
      <c r="O94" s="2" t="s">
        <v>26</v>
      </c>
      <c r="P94" s="2" t="s">
        <v>18</v>
      </c>
      <c r="Q94" s="2" t="s">
        <v>60</v>
      </c>
    </row>
    <row r="95" spans="1:17" x14ac:dyDescent="0.25">
      <c r="A95" s="3" t="s">
        <v>240</v>
      </c>
      <c r="B95" s="4">
        <v>45134</v>
      </c>
      <c r="C95" s="4" t="str">
        <f t="shared" si="4"/>
        <v>Jul</v>
      </c>
      <c r="D95" s="3" t="s">
        <v>241</v>
      </c>
      <c r="E95" s="3" t="s">
        <v>29</v>
      </c>
      <c r="F95" s="3" t="s">
        <v>30</v>
      </c>
      <c r="G95" s="3" t="s">
        <v>31</v>
      </c>
      <c r="H95" s="3" t="s">
        <v>242</v>
      </c>
      <c r="I95" s="3">
        <v>863.26</v>
      </c>
      <c r="J95" s="3">
        <v>3</v>
      </c>
      <c r="K95" s="3">
        <v>10</v>
      </c>
      <c r="L95" s="9">
        <f t="shared" si="5"/>
        <v>2589.7799999999997</v>
      </c>
      <c r="M95" s="9">
        <f t="shared" si="6"/>
        <v>258.97799999999995</v>
      </c>
      <c r="N95" s="10">
        <f t="shared" si="7"/>
        <v>2330.8019999999997</v>
      </c>
      <c r="O95" s="3" t="s">
        <v>33</v>
      </c>
      <c r="P95" s="3" t="s">
        <v>18</v>
      </c>
      <c r="Q95" s="3" t="s">
        <v>40</v>
      </c>
    </row>
    <row r="96" spans="1:17" x14ac:dyDescent="0.25">
      <c r="A96" s="2" t="s">
        <v>243</v>
      </c>
      <c r="B96" s="4">
        <v>45135</v>
      </c>
      <c r="C96" s="4" t="str">
        <f t="shared" si="4"/>
        <v>Jul</v>
      </c>
      <c r="D96" s="2" t="s">
        <v>244</v>
      </c>
      <c r="E96" s="2" t="s">
        <v>13</v>
      </c>
      <c r="F96" s="2" t="s">
        <v>14</v>
      </c>
      <c r="G96" s="2" t="s">
        <v>110</v>
      </c>
      <c r="H96" s="2" t="s">
        <v>67</v>
      </c>
      <c r="I96" s="2">
        <v>4799.5600000000004</v>
      </c>
      <c r="J96" s="2">
        <v>3</v>
      </c>
      <c r="K96" s="2">
        <v>0</v>
      </c>
      <c r="L96" s="9">
        <f t="shared" si="5"/>
        <v>14398.68</v>
      </c>
      <c r="M96" s="9">
        <f t="shared" si="6"/>
        <v>0</v>
      </c>
      <c r="N96" s="10">
        <f t="shared" si="7"/>
        <v>14398.68</v>
      </c>
      <c r="O96" s="2" t="s">
        <v>17</v>
      </c>
      <c r="P96" s="2" t="s">
        <v>39</v>
      </c>
      <c r="Q96" s="2" t="s">
        <v>34</v>
      </c>
    </row>
    <row r="97" spans="1:17" x14ac:dyDescent="0.25">
      <c r="A97" s="3" t="s">
        <v>245</v>
      </c>
      <c r="B97" s="4">
        <v>45136</v>
      </c>
      <c r="C97" s="4" t="str">
        <f t="shared" si="4"/>
        <v>Jul</v>
      </c>
      <c r="D97" s="3" t="s">
        <v>246</v>
      </c>
      <c r="E97" s="3" t="s">
        <v>29</v>
      </c>
      <c r="F97" s="3" t="s">
        <v>30</v>
      </c>
      <c r="G97" s="3" t="s">
        <v>31</v>
      </c>
      <c r="H97" s="3" t="s">
        <v>186</v>
      </c>
      <c r="I97" s="3">
        <v>820.52</v>
      </c>
      <c r="J97" s="3">
        <v>1</v>
      </c>
      <c r="K97" s="3">
        <v>0</v>
      </c>
      <c r="L97" s="9">
        <f t="shared" si="5"/>
        <v>820.52</v>
      </c>
      <c r="M97" s="9">
        <f t="shared" si="6"/>
        <v>0</v>
      </c>
      <c r="N97" s="10">
        <f t="shared" si="7"/>
        <v>820.52</v>
      </c>
      <c r="O97" s="3" t="s">
        <v>33</v>
      </c>
      <c r="P97" s="3" t="s">
        <v>18</v>
      </c>
      <c r="Q97" s="3" t="s">
        <v>19</v>
      </c>
    </row>
    <row r="98" spans="1:17" x14ac:dyDescent="0.25">
      <c r="A98" s="2" t="s">
        <v>247</v>
      </c>
      <c r="B98" s="4">
        <v>45137</v>
      </c>
      <c r="C98" s="4" t="str">
        <f t="shared" si="4"/>
        <v>Jul</v>
      </c>
      <c r="D98" s="2" t="s">
        <v>248</v>
      </c>
      <c r="E98" s="2" t="s">
        <v>22</v>
      </c>
      <c r="F98" s="2" t="s">
        <v>23</v>
      </c>
      <c r="G98" s="2" t="s">
        <v>31</v>
      </c>
      <c r="H98" s="2" t="s">
        <v>116</v>
      </c>
      <c r="I98" s="2">
        <v>1259.4000000000001</v>
      </c>
      <c r="J98" s="2">
        <v>2</v>
      </c>
      <c r="K98" s="2">
        <v>0</v>
      </c>
      <c r="L98" s="9">
        <f t="shared" si="5"/>
        <v>2518.8000000000002</v>
      </c>
      <c r="M98" s="9">
        <f t="shared" si="6"/>
        <v>0</v>
      </c>
      <c r="N98" s="10">
        <f t="shared" si="7"/>
        <v>2518.8000000000002</v>
      </c>
      <c r="O98" s="2" t="s">
        <v>26</v>
      </c>
      <c r="P98" s="2" t="s">
        <v>39</v>
      </c>
      <c r="Q98" s="2" t="s">
        <v>19</v>
      </c>
    </row>
    <row r="99" spans="1:17" x14ac:dyDescent="0.25">
      <c r="A99" s="3" t="s">
        <v>249</v>
      </c>
      <c r="B99" s="4">
        <v>45138</v>
      </c>
      <c r="C99" s="4" t="str">
        <f t="shared" si="4"/>
        <v>Jul</v>
      </c>
      <c r="D99" s="3" t="s">
        <v>250</v>
      </c>
      <c r="E99" s="3" t="s">
        <v>47</v>
      </c>
      <c r="F99" s="3" t="s">
        <v>48</v>
      </c>
      <c r="G99" s="3" t="s">
        <v>72</v>
      </c>
      <c r="H99" s="3" t="s">
        <v>102</v>
      </c>
      <c r="I99" s="3">
        <v>618.41</v>
      </c>
      <c r="J99" s="3">
        <v>4</v>
      </c>
      <c r="K99" s="3">
        <v>5</v>
      </c>
      <c r="L99" s="9">
        <f t="shared" si="5"/>
        <v>2473.64</v>
      </c>
      <c r="M99" s="9">
        <f t="shared" si="6"/>
        <v>123.68199999999999</v>
      </c>
      <c r="N99" s="10">
        <f t="shared" si="7"/>
        <v>2349.9580000000001</v>
      </c>
      <c r="O99" s="3" t="s">
        <v>38</v>
      </c>
      <c r="P99" s="3" t="s">
        <v>39</v>
      </c>
      <c r="Q99" s="3" t="s">
        <v>40</v>
      </c>
    </row>
    <row r="100" spans="1:17" x14ac:dyDescent="0.25">
      <c r="A100" s="2" t="s">
        <v>251</v>
      </c>
      <c r="B100" s="4">
        <v>45139</v>
      </c>
      <c r="C100" s="4" t="str">
        <f t="shared" si="4"/>
        <v>Aug</v>
      </c>
      <c r="D100" s="2" t="s">
        <v>252</v>
      </c>
      <c r="E100" s="2" t="s">
        <v>51</v>
      </c>
      <c r="F100" s="2" t="s">
        <v>14</v>
      </c>
      <c r="G100" s="2" t="s">
        <v>72</v>
      </c>
      <c r="H100" s="2" t="s">
        <v>129</v>
      </c>
      <c r="I100" s="2">
        <v>1968.22</v>
      </c>
      <c r="J100" s="2">
        <v>5</v>
      </c>
      <c r="K100" s="2">
        <v>0</v>
      </c>
      <c r="L100" s="9">
        <f t="shared" si="5"/>
        <v>9841.1</v>
      </c>
      <c r="M100" s="9">
        <f t="shared" si="6"/>
        <v>0</v>
      </c>
      <c r="N100" s="10">
        <f t="shared" si="7"/>
        <v>9841.1</v>
      </c>
      <c r="O100" s="2" t="s">
        <v>68</v>
      </c>
      <c r="P100" s="2" t="s">
        <v>39</v>
      </c>
      <c r="Q100" s="2" t="s">
        <v>60</v>
      </c>
    </row>
    <row r="101" spans="1:17" x14ac:dyDescent="0.25">
      <c r="A101" s="3" t="s">
        <v>253</v>
      </c>
      <c r="B101" s="4">
        <v>45140</v>
      </c>
      <c r="C101" s="4" t="str">
        <f t="shared" si="4"/>
        <v>Aug</v>
      </c>
      <c r="D101" s="3" t="s">
        <v>217</v>
      </c>
      <c r="E101" s="3" t="s">
        <v>22</v>
      </c>
      <c r="F101" s="3" t="s">
        <v>23</v>
      </c>
      <c r="G101" s="3" t="s">
        <v>43</v>
      </c>
      <c r="H101" s="3" t="s">
        <v>105</v>
      </c>
      <c r="I101" s="3">
        <v>2896.78</v>
      </c>
      <c r="J101" s="3">
        <v>3</v>
      </c>
      <c r="K101" s="3">
        <v>0</v>
      </c>
      <c r="L101" s="9">
        <f t="shared" si="5"/>
        <v>8690.34</v>
      </c>
      <c r="M101" s="9">
        <f t="shared" si="6"/>
        <v>0</v>
      </c>
      <c r="N101" s="10">
        <f t="shared" si="7"/>
        <v>8690.34</v>
      </c>
      <c r="O101" s="3" t="s">
        <v>33</v>
      </c>
      <c r="P101" s="3" t="s">
        <v>39</v>
      </c>
      <c r="Q101" s="3" t="s">
        <v>34</v>
      </c>
    </row>
    <row r="102" spans="1:17" x14ac:dyDescent="0.25">
      <c r="A102" s="2" t="s">
        <v>254</v>
      </c>
      <c r="B102" s="4">
        <v>45141</v>
      </c>
      <c r="C102" s="4" t="str">
        <f t="shared" si="4"/>
        <v>Aug</v>
      </c>
      <c r="D102" s="2" t="s">
        <v>46</v>
      </c>
      <c r="E102" s="2" t="s">
        <v>76</v>
      </c>
      <c r="F102" s="2" t="s">
        <v>77</v>
      </c>
      <c r="G102" s="2" t="s">
        <v>36</v>
      </c>
      <c r="H102" s="2" t="s">
        <v>113</v>
      </c>
      <c r="I102" s="2">
        <v>129221.64</v>
      </c>
      <c r="J102" s="2">
        <v>5</v>
      </c>
      <c r="K102" s="2">
        <v>15</v>
      </c>
      <c r="L102" s="9">
        <f t="shared" si="5"/>
        <v>646108.19999999995</v>
      </c>
      <c r="M102" s="9">
        <f t="shared" si="6"/>
        <v>96916.23</v>
      </c>
      <c r="N102" s="10">
        <f t="shared" si="7"/>
        <v>549191.97</v>
      </c>
      <c r="O102" s="2" t="s">
        <v>17</v>
      </c>
      <c r="P102" s="2" t="s">
        <v>18</v>
      </c>
      <c r="Q102" s="2" t="s">
        <v>40</v>
      </c>
    </row>
    <row r="103" spans="1:17" x14ac:dyDescent="0.25">
      <c r="A103" s="3" t="s">
        <v>255</v>
      </c>
      <c r="B103" s="4">
        <v>45142</v>
      </c>
      <c r="C103" s="4" t="str">
        <f t="shared" si="4"/>
        <v>Aug</v>
      </c>
      <c r="D103" s="3" t="s">
        <v>256</v>
      </c>
      <c r="E103" s="3" t="s">
        <v>47</v>
      </c>
      <c r="F103" s="3" t="s">
        <v>48</v>
      </c>
      <c r="G103" s="3" t="s">
        <v>15</v>
      </c>
      <c r="H103" s="3" t="s">
        <v>95</v>
      </c>
      <c r="I103" s="3">
        <v>1108</v>
      </c>
      <c r="J103" s="3">
        <v>1</v>
      </c>
      <c r="K103" s="3">
        <v>0</v>
      </c>
      <c r="L103" s="9">
        <f t="shared" si="5"/>
        <v>1108</v>
      </c>
      <c r="M103" s="9">
        <f t="shared" si="6"/>
        <v>0</v>
      </c>
      <c r="N103" s="10">
        <f t="shared" si="7"/>
        <v>1108</v>
      </c>
      <c r="O103" s="3" t="s">
        <v>38</v>
      </c>
      <c r="P103" s="3" t="s">
        <v>18</v>
      </c>
      <c r="Q103" s="3" t="s">
        <v>40</v>
      </c>
    </row>
    <row r="104" spans="1:17" x14ac:dyDescent="0.25">
      <c r="A104" s="2" t="s">
        <v>257</v>
      </c>
      <c r="B104" s="4">
        <v>45143</v>
      </c>
      <c r="C104" s="4" t="str">
        <f t="shared" si="4"/>
        <v>Aug</v>
      </c>
      <c r="D104" s="2" t="s">
        <v>258</v>
      </c>
      <c r="E104" s="2" t="s">
        <v>100</v>
      </c>
      <c r="F104" s="2" t="s">
        <v>88</v>
      </c>
      <c r="G104" s="2" t="s">
        <v>43</v>
      </c>
      <c r="H104" s="2" t="s">
        <v>145</v>
      </c>
      <c r="I104" s="2">
        <v>11690.43</v>
      </c>
      <c r="J104" s="2">
        <v>5</v>
      </c>
      <c r="K104" s="2">
        <v>5</v>
      </c>
      <c r="L104" s="9">
        <f t="shared" si="5"/>
        <v>58452.15</v>
      </c>
      <c r="M104" s="9">
        <f t="shared" si="6"/>
        <v>2922.6075000000001</v>
      </c>
      <c r="N104" s="10">
        <f t="shared" si="7"/>
        <v>55529.542500000003</v>
      </c>
      <c r="O104" s="2" t="s">
        <v>17</v>
      </c>
      <c r="P104" s="2" t="s">
        <v>27</v>
      </c>
      <c r="Q104" s="2" t="s">
        <v>53</v>
      </c>
    </row>
    <row r="105" spans="1:17" x14ac:dyDescent="0.25">
      <c r="A105" s="3" t="s">
        <v>259</v>
      </c>
      <c r="B105" s="4">
        <v>45144</v>
      </c>
      <c r="C105" s="4" t="str">
        <f t="shared" si="4"/>
        <v>Aug</v>
      </c>
      <c r="D105" s="3" t="s">
        <v>12</v>
      </c>
      <c r="E105" s="3" t="s">
        <v>76</v>
      </c>
      <c r="F105" s="3" t="s">
        <v>77</v>
      </c>
      <c r="G105" s="3" t="s">
        <v>110</v>
      </c>
      <c r="H105" s="3" t="s">
        <v>67</v>
      </c>
      <c r="I105" s="3">
        <v>4895.1499999999996</v>
      </c>
      <c r="J105" s="3">
        <v>3</v>
      </c>
      <c r="K105" s="3">
        <v>5</v>
      </c>
      <c r="L105" s="9">
        <f t="shared" si="5"/>
        <v>14685.449999999999</v>
      </c>
      <c r="M105" s="9">
        <f t="shared" si="6"/>
        <v>734.27250000000004</v>
      </c>
      <c r="N105" s="10">
        <f t="shared" si="7"/>
        <v>13951.177499999998</v>
      </c>
      <c r="O105" s="3" t="s">
        <v>38</v>
      </c>
      <c r="P105" s="3" t="s">
        <v>18</v>
      </c>
      <c r="Q105" s="3" t="s">
        <v>60</v>
      </c>
    </row>
    <row r="106" spans="1:17" x14ac:dyDescent="0.25">
      <c r="A106" s="2" t="s">
        <v>260</v>
      </c>
      <c r="B106" s="4">
        <v>45145</v>
      </c>
      <c r="C106" s="4" t="str">
        <f t="shared" si="4"/>
        <v>Aug</v>
      </c>
      <c r="D106" s="2" t="s">
        <v>261</v>
      </c>
      <c r="E106" s="2" t="s">
        <v>22</v>
      </c>
      <c r="F106" s="2" t="s">
        <v>23</v>
      </c>
      <c r="G106" s="2" t="s">
        <v>15</v>
      </c>
      <c r="H106" s="2" t="s">
        <v>16</v>
      </c>
      <c r="I106" s="2">
        <v>1513.34</v>
      </c>
      <c r="J106" s="2">
        <v>3</v>
      </c>
      <c r="K106" s="2">
        <v>0</v>
      </c>
      <c r="L106" s="9">
        <f t="shared" si="5"/>
        <v>4540.0199999999995</v>
      </c>
      <c r="M106" s="9">
        <f t="shared" si="6"/>
        <v>0</v>
      </c>
      <c r="N106" s="10">
        <f t="shared" si="7"/>
        <v>4540.0199999999995</v>
      </c>
      <c r="O106" s="2" t="s">
        <v>33</v>
      </c>
      <c r="P106" s="2" t="s">
        <v>18</v>
      </c>
      <c r="Q106" s="2" t="s">
        <v>53</v>
      </c>
    </row>
    <row r="107" spans="1:17" x14ac:dyDescent="0.25">
      <c r="A107" s="3" t="s">
        <v>262</v>
      </c>
      <c r="B107" s="4">
        <v>45146</v>
      </c>
      <c r="C107" s="4" t="str">
        <f t="shared" si="4"/>
        <v>Aug</v>
      </c>
      <c r="D107" s="3" t="s">
        <v>263</v>
      </c>
      <c r="E107" s="3" t="s">
        <v>51</v>
      </c>
      <c r="F107" s="3" t="s">
        <v>14</v>
      </c>
      <c r="G107" s="3" t="s">
        <v>15</v>
      </c>
      <c r="H107" s="3" t="s">
        <v>56</v>
      </c>
      <c r="I107" s="3">
        <v>1969.59</v>
      </c>
      <c r="J107" s="3">
        <v>1</v>
      </c>
      <c r="K107" s="3">
        <v>0</v>
      </c>
      <c r="L107" s="9">
        <f t="shared" si="5"/>
        <v>1969.59</v>
      </c>
      <c r="M107" s="9">
        <f t="shared" si="6"/>
        <v>0</v>
      </c>
      <c r="N107" s="10">
        <f t="shared" si="7"/>
        <v>1969.59</v>
      </c>
      <c r="O107" s="3" t="s">
        <v>26</v>
      </c>
      <c r="P107" s="3" t="s">
        <v>18</v>
      </c>
      <c r="Q107" s="3" t="s">
        <v>19</v>
      </c>
    </row>
    <row r="108" spans="1:17" x14ac:dyDescent="0.25">
      <c r="A108" s="2" t="s">
        <v>264</v>
      </c>
      <c r="B108" s="4">
        <v>45147</v>
      </c>
      <c r="C108" s="4" t="str">
        <f t="shared" si="4"/>
        <v>Aug</v>
      </c>
      <c r="D108" s="2" t="s">
        <v>265</v>
      </c>
      <c r="E108" s="2" t="s">
        <v>51</v>
      </c>
      <c r="F108" s="2" t="s">
        <v>14</v>
      </c>
      <c r="G108" s="2" t="s">
        <v>110</v>
      </c>
      <c r="H108" s="2" t="s">
        <v>153</v>
      </c>
      <c r="I108" s="2">
        <v>3719.14</v>
      </c>
      <c r="J108" s="2">
        <v>2</v>
      </c>
      <c r="K108" s="2">
        <v>0</v>
      </c>
      <c r="L108" s="9">
        <f t="shared" si="5"/>
        <v>7438.28</v>
      </c>
      <c r="M108" s="9">
        <f t="shared" si="6"/>
        <v>0</v>
      </c>
      <c r="N108" s="10">
        <f t="shared" si="7"/>
        <v>7438.28</v>
      </c>
      <c r="O108" s="2" t="s">
        <v>26</v>
      </c>
      <c r="P108" s="2" t="s">
        <v>39</v>
      </c>
      <c r="Q108" s="2" t="s">
        <v>19</v>
      </c>
    </row>
    <row r="109" spans="1:17" x14ac:dyDescent="0.25">
      <c r="A109" s="3" t="s">
        <v>266</v>
      </c>
      <c r="B109" s="4">
        <v>45148</v>
      </c>
      <c r="C109" s="4" t="str">
        <f t="shared" si="4"/>
        <v>Aug</v>
      </c>
      <c r="D109" s="3" t="s">
        <v>62</v>
      </c>
      <c r="E109" s="3" t="s">
        <v>100</v>
      </c>
      <c r="F109" s="3" t="s">
        <v>88</v>
      </c>
      <c r="G109" s="3" t="s">
        <v>110</v>
      </c>
      <c r="H109" s="3" t="s">
        <v>215</v>
      </c>
      <c r="I109" s="3">
        <v>2649.26</v>
      </c>
      <c r="J109" s="3">
        <v>1</v>
      </c>
      <c r="K109" s="3">
        <v>0</v>
      </c>
      <c r="L109" s="9">
        <f t="shared" si="5"/>
        <v>2649.26</v>
      </c>
      <c r="M109" s="9">
        <f t="shared" si="6"/>
        <v>0</v>
      </c>
      <c r="N109" s="10">
        <f t="shared" si="7"/>
        <v>2649.26</v>
      </c>
      <c r="O109" s="3" t="s">
        <v>68</v>
      </c>
      <c r="P109" s="3" t="s">
        <v>18</v>
      </c>
      <c r="Q109" s="3" t="s">
        <v>40</v>
      </c>
    </row>
    <row r="110" spans="1:17" x14ac:dyDescent="0.25">
      <c r="A110" s="2" t="s">
        <v>267</v>
      </c>
      <c r="B110" s="4">
        <v>45149</v>
      </c>
      <c r="C110" s="4" t="str">
        <f t="shared" si="4"/>
        <v>Aug</v>
      </c>
      <c r="D110" s="2" t="s">
        <v>268</v>
      </c>
      <c r="E110" s="2" t="s">
        <v>87</v>
      </c>
      <c r="F110" s="2" t="s">
        <v>88</v>
      </c>
      <c r="G110" s="2" t="s">
        <v>36</v>
      </c>
      <c r="H110" s="2" t="s">
        <v>49</v>
      </c>
      <c r="I110" s="2">
        <v>142961.03</v>
      </c>
      <c r="J110" s="2">
        <v>2</v>
      </c>
      <c r="K110" s="2">
        <v>5</v>
      </c>
      <c r="L110" s="9">
        <f t="shared" si="5"/>
        <v>285922.06</v>
      </c>
      <c r="M110" s="9">
        <f t="shared" si="6"/>
        <v>14296.103000000001</v>
      </c>
      <c r="N110" s="10">
        <f t="shared" si="7"/>
        <v>271625.95699999999</v>
      </c>
      <c r="O110" s="2" t="s">
        <v>17</v>
      </c>
      <c r="P110" s="2" t="s">
        <v>18</v>
      </c>
      <c r="Q110" s="2" t="s">
        <v>40</v>
      </c>
    </row>
    <row r="111" spans="1:17" x14ac:dyDescent="0.25">
      <c r="A111" s="3" t="s">
        <v>269</v>
      </c>
      <c r="B111" s="4">
        <v>45150</v>
      </c>
      <c r="C111" s="4" t="str">
        <f t="shared" si="4"/>
        <v>Aug</v>
      </c>
      <c r="D111" s="3" t="s">
        <v>270</v>
      </c>
      <c r="E111" s="3" t="s">
        <v>83</v>
      </c>
      <c r="F111" s="3" t="s">
        <v>84</v>
      </c>
      <c r="G111" s="3" t="s">
        <v>110</v>
      </c>
      <c r="H111" s="3" t="s">
        <v>207</v>
      </c>
      <c r="I111" s="3">
        <v>8418.41</v>
      </c>
      <c r="J111" s="3">
        <v>2</v>
      </c>
      <c r="K111" s="3">
        <v>0</v>
      </c>
      <c r="L111" s="9">
        <f t="shared" si="5"/>
        <v>16836.82</v>
      </c>
      <c r="M111" s="9">
        <f t="shared" si="6"/>
        <v>0</v>
      </c>
      <c r="N111" s="10">
        <f t="shared" si="7"/>
        <v>16836.82</v>
      </c>
      <c r="O111" s="3" t="s">
        <v>68</v>
      </c>
      <c r="P111" s="3" t="s">
        <v>27</v>
      </c>
      <c r="Q111" s="3" t="s">
        <v>19</v>
      </c>
    </row>
    <row r="112" spans="1:17" x14ac:dyDescent="0.25">
      <c r="A112" s="2" t="s">
        <v>271</v>
      </c>
      <c r="B112" s="4">
        <v>45151</v>
      </c>
      <c r="C112" s="4" t="str">
        <f t="shared" si="4"/>
        <v>Aug</v>
      </c>
      <c r="D112" s="2" t="s">
        <v>272</v>
      </c>
      <c r="E112" s="2" t="s">
        <v>13</v>
      </c>
      <c r="F112" s="2" t="s">
        <v>14</v>
      </c>
      <c r="G112" s="2" t="s">
        <v>36</v>
      </c>
      <c r="H112" s="2" t="s">
        <v>37</v>
      </c>
      <c r="I112" s="2">
        <v>12833.52</v>
      </c>
      <c r="J112" s="2">
        <v>4</v>
      </c>
      <c r="K112" s="2">
        <v>0</v>
      </c>
      <c r="L112" s="9">
        <f t="shared" si="5"/>
        <v>51334.080000000002</v>
      </c>
      <c r="M112" s="9">
        <f t="shared" si="6"/>
        <v>0</v>
      </c>
      <c r="N112" s="10">
        <f t="shared" si="7"/>
        <v>51334.080000000002</v>
      </c>
      <c r="O112" s="2" t="s">
        <v>68</v>
      </c>
      <c r="P112" s="2" t="s">
        <v>18</v>
      </c>
      <c r="Q112" s="2" t="s">
        <v>60</v>
      </c>
    </row>
    <row r="113" spans="1:17" x14ac:dyDescent="0.25">
      <c r="A113" s="3" t="s">
        <v>273</v>
      </c>
      <c r="B113" s="4">
        <v>45152</v>
      </c>
      <c r="C113" s="4" t="str">
        <f t="shared" si="4"/>
        <v>Aug</v>
      </c>
      <c r="D113" s="3" t="s">
        <v>231</v>
      </c>
      <c r="E113" s="3" t="s">
        <v>29</v>
      </c>
      <c r="F113" s="3" t="s">
        <v>30</v>
      </c>
      <c r="G113" s="3" t="s">
        <v>24</v>
      </c>
      <c r="H113" s="3" t="s">
        <v>92</v>
      </c>
      <c r="I113" s="3">
        <v>1387.86</v>
      </c>
      <c r="J113" s="3">
        <v>5</v>
      </c>
      <c r="K113" s="3">
        <v>5</v>
      </c>
      <c r="L113" s="9">
        <f t="shared" si="5"/>
        <v>6939.2999999999993</v>
      </c>
      <c r="M113" s="9">
        <f t="shared" si="6"/>
        <v>346.96499999999997</v>
      </c>
      <c r="N113" s="10">
        <f t="shared" si="7"/>
        <v>6592.3349999999991</v>
      </c>
      <c r="O113" s="3" t="s">
        <v>17</v>
      </c>
      <c r="P113" s="3" t="s">
        <v>52</v>
      </c>
      <c r="Q113" s="3" t="s">
        <v>34</v>
      </c>
    </row>
    <row r="114" spans="1:17" x14ac:dyDescent="0.25">
      <c r="A114" s="2" t="s">
        <v>274</v>
      </c>
      <c r="B114" s="4">
        <v>45153</v>
      </c>
      <c r="C114" s="4" t="str">
        <f t="shared" si="4"/>
        <v>Aug</v>
      </c>
      <c r="D114" s="2" t="s">
        <v>275</v>
      </c>
      <c r="E114" s="2" t="s">
        <v>47</v>
      </c>
      <c r="F114" s="2" t="s">
        <v>48</v>
      </c>
      <c r="G114" s="2" t="s">
        <v>43</v>
      </c>
      <c r="H114" s="2" t="s">
        <v>89</v>
      </c>
      <c r="I114" s="2">
        <v>4594.88</v>
      </c>
      <c r="J114" s="2">
        <v>1</v>
      </c>
      <c r="K114" s="2">
        <v>15</v>
      </c>
      <c r="L114" s="9">
        <f t="shared" si="5"/>
        <v>4594.88</v>
      </c>
      <c r="M114" s="9">
        <f t="shared" si="6"/>
        <v>689.23199999999997</v>
      </c>
      <c r="N114" s="10">
        <f t="shared" si="7"/>
        <v>3905.6480000000001</v>
      </c>
      <c r="O114" s="2" t="s">
        <v>68</v>
      </c>
      <c r="P114" s="2" t="s">
        <v>39</v>
      </c>
      <c r="Q114" s="2" t="s">
        <v>19</v>
      </c>
    </row>
    <row r="115" spans="1:17" x14ac:dyDescent="0.25">
      <c r="A115" s="3" t="s">
        <v>276</v>
      </c>
      <c r="B115" s="4">
        <v>45154</v>
      </c>
      <c r="C115" s="4" t="str">
        <f t="shared" si="4"/>
        <v>Aug</v>
      </c>
      <c r="D115" s="3" t="s">
        <v>277</v>
      </c>
      <c r="E115" s="3" t="s">
        <v>76</v>
      </c>
      <c r="F115" s="3" t="s">
        <v>77</v>
      </c>
      <c r="G115" s="3" t="s">
        <v>24</v>
      </c>
      <c r="H115" s="3" t="s">
        <v>134</v>
      </c>
      <c r="I115" s="3">
        <v>2419.4699999999998</v>
      </c>
      <c r="J115" s="3">
        <v>4</v>
      </c>
      <c r="K115" s="3">
        <v>0</v>
      </c>
      <c r="L115" s="9">
        <f t="shared" si="5"/>
        <v>9677.8799999999992</v>
      </c>
      <c r="M115" s="9">
        <f t="shared" si="6"/>
        <v>0</v>
      </c>
      <c r="N115" s="10">
        <f t="shared" si="7"/>
        <v>9677.8799999999992</v>
      </c>
      <c r="O115" s="3" t="s">
        <v>33</v>
      </c>
      <c r="P115" s="3" t="s">
        <v>27</v>
      </c>
      <c r="Q115" s="3" t="s">
        <v>40</v>
      </c>
    </row>
    <row r="116" spans="1:17" x14ac:dyDescent="0.25">
      <c r="A116" s="2" t="s">
        <v>278</v>
      </c>
      <c r="B116" s="4">
        <v>45155</v>
      </c>
      <c r="C116" s="4" t="str">
        <f t="shared" si="4"/>
        <v>Aug</v>
      </c>
      <c r="D116" s="2" t="s">
        <v>279</v>
      </c>
      <c r="E116" s="2" t="s">
        <v>47</v>
      </c>
      <c r="F116" s="2" t="s">
        <v>48</v>
      </c>
      <c r="G116" s="2" t="s">
        <v>31</v>
      </c>
      <c r="H116" s="2" t="s">
        <v>186</v>
      </c>
      <c r="I116" s="2">
        <v>829.89</v>
      </c>
      <c r="J116" s="2">
        <v>4</v>
      </c>
      <c r="K116" s="2">
        <v>0</v>
      </c>
      <c r="L116" s="9">
        <f t="shared" si="5"/>
        <v>3319.56</v>
      </c>
      <c r="M116" s="9">
        <f t="shared" si="6"/>
        <v>0</v>
      </c>
      <c r="N116" s="10">
        <f t="shared" si="7"/>
        <v>3319.56</v>
      </c>
      <c r="O116" s="2" t="s">
        <v>68</v>
      </c>
      <c r="P116" s="2" t="s">
        <v>39</v>
      </c>
      <c r="Q116" s="2" t="s">
        <v>40</v>
      </c>
    </row>
    <row r="117" spans="1:17" x14ac:dyDescent="0.25">
      <c r="A117" s="3" t="s">
        <v>280</v>
      </c>
      <c r="B117" s="4">
        <v>45156</v>
      </c>
      <c r="C117" s="4" t="str">
        <f t="shared" si="4"/>
        <v>Aug</v>
      </c>
      <c r="D117" s="3" t="s">
        <v>281</v>
      </c>
      <c r="E117" s="3" t="s">
        <v>87</v>
      </c>
      <c r="F117" s="3" t="s">
        <v>88</v>
      </c>
      <c r="G117" s="3" t="s">
        <v>72</v>
      </c>
      <c r="H117" s="3" t="s">
        <v>102</v>
      </c>
      <c r="I117" s="3">
        <v>657.33</v>
      </c>
      <c r="J117" s="3">
        <v>5</v>
      </c>
      <c r="K117" s="3">
        <v>5</v>
      </c>
      <c r="L117" s="9">
        <f t="shared" si="5"/>
        <v>3286.65</v>
      </c>
      <c r="M117" s="9">
        <f t="shared" si="6"/>
        <v>164.33250000000001</v>
      </c>
      <c r="N117" s="10">
        <f t="shared" si="7"/>
        <v>3122.3175000000001</v>
      </c>
      <c r="O117" s="3" t="s">
        <v>17</v>
      </c>
      <c r="P117" s="3" t="s">
        <v>18</v>
      </c>
      <c r="Q117" s="3" t="s">
        <v>40</v>
      </c>
    </row>
    <row r="118" spans="1:17" x14ac:dyDescent="0.25">
      <c r="A118" s="2" t="s">
        <v>282</v>
      </c>
      <c r="B118" s="4">
        <v>45157</v>
      </c>
      <c r="C118" s="4" t="str">
        <f t="shared" si="4"/>
        <v>Aug</v>
      </c>
      <c r="D118" s="2" t="s">
        <v>283</v>
      </c>
      <c r="E118" s="2" t="s">
        <v>65</v>
      </c>
      <c r="F118" s="2" t="s">
        <v>66</v>
      </c>
      <c r="G118" s="2" t="s">
        <v>72</v>
      </c>
      <c r="H118" s="2" t="s">
        <v>81</v>
      </c>
      <c r="I118" s="2">
        <v>1640.52</v>
      </c>
      <c r="J118" s="2">
        <v>5</v>
      </c>
      <c r="K118" s="2">
        <v>10</v>
      </c>
      <c r="L118" s="9">
        <f t="shared" si="5"/>
        <v>8202.6</v>
      </c>
      <c r="M118" s="9">
        <f t="shared" si="6"/>
        <v>820.26</v>
      </c>
      <c r="N118" s="10">
        <f t="shared" si="7"/>
        <v>7382.34</v>
      </c>
      <c r="O118" s="2" t="s">
        <v>38</v>
      </c>
      <c r="P118" s="2" t="s">
        <v>18</v>
      </c>
      <c r="Q118" s="2" t="s">
        <v>19</v>
      </c>
    </row>
    <row r="119" spans="1:17" x14ac:dyDescent="0.25">
      <c r="A119" s="3" t="s">
        <v>284</v>
      </c>
      <c r="B119" s="4">
        <v>45158</v>
      </c>
      <c r="C119" s="4" t="str">
        <f t="shared" si="4"/>
        <v>Aug</v>
      </c>
      <c r="D119" s="3" t="s">
        <v>285</v>
      </c>
      <c r="E119" s="3" t="s">
        <v>76</v>
      </c>
      <c r="F119" s="3" t="s">
        <v>77</v>
      </c>
      <c r="G119" s="3" t="s">
        <v>24</v>
      </c>
      <c r="H119" s="3" t="s">
        <v>92</v>
      </c>
      <c r="I119" s="3">
        <v>1455.03</v>
      </c>
      <c r="J119" s="3">
        <v>5</v>
      </c>
      <c r="K119" s="3">
        <v>10</v>
      </c>
      <c r="L119" s="9">
        <f t="shared" si="5"/>
        <v>7275.15</v>
      </c>
      <c r="M119" s="9">
        <f t="shared" si="6"/>
        <v>727.51499999999999</v>
      </c>
      <c r="N119" s="10">
        <f t="shared" si="7"/>
        <v>6547.6349999999993</v>
      </c>
      <c r="O119" s="3" t="s">
        <v>68</v>
      </c>
      <c r="P119" s="3" t="s">
        <v>39</v>
      </c>
      <c r="Q119" s="3" t="s">
        <v>34</v>
      </c>
    </row>
    <row r="120" spans="1:17" x14ac:dyDescent="0.25">
      <c r="A120" s="2" t="s">
        <v>286</v>
      </c>
      <c r="B120" s="4">
        <v>45159</v>
      </c>
      <c r="C120" s="4" t="str">
        <f t="shared" si="4"/>
        <v>Aug</v>
      </c>
      <c r="D120" s="2" t="s">
        <v>241</v>
      </c>
      <c r="E120" s="2" t="s">
        <v>83</v>
      </c>
      <c r="F120" s="2" t="s">
        <v>84</v>
      </c>
      <c r="G120" s="2" t="s">
        <v>72</v>
      </c>
      <c r="H120" s="2" t="s">
        <v>73</v>
      </c>
      <c r="I120" s="2">
        <v>357.95</v>
      </c>
      <c r="J120" s="2">
        <v>5</v>
      </c>
      <c r="K120" s="2">
        <v>0</v>
      </c>
      <c r="L120" s="9">
        <f t="shared" si="5"/>
        <v>1789.75</v>
      </c>
      <c r="M120" s="9">
        <f t="shared" si="6"/>
        <v>0</v>
      </c>
      <c r="N120" s="10">
        <f t="shared" si="7"/>
        <v>1789.75</v>
      </c>
      <c r="O120" s="2" t="s">
        <v>17</v>
      </c>
      <c r="P120" s="2" t="s">
        <v>27</v>
      </c>
      <c r="Q120" s="2" t="s">
        <v>34</v>
      </c>
    </row>
    <row r="121" spans="1:17" x14ac:dyDescent="0.25">
      <c r="A121" s="3" t="s">
        <v>287</v>
      </c>
      <c r="B121" s="4">
        <v>45160</v>
      </c>
      <c r="C121" s="4" t="str">
        <f t="shared" si="4"/>
        <v>Aug</v>
      </c>
      <c r="D121" s="3" t="s">
        <v>288</v>
      </c>
      <c r="E121" s="3" t="s">
        <v>47</v>
      </c>
      <c r="F121" s="3" t="s">
        <v>48</v>
      </c>
      <c r="G121" s="3" t="s">
        <v>31</v>
      </c>
      <c r="H121" s="3" t="s">
        <v>116</v>
      </c>
      <c r="I121" s="3">
        <v>1081.47</v>
      </c>
      <c r="J121" s="3">
        <v>2</v>
      </c>
      <c r="K121" s="3">
        <v>15</v>
      </c>
      <c r="L121" s="9">
        <f t="shared" si="5"/>
        <v>2162.94</v>
      </c>
      <c r="M121" s="9">
        <f t="shared" si="6"/>
        <v>324.44100000000003</v>
      </c>
      <c r="N121" s="10">
        <f t="shared" si="7"/>
        <v>1838.499</v>
      </c>
      <c r="O121" s="3" t="s">
        <v>33</v>
      </c>
      <c r="P121" s="3" t="s">
        <v>18</v>
      </c>
      <c r="Q121" s="3" t="s">
        <v>53</v>
      </c>
    </row>
    <row r="122" spans="1:17" x14ac:dyDescent="0.25">
      <c r="A122" s="2" t="s">
        <v>289</v>
      </c>
      <c r="B122" s="4">
        <v>45161</v>
      </c>
      <c r="C122" s="4" t="str">
        <f t="shared" si="4"/>
        <v>Aug</v>
      </c>
      <c r="D122" s="2" t="s">
        <v>290</v>
      </c>
      <c r="E122" s="2" t="s">
        <v>22</v>
      </c>
      <c r="F122" s="2" t="s">
        <v>23</v>
      </c>
      <c r="G122" s="2" t="s">
        <v>15</v>
      </c>
      <c r="H122" s="2" t="s">
        <v>56</v>
      </c>
      <c r="I122" s="2">
        <v>1697.45</v>
      </c>
      <c r="J122" s="2">
        <v>4</v>
      </c>
      <c r="K122" s="2">
        <v>0</v>
      </c>
      <c r="L122" s="9">
        <f t="shared" si="5"/>
        <v>6789.8</v>
      </c>
      <c r="M122" s="9">
        <f t="shared" si="6"/>
        <v>0</v>
      </c>
      <c r="N122" s="10">
        <f t="shared" si="7"/>
        <v>6789.8</v>
      </c>
      <c r="O122" s="2" t="s">
        <v>38</v>
      </c>
      <c r="P122" s="2" t="s">
        <v>18</v>
      </c>
      <c r="Q122" s="2" t="s">
        <v>34</v>
      </c>
    </row>
    <row r="123" spans="1:17" x14ac:dyDescent="0.25">
      <c r="A123" s="3" t="s">
        <v>291</v>
      </c>
      <c r="B123" s="4">
        <v>45162</v>
      </c>
      <c r="C123" s="4" t="str">
        <f t="shared" si="4"/>
        <v>Aug</v>
      </c>
      <c r="D123" s="3" t="s">
        <v>292</v>
      </c>
      <c r="E123" s="3" t="s">
        <v>29</v>
      </c>
      <c r="F123" s="3" t="s">
        <v>30</v>
      </c>
      <c r="G123" s="3" t="s">
        <v>110</v>
      </c>
      <c r="H123" s="3" t="s">
        <v>207</v>
      </c>
      <c r="I123" s="3">
        <v>9151.68</v>
      </c>
      <c r="J123" s="3">
        <v>2</v>
      </c>
      <c r="K123" s="3">
        <v>0</v>
      </c>
      <c r="L123" s="9">
        <f t="shared" si="5"/>
        <v>18303.36</v>
      </c>
      <c r="M123" s="9">
        <f t="shared" si="6"/>
        <v>0</v>
      </c>
      <c r="N123" s="10">
        <f t="shared" si="7"/>
        <v>18303.36</v>
      </c>
      <c r="O123" s="3" t="s">
        <v>17</v>
      </c>
      <c r="P123" s="3" t="s">
        <v>18</v>
      </c>
      <c r="Q123" s="3" t="s">
        <v>40</v>
      </c>
    </row>
    <row r="124" spans="1:17" x14ac:dyDescent="0.25">
      <c r="A124" s="2" t="s">
        <v>293</v>
      </c>
      <c r="B124" s="4">
        <v>45163</v>
      </c>
      <c r="C124" s="4" t="str">
        <f t="shared" si="4"/>
        <v>Aug</v>
      </c>
      <c r="D124" s="2" t="s">
        <v>272</v>
      </c>
      <c r="E124" s="2" t="s">
        <v>65</v>
      </c>
      <c r="F124" s="2" t="s">
        <v>66</v>
      </c>
      <c r="G124" s="2" t="s">
        <v>43</v>
      </c>
      <c r="H124" s="2" t="s">
        <v>89</v>
      </c>
      <c r="I124" s="2">
        <v>4447.84</v>
      </c>
      <c r="J124" s="2">
        <v>3</v>
      </c>
      <c r="K124" s="2">
        <v>5</v>
      </c>
      <c r="L124" s="9">
        <f t="shared" si="5"/>
        <v>13343.52</v>
      </c>
      <c r="M124" s="9">
        <f t="shared" si="6"/>
        <v>667.17600000000004</v>
      </c>
      <c r="N124" s="10">
        <f t="shared" si="7"/>
        <v>12676.344000000001</v>
      </c>
      <c r="O124" s="2" t="s">
        <v>17</v>
      </c>
      <c r="P124" s="2" t="s">
        <v>18</v>
      </c>
      <c r="Q124" s="2" t="s">
        <v>34</v>
      </c>
    </row>
    <row r="125" spans="1:17" x14ac:dyDescent="0.25">
      <c r="A125" s="3" t="s">
        <v>294</v>
      </c>
      <c r="B125" s="4">
        <v>45164</v>
      </c>
      <c r="C125" s="4" t="str">
        <f t="shared" si="4"/>
        <v>Aug</v>
      </c>
      <c r="D125" s="3" t="s">
        <v>295</v>
      </c>
      <c r="E125" s="3" t="s">
        <v>29</v>
      </c>
      <c r="F125" s="3" t="s">
        <v>30</v>
      </c>
      <c r="G125" s="3" t="s">
        <v>43</v>
      </c>
      <c r="H125" s="3" t="s">
        <v>89</v>
      </c>
      <c r="I125" s="3">
        <v>4650.42</v>
      </c>
      <c r="J125" s="3">
        <v>1</v>
      </c>
      <c r="K125" s="3">
        <v>0</v>
      </c>
      <c r="L125" s="9">
        <f t="shared" si="5"/>
        <v>4650.42</v>
      </c>
      <c r="M125" s="9">
        <f t="shared" si="6"/>
        <v>0</v>
      </c>
      <c r="N125" s="10">
        <f t="shared" si="7"/>
        <v>4650.42</v>
      </c>
      <c r="O125" s="3" t="s">
        <v>33</v>
      </c>
      <c r="P125" s="3" t="s">
        <v>52</v>
      </c>
      <c r="Q125" s="3" t="s">
        <v>40</v>
      </c>
    </row>
    <row r="126" spans="1:17" x14ac:dyDescent="0.25">
      <c r="A126" s="2" t="s">
        <v>296</v>
      </c>
      <c r="B126" s="4">
        <v>45165</v>
      </c>
      <c r="C126" s="4" t="str">
        <f t="shared" si="4"/>
        <v>Aug</v>
      </c>
      <c r="D126" s="2" t="s">
        <v>297</v>
      </c>
      <c r="E126" s="2" t="s">
        <v>51</v>
      </c>
      <c r="F126" s="2" t="s">
        <v>14</v>
      </c>
      <c r="G126" s="6" t="s">
        <v>72</v>
      </c>
      <c r="H126" s="2" t="s">
        <v>102</v>
      </c>
      <c r="I126" s="2">
        <v>684.34</v>
      </c>
      <c r="J126" s="2">
        <v>3</v>
      </c>
      <c r="K126" s="2">
        <v>15</v>
      </c>
      <c r="L126" s="9">
        <f t="shared" si="5"/>
        <v>2053.02</v>
      </c>
      <c r="M126" s="9">
        <f t="shared" si="6"/>
        <v>307.95299999999997</v>
      </c>
      <c r="N126" s="10">
        <f t="shared" si="7"/>
        <v>1745.067</v>
      </c>
      <c r="O126" s="2" t="s">
        <v>68</v>
      </c>
      <c r="P126" s="2" t="s">
        <v>18</v>
      </c>
      <c r="Q126" s="2" t="s">
        <v>60</v>
      </c>
    </row>
    <row r="127" spans="1:17" x14ac:dyDescent="0.25">
      <c r="A127" s="3" t="s">
        <v>298</v>
      </c>
      <c r="B127" s="4">
        <v>45166</v>
      </c>
      <c r="C127" s="4" t="str">
        <f t="shared" si="4"/>
        <v>Aug</v>
      </c>
      <c r="D127" s="3" t="s">
        <v>299</v>
      </c>
      <c r="E127" s="3" t="s">
        <v>100</v>
      </c>
      <c r="F127" s="3" t="s">
        <v>88</v>
      </c>
      <c r="G127" s="3" t="s">
        <v>43</v>
      </c>
      <c r="H127" s="3" t="s">
        <v>89</v>
      </c>
      <c r="I127" s="3">
        <v>4683.3</v>
      </c>
      <c r="J127" s="3">
        <v>5</v>
      </c>
      <c r="K127" s="3">
        <v>15</v>
      </c>
      <c r="L127" s="9">
        <f t="shared" si="5"/>
        <v>23416.5</v>
      </c>
      <c r="M127" s="9">
        <f t="shared" si="6"/>
        <v>3512.4749999999999</v>
      </c>
      <c r="N127" s="10">
        <f t="shared" si="7"/>
        <v>19904.025000000001</v>
      </c>
      <c r="O127" s="3" t="s">
        <v>38</v>
      </c>
      <c r="P127" s="3" t="s">
        <v>18</v>
      </c>
      <c r="Q127" s="3" t="s">
        <v>60</v>
      </c>
    </row>
    <row r="128" spans="1:17" x14ac:dyDescent="0.25">
      <c r="A128" s="2" t="s">
        <v>300</v>
      </c>
      <c r="B128" s="4">
        <v>45167</v>
      </c>
      <c r="C128" s="4" t="str">
        <f t="shared" si="4"/>
        <v>Aug</v>
      </c>
      <c r="D128" s="2" t="s">
        <v>301</v>
      </c>
      <c r="E128" s="2" t="s">
        <v>13</v>
      </c>
      <c r="F128" s="2" t="s">
        <v>14</v>
      </c>
      <c r="G128" s="2" t="s">
        <v>43</v>
      </c>
      <c r="H128" s="2" t="s">
        <v>44</v>
      </c>
      <c r="I128" s="2">
        <v>3753.48</v>
      </c>
      <c r="J128" s="2">
        <v>5</v>
      </c>
      <c r="K128" s="2">
        <v>0</v>
      </c>
      <c r="L128" s="9">
        <f t="shared" si="5"/>
        <v>18767.400000000001</v>
      </c>
      <c r="M128" s="9">
        <f t="shared" si="6"/>
        <v>0</v>
      </c>
      <c r="N128" s="10">
        <f t="shared" si="7"/>
        <v>18767.400000000001</v>
      </c>
      <c r="O128" s="2" t="s">
        <v>17</v>
      </c>
      <c r="P128" s="2" t="s">
        <v>18</v>
      </c>
      <c r="Q128" s="2" t="s">
        <v>60</v>
      </c>
    </row>
    <row r="129" spans="1:17" x14ac:dyDescent="0.25">
      <c r="A129" s="3" t="s">
        <v>302</v>
      </c>
      <c r="B129" s="4">
        <v>45168</v>
      </c>
      <c r="C129" s="4" t="str">
        <f t="shared" si="4"/>
        <v>Aug</v>
      </c>
      <c r="D129" s="3" t="s">
        <v>139</v>
      </c>
      <c r="E129" s="3" t="s">
        <v>13</v>
      </c>
      <c r="F129" s="3" t="s">
        <v>14</v>
      </c>
      <c r="G129" s="3" t="s">
        <v>31</v>
      </c>
      <c r="H129" s="3" t="s">
        <v>186</v>
      </c>
      <c r="I129" s="3">
        <v>848.21</v>
      </c>
      <c r="J129" s="3">
        <v>5</v>
      </c>
      <c r="K129" s="3">
        <v>0</v>
      </c>
      <c r="L129" s="9">
        <f t="shared" si="5"/>
        <v>4241.05</v>
      </c>
      <c r="M129" s="9">
        <f t="shared" si="6"/>
        <v>0</v>
      </c>
      <c r="N129" s="10">
        <f t="shared" si="7"/>
        <v>4241.05</v>
      </c>
      <c r="O129" s="3" t="s">
        <v>38</v>
      </c>
      <c r="P129" s="3" t="s">
        <v>18</v>
      </c>
      <c r="Q129" s="3" t="s">
        <v>60</v>
      </c>
    </row>
    <row r="130" spans="1:17" x14ac:dyDescent="0.25">
      <c r="A130" s="2" t="s">
        <v>303</v>
      </c>
      <c r="B130" s="4">
        <v>45169</v>
      </c>
      <c r="C130" s="4" t="str">
        <f t="shared" ref="C130:C193" si="8">TEXT(B130,"mmm")</f>
        <v>Aug</v>
      </c>
      <c r="D130" s="2" t="s">
        <v>241</v>
      </c>
      <c r="E130" s="2" t="s">
        <v>29</v>
      </c>
      <c r="F130" s="2" t="s">
        <v>30</v>
      </c>
      <c r="G130" s="2" t="s">
        <v>43</v>
      </c>
      <c r="H130" s="2" t="s">
        <v>89</v>
      </c>
      <c r="I130" s="2">
        <v>4120.78</v>
      </c>
      <c r="J130" s="2">
        <v>3</v>
      </c>
      <c r="K130" s="2">
        <v>0</v>
      </c>
      <c r="L130" s="9">
        <f t="shared" ref="L130:L193" si="9">J130*I130</f>
        <v>12362.34</v>
      </c>
      <c r="M130" s="9">
        <f t="shared" ref="M130:M193" si="10">L130*K130/100</f>
        <v>0</v>
      </c>
      <c r="N130" s="10">
        <f t="shared" ref="N130:N193" si="11">L130-M130</f>
        <v>12362.34</v>
      </c>
      <c r="O130" s="2" t="s">
        <v>26</v>
      </c>
      <c r="P130" s="2" t="s">
        <v>18</v>
      </c>
      <c r="Q130" s="2" t="s">
        <v>53</v>
      </c>
    </row>
    <row r="131" spans="1:17" x14ac:dyDescent="0.25">
      <c r="A131" s="3" t="s">
        <v>304</v>
      </c>
      <c r="B131" s="4">
        <v>45170</v>
      </c>
      <c r="C131" s="4" t="str">
        <f t="shared" si="8"/>
        <v>Sep</v>
      </c>
      <c r="D131" s="3" t="s">
        <v>305</v>
      </c>
      <c r="E131" s="3" t="s">
        <v>22</v>
      </c>
      <c r="F131" s="3" t="s">
        <v>23</v>
      </c>
      <c r="G131" s="3" t="s">
        <v>110</v>
      </c>
      <c r="H131" s="3" t="s">
        <v>111</v>
      </c>
      <c r="I131" s="3">
        <v>8918.42</v>
      </c>
      <c r="J131" s="3">
        <v>3</v>
      </c>
      <c r="K131" s="3">
        <v>0</v>
      </c>
      <c r="L131" s="9">
        <f t="shared" si="9"/>
        <v>26755.260000000002</v>
      </c>
      <c r="M131" s="9">
        <f t="shared" si="10"/>
        <v>0</v>
      </c>
      <c r="N131" s="10">
        <f t="shared" si="11"/>
        <v>26755.260000000002</v>
      </c>
      <c r="O131" s="3" t="s">
        <v>26</v>
      </c>
      <c r="P131" s="3" t="s">
        <v>18</v>
      </c>
      <c r="Q131" s="3" t="s">
        <v>40</v>
      </c>
    </row>
    <row r="132" spans="1:17" x14ac:dyDescent="0.25">
      <c r="A132" s="2" t="s">
        <v>306</v>
      </c>
      <c r="B132" s="4">
        <v>45171</v>
      </c>
      <c r="C132" s="4" t="str">
        <f t="shared" si="8"/>
        <v>Sep</v>
      </c>
      <c r="D132" s="2" t="s">
        <v>307</v>
      </c>
      <c r="E132" s="2" t="s">
        <v>100</v>
      </c>
      <c r="F132" s="2" t="s">
        <v>88</v>
      </c>
      <c r="G132" s="2" t="s">
        <v>110</v>
      </c>
      <c r="H132" s="2" t="s">
        <v>153</v>
      </c>
      <c r="I132" s="2">
        <v>3682.15</v>
      </c>
      <c r="J132" s="2">
        <v>1</v>
      </c>
      <c r="K132" s="2">
        <v>10</v>
      </c>
      <c r="L132" s="9">
        <f t="shared" si="9"/>
        <v>3682.15</v>
      </c>
      <c r="M132" s="9">
        <f t="shared" si="10"/>
        <v>368.21499999999997</v>
      </c>
      <c r="N132" s="10">
        <f t="shared" si="11"/>
        <v>3313.9349999999999</v>
      </c>
      <c r="O132" s="2" t="s">
        <v>33</v>
      </c>
      <c r="P132" s="2" t="s">
        <v>18</v>
      </c>
      <c r="Q132" s="2" t="s">
        <v>19</v>
      </c>
    </row>
    <row r="133" spans="1:17" x14ac:dyDescent="0.25">
      <c r="A133" s="3" t="s">
        <v>308</v>
      </c>
      <c r="B133" s="4">
        <v>45172</v>
      </c>
      <c r="C133" s="4" t="str">
        <f t="shared" si="8"/>
        <v>Sep</v>
      </c>
      <c r="D133" s="3" t="s">
        <v>272</v>
      </c>
      <c r="E133" s="3" t="s">
        <v>29</v>
      </c>
      <c r="F133" s="3" t="s">
        <v>30</v>
      </c>
      <c r="G133" s="3" t="s">
        <v>15</v>
      </c>
      <c r="H133" s="3" t="s">
        <v>56</v>
      </c>
      <c r="I133" s="3">
        <v>1736.35</v>
      </c>
      <c r="J133" s="3">
        <v>3</v>
      </c>
      <c r="K133" s="3">
        <v>5</v>
      </c>
      <c r="L133" s="9">
        <f t="shared" si="9"/>
        <v>5209.0499999999993</v>
      </c>
      <c r="M133" s="9">
        <f t="shared" si="10"/>
        <v>260.45249999999999</v>
      </c>
      <c r="N133" s="10">
        <f t="shared" si="11"/>
        <v>4948.5974999999989</v>
      </c>
      <c r="O133" s="3" t="s">
        <v>33</v>
      </c>
      <c r="P133" s="3" t="s">
        <v>18</v>
      </c>
      <c r="Q133" s="3" t="s">
        <v>60</v>
      </c>
    </row>
    <row r="134" spans="1:17" x14ac:dyDescent="0.25">
      <c r="A134" s="2" t="s">
        <v>309</v>
      </c>
      <c r="B134" s="4">
        <v>45173</v>
      </c>
      <c r="C134" s="4" t="str">
        <f t="shared" si="8"/>
        <v>Sep</v>
      </c>
      <c r="D134" s="2" t="s">
        <v>118</v>
      </c>
      <c r="E134" s="2" t="s">
        <v>47</v>
      </c>
      <c r="F134" s="2" t="s">
        <v>48</v>
      </c>
      <c r="G134" s="2" t="s">
        <v>110</v>
      </c>
      <c r="H134" s="2" t="s">
        <v>207</v>
      </c>
      <c r="I134" s="2">
        <v>8248.2999999999993</v>
      </c>
      <c r="J134" s="2">
        <v>1</v>
      </c>
      <c r="K134" s="2">
        <v>0</v>
      </c>
      <c r="L134" s="9">
        <f t="shared" si="9"/>
        <v>8248.2999999999993</v>
      </c>
      <c r="M134" s="9">
        <f t="shared" si="10"/>
        <v>0</v>
      </c>
      <c r="N134" s="10">
        <f t="shared" si="11"/>
        <v>8248.2999999999993</v>
      </c>
      <c r="O134" s="2" t="s">
        <v>33</v>
      </c>
      <c r="P134" s="2" t="s">
        <v>18</v>
      </c>
      <c r="Q134" s="2" t="s">
        <v>40</v>
      </c>
    </row>
    <row r="135" spans="1:17" x14ac:dyDescent="0.25">
      <c r="A135" s="3" t="s">
        <v>310</v>
      </c>
      <c r="B135" s="4">
        <v>45174</v>
      </c>
      <c r="C135" s="4" t="str">
        <f t="shared" si="8"/>
        <v>Sep</v>
      </c>
      <c r="D135" s="3" t="s">
        <v>311</v>
      </c>
      <c r="E135" s="3" t="s">
        <v>22</v>
      </c>
      <c r="F135" s="3" t="s">
        <v>23</v>
      </c>
      <c r="G135" s="3" t="s">
        <v>15</v>
      </c>
      <c r="H135" s="3" t="s">
        <v>198</v>
      </c>
      <c r="I135" s="3">
        <v>818.4</v>
      </c>
      <c r="J135" s="3">
        <v>5</v>
      </c>
      <c r="K135" s="3">
        <v>15</v>
      </c>
      <c r="L135" s="9">
        <f t="shared" si="9"/>
        <v>4092</v>
      </c>
      <c r="M135" s="9">
        <f t="shared" si="10"/>
        <v>613.79999999999995</v>
      </c>
      <c r="N135" s="10">
        <f t="shared" si="11"/>
        <v>3478.2</v>
      </c>
      <c r="O135" s="3" t="s">
        <v>33</v>
      </c>
      <c r="P135" s="3" t="s">
        <v>52</v>
      </c>
      <c r="Q135" s="3" t="s">
        <v>19</v>
      </c>
    </row>
    <row r="136" spans="1:17" x14ac:dyDescent="0.25">
      <c r="A136" s="2" t="s">
        <v>312</v>
      </c>
      <c r="B136" s="4">
        <v>45175</v>
      </c>
      <c r="C136" s="4" t="str">
        <f t="shared" si="8"/>
        <v>Sep</v>
      </c>
      <c r="D136" s="2" t="s">
        <v>133</v>
      </c>
      <c r="E136" s="2" t="s">
        <v>29</v>
      </c>
      <c r="F136" s="2" t="s">
        <v>30</v>
      </c>
      <c r="G136" s="2" t="s">
        <v>15</v>
      </c>
      <c r="H136" s="2" t="s">
        <v>163</v>
      </c>
      <c r="I136" s="2">
        <v>2410.7600000000002</v>
      </c>
      <c r="J136" s="2">
        <v>4</v>
      </c>
      <c r="K136" s="2">
        <v>0</v>
      </c>
      <c r="L136" s="9">
        <f t="shared" si="9"/>
        <v>9643.0400000000009</v>
      </c>
      <c r="M136" s="9">
        <f t="shared" si="10"/>
        <v>0</v>
      </c>
      <c r="N136" s="10">
        <f t="shared" si="11"/>
        <v>9643.0400000000009</v>
      </c>
      <c r="O136" s="2" t="s">
        <v>26</v>
      </c>
      <c r="P136" s="2" t="s">
        <v>18</v>
      </c>
      <c r="Q136" s="2" t="s">
        <v>60</v>
      </c>
    </row>
    <row r="137" spans="1:17" x14ac:dyDescent="0.25">
      <c r="A137" s="3" t="s">
        <v>313</v>
      </c>
      <c r="B137" s="4">
        <v>45176</v>
      </c>
      <c r="C137" s="4" t="str">
        <f t="shared" si="8"/>
        <v>Sep</v>
      </c>
      <c r="D137" s="3" t="s">
        <v>314</v>
      </c>
      <c r="E137" s="3" t="s">
        <v>22</v>
      </c>
      <c r="F137" s="3" t="s">
        <v>23</v>
      </c>
      <c r="G137" s="3" t="s">
        <v>110</v>
      </c>
      <c r="H137" s="3" t="s">
        <v>153</v>
      </c>
      <c r="I137" s="3">
        <v>3177.4</v>
      </c>
      <c r="J137" s="3">
        <v>4</v>
      </c>
      <c r="K137" s="3">
        <v>0</v>
      </c>
      <c r="L137" s="9">
        <f t="shared" si="9"/>
        <v>12709.6</v>
      </c>
      <c r="M137" s="9">
        <f t="shared" si="10"/>
        <v>0</v>
      </c>
      <c r="N137" s="10">
        <f t="shared" si="11"/>
        <v>12709.6</v>
      </c>
      <c r="O137" s="3" t="s">
        <v>17</v>
      </c>
      <c r="P137" s="3" t="s">
        <v>52</v>
      </c>
      <c r="Q137" s="3" t="s">
        <v>19</v>
      </c>
    </row>
    <row r="138" spans="1:17" x14ac:dyDescent="0.25">
      <c r="A138" s="2" t="s">
        <v>315</v>
      </c>
      <c r="B138" s="4">
        <v>45177</v>
      </c>
      <c r="C138" s="4" t="str">
        <f t="shared" si="8"/>
        <v>Sep</v>
      </c>
      <c r="D138" s="2" t="s">
        <v>316</v>
      </c>
      <c r="E138" s="2" t="s">
        <v>47</v>
      </c>
      <c r="F138" s="2" t="s">
        <v>48</v>
      </c>
      <c r="G138" s="2" t="s">
        <v>43</v>
      </c>
      <c r="H138" s="2" t="s">
        <v>145</v>
      </c>
      <c r="I138" s="2">
        <v>12658.72</v>
      </c>
      <c r="J138" s="2">
        <v>5</v>
      </c>
      <c r="K138" s="2">
        <v>0</v>
      </c>
      <c r="L138" s="9">
        <f t="shared" si="9"/>
        <v>63293.599999999999</v>
      </c>
      <c r="M138" s="9">
        <f t="shared" si="10"/>
        <v>0</v>
      </c>
      <c r="N138" s="10">
        <f t="shared" si="11"/>
        <v>63293.599999999999</v>
      </c>
      <c r="O138" s="2" t="s">
        <v>38</v>
      </c>
      <c r="P138" s="2" t="s">
        <v>18</v>
      </c>
      <c r="Q138" s="2" t="s">
        <v>34</v>
      </c>
    </row>
    <row r="139" spans="1:17" x14ac:dyDescent="0.25">
      <c r="A139" s="3" t="s">
        <v>317</v>
      </c>
      <c r="B139" s="4">
        <v>45178</v>
      </c>
      <c r="C139" s="4" t="str">
        <f t="shared" si="8"/>
        <v>Sep</v>
      </c>
      <c r="D139" s="3" t="s">
        <v>318</v>
      </c>
      <c r="E139" s="3" t="s">
        <v>65</v>
      </c>
      <c r="F139" s="3" t="s">
        <v>66</v>
      </c>
      <c r="G139" s="3" t="s">
        <v>31</v>
      </c>
      <c r="H139" s="3" t="s">
        <v>116</v>
      </c>
      <c r="I139" s="3">
        <v>1253.7</v>
      </c>
      <c r="J139" s="3">
        <v>5</v>
      </c>
      <c r="K139" s="3">
        <v>15</v>
      </c>
      <c r="L139" s="9">
        <f t="shared" si="9"/>
        <v>6268.5</v>
      </c>
      <c r="M139" s="9">
        <f t="shared" si="10"/>
        <v>940.27499999999998</v>
      </c>
      <c r="N139" s="10">
        <f t="shared" si="11"/>
        <v>5328.2250000000004</v>
      </c>
      <c r="O139" s="3" t="s">
        <v>38</v>
      </c>
      <c r="P139" s="3" t="s">
        <v>18</v>
      </c>
      <c r="Q139" s="3" t="s">
        <v>19</v>
      </c>
    </row>
    <row r="140" spans="1:17" x14ac:dyDescent="0.25">
      <c r="A140" s="2" t="s">
        <v>319</v>
      </c>
      <c r="B140" s="4">
        <v>45179</v>
      </c>
      <c r="C140" s="4" t="str">
        <f t="shared" si="8"/>
        <v>Sep</v>
      </c>
      <c r="D140" s="2" t="s">
        <v>320</v>
      </c>
      <c r="E140" s="2" t="s">
        <v>47</v>
      </c>
      <c r="F140" s="2" t="s">
        <v>48</v>
      </c>
      <c r="G140" s="2" t="s">
        <v>15</v>
      </c>
      <c r="H140" s="2" t="s">
        <v>95</v>
      </c>
      <c r="I140" s="2">
        <v>1110.95</v>
      </c>
      <c r="J140" s="2">
        <v>1</v>
      </c>
      <c r="K140" s="2">
        <v>0</v>
      </c>
      <c r="L140" s="9">
        <f t="shared" si="9"/>
        <v>1110.95</v>
      </c>
      <c r="M140" s="9">
        <f t="shared" si="10"/>
        <v>0</v>
      </c>
      <c r="N140" s="10">
        <f t="shared" si="11"/>
        <v>1110.95</v>
      </c>
      <c r="O140" s="2" t="s">
        <v>17</v>
      </c>
      <c r="P140" s="2" t="s">
        <v>18</v>
      </c>
      <c r="Q140" s="2" t="s">
        <v>34</v>
      </c>
    </row>
    <row r="141" spans="1:17" x14ac:dyDescent="0.25">
      <c r="A141" s="3" t="s">
        <v>321</v>
      </c>
      <c r="B141" s="4">
        <v>45180</v>
      </c>
      <c r="C141" s="4" t="str">
        <f t="shared" si="8"/>
        <v>Sep</v>
      </c>
      <c r="D141" s="3" t="s">
        <v>244</v>
      </c>
      <c r="E141" s="3" t="s">
        <v>83</v>
      </c>
      <c r="F141" s="3" t="s">
        <v>84</v>
      </c>
      <c r="G141" s="3" t="s">
        <v>36</v>
      </c>
      <c r="H141" s="3" t="s">
        <v>121</v>
      </c>
      <c r="I141" s="3">
        <v>98238.66</v>
      </c>
      <c r="J141" s="3">
        <v>5</v>
      </c>
      <c r="K141" s="3">
        <v>0</v>
      </c>
      <c r="L141" s="9">
        <f t="shared" si="9"/>
        <v>491193.30000000005</v>
      </c>
      <c r="M141" s="9">
        <f t="shared" si="10"/>
        <v>0</v>
      </c>
      <c r="N141" s="10">
        <f t="shared" si="11"/>
        <v>491193.30000000005</v>
      </c>
      <c r="O141" s="3" t="s">
        <v>68</v>
      </c>
      <c r="P141" s="3" t="s">
        <v>18</v>
      </c>
      <c r="Q141" s="3" t="s">
        <v>34</v>
      </c>
    </row>
    <row r="142" spans="1:17" x14ac:dyDescent="0.25">
      <c r="A142" s="2" t="s">
        <v>322</v>
      </c>
      <c r="B142" s="4">
        <v>45181</v>
      </c>
      <c r="C142" s="4" t="str">
        <f t="shared" si="8"/>
        <v>Sep</v>
      </c>
      <c r="D142" s="2" t="s">
        <v>323</v>
      </c>
      <c r="E142" s="2" t="s">
        <v>76</v>
      </c>
      <c r="F142" s="2" t="s">
        <v>77</v>
      </c>
      <c r="G142" s="2" t="s">
        <v>24</v>
      </c>
      <c r="H142" s="2" t="s">
        <v>25</v>
      </c>
      <c r="I142" s="2">
        <v>4949.9799999999996</v>
      </c>
      <c r="J142" s="2">
        <v>2</v>
      </c>
      <c r="K142" s="2">
        <v>10</v>
      </c>
      <c r="L142" s="9">
        <f t="shared" si="9"/>
        <v>9899.9599999999991</v>
      </c>
      <c r="M142" s="9">
        <f t="shared" si="10"/>
        <v>989.99599999999987</v>
      </c>
      <c r="N142" s="10">
        <f t="shared" si="11"/>
        <v>8909.9639999999999</v>
      </c>
      <c r="O142" s="2" t="s">
        <v>38</v>
      </c>
      <c r="P142" s="2" t="s">
        <v>39</v>
      </c>
      <c r="Q142" s="2" t="s">
        <v>40</v>
      </c>
    </row>
    <row r="143" spans="1:17" x14ac:dyDescent="0.25">
      <c r="A143" s="3" t="s">
        <v>324</v>
      </c>
      <c r="B143" s="4">
        <v>45182</v>
      </c>
      <c r="C143" s="4" t="str">
        <f t="shared" si="8"/>
        <v>Sep</v>
      </c>
      <c r="D143" s="3" t="s">
        <v>161</v>
      </c>
      <c r="E143" s="3" t="s">
        <v>83</v>
      </c>
      <c r="F143" s="3" t="s">
        <v>84</v>
      </c>
      <c r="G143" s="3" t="s">
        <v>36</v>
      </c>
      <c r="H143" s="3" t="s">
        <v>121</v>
      </c>
      <c r="I143" s="3">
        <v>91898.52</v>
      </c>
      <c r="J143" s="3">
        <v>5</v>
      </c>
      <c r="K143" s="3">
        <v>0</v>
      </c>
      <c r="L143" s="9">
        <f t="shared" si="9"/>
        <v>459492.60000000003</v>
      </c>
      <c r="M143" s="9">
        <f t="shared" si="10"/>
        <v>0</v>
      </c>
      <c r="N143" s="10">
        <f t="shared" si="11"/>
        <v>459492.60000000003</v>
      </c>
      <c r="O143" s="3" t="s">
        <v>17</v>
      </c>
      <c r="P143" s="3" t="s">
        <v>18</v>
      </c>
      <c r="Q143" s="3" t="s">
        <v>53</v>
      </c>
    </row>
    <row r="144" spans="1:17" x14ac:dyDescent="0.25">
      <c r="A144" s="2" t="s">
        <v>325</v>
      </c>
      <c r="B144" s="4">
        <v>45183</v>
      </c>
      <c r="C144" s="4" t="str">
        <f t="shared" si="8"/>
        <v>Sep</v>
      </c>
      <c r="D144" s="2" t="s">
        <v>326</v>
      </c>
      <c r="E144" s="2" t="s">
        <v>29</v>
      </c>
      <c r="F144" s="2" t="s">
        <v>30</v>
      </c>
      <c r="G144" s="2" t="s">
        <v>72</v>
      </c>
      <c r="H144" s="2" t="s">
        <v>102</v>
      </c>
      <c r="I144" s="2">
        <v>678.75</v>
      </c>
      <c r="J144" s="2">
        <v>1</v>
      </c>
      <c r="K144" s="2">
        <v>5</v>
      </c>
      <c r="L144" s="9">
        <f t="shared" si="9"/>
        <v>678.75</v>
      </c>
      <c r="M144" s="9">
        <f t="shared" si="10"/>
        <v>33.9375</v>
      </c>
      <c r="N144" s="10">
        <f t="shared" si="11"/>
        <v>644.8125</v>
      </c>
      <c r="O144" s="2" t="s">
        <v>38</v>
      </c>
      <c r="P144" s="2" t="s">
        <v>27</v>
      </c>
      <c r="Q144" s="2" t="s">
        <v>53</v>
      </c>
    </row>
    <row r="145" spans="1:17" x14ac:dyDescent="0.25">
      <c r="A145" s="3" t="s">
        <v>327</v>
      </c>
      <c r="B145" s="4">
        <v>45184</v>
      </c>
      <c r="C145" s="4" t="str">
        <f t="shared" si="8"/>
        <v>Sep</v>
      </c>
      <c r="D145" s="3" t="s">
        <v>328</v>
      </c>
      <c r="E145" s="3" t="s">
        <v>76</v>
      </c>
      <c r="F145" s="3" t="s">
        <v>77</v>
      </c>
      <c r="G145" s="3" t="s">
        <v>24</v>
      </c>
      <c r="H145" s="3" t="s">
        <v>59</v>
      </c>
      <c r="I145" s="3">
        <v>4739.17</v>
      </c>
      <c r="J145" s="3">
        <v>4</v>
      </c>
      <c r="K145" s="3">
        <v>5</v>
      </c>
      <c r="L145" s="9">
        <f t="shared" si="9"/>
        <v>18956.68</v>
      </c>
      <c r="M145" s="9">
        <f t="shared" si="10"/>
        <v>947.83399999999995</v>
      </c>
      <c r="N145" s="10">
        <f t="shared" si="11"/>
        <v>18008.846000000001</v>
      </c>
      <c r="O145" s="3" t="s">
        <v>38</v>
      </c>
      <c r="P145" s="3" t="s">
        <v>27</v>
      </c>
      <c r="Q145" s="3" t="s">
        <v>19</v>
      </c>
    </row>
    <row r="146" spans="1:17" x14ac:dyDescent="0.25">
      <c r="A146" s="2" t="s">
        <v>329</v>
      </c>
      <c r="B146" s="4">
        <v>45185</v>
      </c>
      <c r="C146" s="4" t="str">
        <f t="shared" si="8"/>
        <v>Sep</v>
      </c>
      <c r="D146" s="2" t="s">
        <v>185</v>
      </c>
      <c r="E146" s="2" t="s">
        <v>65</v>
      </c>
      <c r="F146" s="2" t="s">
        <v>66</v>
      </c>
      <c r="G146" s="2" t="s">
        <v>110</v>
      </c>
      <c r="H146" s="2" t="s">
        <v>111</v>
      </c>
      <c r="I146" s="2">
        <v>9345.4599999999991</v>
      </c>
      <c r="J146" s="2">
        <v>2</v>
      </c>
      <c r="K146" s="2">
        <v>0</v>
      </c>
      <c r="L146" s="9">
        <f t="shared" si="9"/>
        <v>18690.919999999998</v>
      </c>
      <c r="M146" s="9">
        <f t="shared" si="10"/>
        <v>0</v>
      </c>
      <c r="N146" s="10">
        <f t="shared" si="11"/>
        <v>18690.919999999998</v>
      </c>
      <c r="O146" s="2" t="s">
        <v>17</v>
      </c>
      <c r="P146" s="2" t="s">
        <v>18</v>
      </c>
      <c r="Q146" s="2" t="s">
        <v>34</v>
      </c>
    </row>
    <row r="147" spans="1:17" x14ac:dyDescent="0.25">
      <c r="A147" s="3" t="s">
        <v>330</v>
      </c>
      <c r="B147" s="4">
        <v>45186</v>
      </c>
      <c r="C147" s="4" t="str">
        <f t="shared" si="8"/>
        <v>Sep</v>
      </c>
      <c r="D147" s="3" t="s">
        <v>331</v>
      </c>
      <c r="E147" s="3" t="s">
        <v>87</v>
      </c>
      <c r="F147" s="3" t="s">
        <v>88</v>
      </c>
      <c r="G147" s="3" t="s">
        <v>110</v>
      </c>
      <c r="H147" s="3" t="s">
        <v>207</v>
      </c>
      <c r="I147" s="3">
        <v>8859.3799999999992</v>
      </c>
      <c r="J147" s="3">
        <v>5</v>
      </c>
      <c r="K147" s="3">
        <v>0</v>
      </c>
      <c r="L147" s="9">
        <f t="shared" si="9"/>
        <v>44296.899999999994</v>
      </c>
      <c r="M147" s="9">
        <f t="shared" si="10"/>
        <v>0</v>
      </c>
      <c r="N147" s="10">
        <f t="shared" si="11"/>
        <v>44296.899999999994</v>
      </c>
      <c r="O147" s="3" t="s">
        <v>38</v>
      </c>
      <c r="P147" s="3" t="s">
        <v>18</v>
      </c>
      <c r="Q147" s="3" t="s">
        <v>53</v>
      </c>
    </row>
    <row r="148" spans="1:17" x14ac:dyDescent="0.25">
      <c r="A148" s="2" t="s">
        <v>332</v>
      </c>
      <c r="B148" s="4">
        <v>45187</v>
      </c>
      <c r="C148" s="4" t="str">
        <f t="shared" si="8"/>
        <v>Sep</v>
      </c>
      <c r="D148" s="2" t="s">
        <v>42</v>
      </c>
      <c r="E148" s="2" t="s">
        <v>100</v>
      </c>
      <c r="F148" s="2" t="s">
        <v>88</v>
      </c>
      <c r="G148" s="2" t="s">
        <v>72</v>
      </c>
      <c r="H148" s="2" t="s">
        <v>129</v>
      </c>
      <c r="I148" s="2">
        <v>1653.02</v>
      </c>
      <c r="J148" s="2">
        <v>2</v>
      </c>
      <c r="K148" s="2">
        <v>0</v>
      </c>
      <c r="L148" s="9">
        <f t="shared" si="9"/>
        <v>3306.04</v>
      </c>
      <c r="M148" s="9">
        <f t="shared" si="10"/>
        <v>0</v>
      </c>
      <c r="N148" s="10">
        <f t="shared" si="11"/>
        <v>3306.04</v>
      </c>
      <c r="O148" s="2" t="s">
        <v>38</v>
      </c>
      <c r="P148" s="2" t="s">
        <v>18</v>
      </c>
      <c r="Q148" s="2" t="s">
        <v>60</v>
      </c>
    </row>
    <row r="149" spans="1:17" x14ac:dyDescent="0.25">
      <c r="A149" s="3" t="s">
        <v>333</v>
      </c>
      <c r="B149" s="4">
        <v>45188</v>
      </c>
      <c r="C149" s="4" t="str">
        <f t="shared" si="8"/>
        <v>Sep</v>
      </c>
      <c r="D149" s="3" t="s">
        <v>334</v>
      </c>
      <c r="E149" s="3" t="s">
        <v>87</v>
      </c>
      <c r="F149" s="3" t="s">
        <v>88</v>
      </c>
      <c r="G149" s="3" t="s">
        <v>24</v>
      </c>
      <c r="H149" s="3" t="s">
        <v>134</v>
      </c>
      <c r="I149" s="3">
        <v>2747.26</v>
      </c>
      <c r="J149" s="3">
        <v>3</v>
      </c>
      <c r="K149" s="3">
        <v>15</v>
      </c>
      <c r="L149" s="9">
        <f t="shared" si="9"/>
        <v>8241.7800000000007</v>
      </c>
      <c r="M149" s="9">
        <f t="shared" si="10"/>
        <v>1236.2670000000001</v>
      </c>
      <c r="N149" s="10">
        <f t="shared" si="11"/>
        <v>7005.5130000000008</v>
      </c>
      <c r="O149" s="3" t="s">
        <v>68</v>
      </c>
      <c r="P149" s="3" t="s">
        <v>18</v>
      </c>
      <c r="Q149" s="3" t="s">
        <v>40</v>
      </c>
    </row>
    <row r="150" spans="1:17" x14ac:dyDescent="0.25">
      <c r="A150" s="2" t="s">
        <v>335</v>
      </c>
      <c r="B150" s="4">
        <v>45189</v>
      </c>
      <c r="C150" s="4" t="str">
        <f t="shared" si="8"/>
        <v>Sep</v>
      </c>
      <c r="D150" s="2" t="s">
        <v>336</v>
      </c>
      <c r="E150" s="2" t="s">
        <v>100</v>
      </c>
      <c r="F150" s="2" t="s">
        <v>88</v>
      </c>
      <c r="G150" s="2" t="s">
        <v>24</v>
      </c>
      <c r="H150" s="2" t="s">
        <v>92</v>
      </c>
      <c r="I150" s="2">
        <v>1436.06</v>
      </c>
      <c r="J150" s="2">
        <v>4</v>
      </c>
      <c r="K150" s="2">
        <v>5</v>
      </c>
      <c r="L150" s="9">
        <f t="shared" si="9"/>
        <v>5744.24</v>
      </c>
      <c r="M150" s="9">
        <f t="shared" si="10"/>
        <v>287.21199999999999</v>
      </c>
      <c r="N150" s="10">
        <f t="shared" si="11"/>
        <v>5457.0280000000002</v>
      </c>
      <c r="O150" s="2" t="s">
        <v>26</v>
      </c>
      <c r="P150" s="2" t="s">
        <v>39</v>
      </c>
      <c r="Q150" s="2" t="s">
        <v>60</v>
      </c>
    </row>
    <row r="151" spans="1:17" x14ac:dyDescent="0.25">
      <c r="A151" s="3" t="s">
        <v>337</v>
      </c>
      <c r="B151" s="4">
        <v>45190</v>
      </c>
      <c r="C151" s="4" t="str">
        <f t="shared" si="8"/>
        <v>Sep</v>
      </c>
      <c r="D151" s="3" t="s">
        <v>197</v>
      </c>
      <c r="E151" s="3" t="s">
        <v>22</v>
      </c>
      <c r="F151" s="3" t="s">
        <v>23</v>
      </c>
      <c r="G151" s="3" t="s">
        <v>36</v>
      </c>
      <c r="H151" s="3" t="s">
        <v>338</v>
      </c>
      <c r="I151" s="3">
        <v>61303.51</v>
      </c>
      <c r="J151" s="3">
        <v>2</v>
      </c>
      <c r="K151" s="3">
        <v>0</v>
      </c>
      <c r="L151" s="9">
        <f t="shared" si="9"/>
        <v>122607.02</v>
      </c>
      <c r="M151" s="9">
        <f t="shared" si="10"/>
        <v>0</v>
      </c>
      <c r="N151" s="10">
        <f t="shared" si="11"/>
        <v>122607.02</v>
      </c>
      <c r="O151" s="3" t="s">
        <v>17</v>
      </c>
      <c r="P151" s="3" t="s">
        <v>52</v>
      </c>
      <c r="Q151" s="3" t="s">
        <v>60</v>
      </c>
    </row>
    <row r="152" spans="1:17" x14ac:dyDescent="0.25">
      <c r="A152" s="2" t="s">
        <v>339</v>
      </c>
      <c r="B152" s="4">
        <v>45191</v>
      </c>
      <c r="C152" s="4" t="str">
        <f t="shared" si="8"/>
        <v>Sep</v>
      </c>
      <c r="D152" s="2" t="s">
        <v>340</v>
      </c>
      <c r="E152" s="2" t="s">
        <v>47</v>
      </c>
      <c r="F152" s="2" t="s">
        <v>48</v>
      </c>
      <c r="G152" s="2" t="s">
        <v>36</v>
      </c>
      <c r="H152" s="2" t="s">
        <v>78</v>
      </c>
      <c r="I152" s="2">
        <v>80553.47</v>
      </c>
      <c r="J152" s="2">
        <v>5</v>
      </c>
      <c r="K152" s="2">
        <v>10</v>
      </c>
      <c r="L152" s="9">
        <f t="shared" si="9"/>
        <v>402767.35</v>
      </c>
      <c r="M152" s="9">
        <f t="shared" si="10"/>
        <v>40276.735000000001</v>
      </c>
      <c r="N152" s="10">
        <f t="shared" si="11"/>
        <v>362490.61499999999</v>
      </c>
      <c r="O152" s="6" t="s">
        <v>38</v>
      </c>
      <c r="P152" s="2" t="s">
        <v>18</v>
      </c>
      <c r="Q152" s="2" t="s">
        <v>60</v>
      </c>
    </row>
    <row r="153" spans="1:17" x14ac:dyDescent="0.25">
      <c r="A153" s="3" t="s">
        <v>341</v>
      </c>
      <c r="B153" s="4">
        <v>45192</v>
      </c>
      <c r="C153" s="4" t="str">
        <f t="shared" si="8"/>
        <v>Sep</v>
      </c>
      <c r="D153" s="3" t="s">
        <v>169</v>
      </c>
      <c r="E153" s="3" t="s">
        <v>83</v>
      </c>
      <c r="F153" s="3" t="s">
        <v>84</v>
      </c>
      <c r="G153" s="3" t="s">
        <v>110</v>
      </c>
      <c r="H153" s="3" t="s">
        <v>153</v>
      </c>
      <c r="I153" s="3">
        <v>3652.98</v>
      </c>
      <c r="J153" s="3">
        <v>3</v>
      </c>
      <c r="K153" s="3">
        <v>0</v>
      </c>
      <c r="L153" s="9">
        <f t="shared" si="9"/>
        <v>10958.94</v>
      </c>
      <c r="M153" s="9">
        <f t="shared" si="10"/>
        <v>0</v>
      </c>
      <c r="N153" s="10">
        <f t="shared" si="11"/>
        <v>10958.94</v>
      </c>
      <c r="O153" s="3" t="s">
        <v>68</v>
      </c>
      <c r="P153" s="3" t="s">
        <v>52</v>
      </c>
      <c r="Q153" s="3" t="s">
        <v>34</v>
      </c>
    </row>
    <row r="154" spans="1:17" x14ac:dyDescent="0.25">
      <c r="A154" s="2" t="s">
        <v>342</v>
      </c>
      <c r="B154" s="4">
        <v>45193</v>
      </c>
      <c r="C154" s="4" t="str">
        <f t="shared" si="8"/>
        <v>Sep</v>
      </c>
      <c r="D154" s="2" t="s">
        <v>343</v>
      </c>
      <c r="E154" s="2" t="s">
        <v>100</v>
      </c>
      <c r="F154" s="2" t="s">
        <v>88</v>
      </c>
      <c r="G154" s="2" t="s">
        <v>15</v>
      </c>
      <c r="H154" s="2" t="s">
        <v>198</v>
      </c>
      <c r="I154" s="2">
        <v>803.76</v>
      </c>
      <c r="J154" s="2">
        <v>3</v>
      </c>
      <c r="K154" s="2">
        <v>10</v>
      </c>
      <c r="L154" s="9">
        <f t="shared" si="9"/>
        <v>2411.2799999999997</v>
      </c>
      <c r="M154" s="9">
        <f t="shared" si="10"/>
        <v>241.12799999999996</v>
      </c>
      <c r="N154" s="10">
        <f t="shared" si="11"/>
        <v>2170.1519999999996</v>
      </c>
      <c r="O154" s="2" t="s">
        <v>17</v>
      </c>
      <c r="P154" s="2" t="s">
        <v>52</v>
      </c>
      <c r="Q154" s="2" t="s">
        <v>19</v>
      </c>
    </row>
    <row r="155" spans="1:17" x14ac:dyDescent="0.25">
      <c r="A155" s="3" t="s">
        <v>344</v>
      </c>
      <c r="B155" s="4">
        <v>45194</v>
      </c>
      <c r="C155" s="4" t="str">
        <f t="shared" si="8"/>
        <v>Sep</v>
      </c>
      <c r="D155" s="3" t="s">
        <v>169</v>
      </c>
      <c r="E155" s="3" t="s">
        <v>65</v>
      </c>
      <c r="F155" s="3" t="s">
        <v>66</v>
      </c>
      <c r="G155" s="3" t="s">
        <v>72</v>
      </c>
      <c r="H155" s="3" t="s">
        <v>129</v>
      </c>
      <c r="I155" s="3">
        <v>1635.67</v>
      </c>
      <c r="J155" s="3">
        <v>4</v>
      </c>
      <c r="K155" s="3">
        <v>0</v>
      </c>
      <c r="L155" s="9">
        <f t="shared" si="9"/>
        <v>6542.68</v>
      </c>
      <c r="M155" s="9">
        <f t="shared" si="10"/>
        <v>0</v>
      </c>
      <c r="N155" s="10">
        <f t="shared" si="11"/>
        <v>6542.68</v>
      </c>
      <c r="O155" s="3" t="s">
        <v>38</v>
      </c>
      <c r="P155" s="3" t="s">
        <v>27</v>
      </c>
      <c r="Q155" s="3" t="s">
        <v>40</v>
      </c>
    </row>
    <row r="156" spans="1:17" x14ac:dyDescent="0.25">
      <c r="A156" s="2" t="s">
        <v>345</v>
      </c>
      <c r="B156" s="4">
        <v>45195</v>
      </c>
      <c r="C156" s="4" t="str">
        <f t="shared" si="8"/>
        <v>Sep</v>
      </c>
      <c r="D156" s="2" t="s">
        <v>231</v>
      </c>
      <c r="E156" s="2" t="s">
        <v>51</v>
      </c>
      <c r="F156" s="2" t="s">
        <v>14</v>
      </c>
      <c r="G156" s="2" t="s">
        <v>15</v>
      </c>
      <c r="H156" s="2" t="s">
        <v>198</v>
      </c>
      <c r="I156" s="2">
        <v>843.44</v>
      </c>
      <c r="J156" s="2">
        <v>3</v>
      </c>
      <c r="K156" s="2">
        <v>0</v>
      </c>
      <c r="L156" s="9">
        <f t="shared" si="9"/>
        <v>2530.3200000000002</v>
      </c>
      <c r="M156" s="9">
        <f t="shared" si="10"/>
        <v>0</v>
      </c>
      <c r="N156" s="10">
        <f t="shared" si="11"/>
        <v>2530.3200000000002</v>
      </c>
      <c r="O156" s="2" t="s">
        <v>68</v>
      </c>
      <c r="P156" s="2" t="s">
        <v>18</v>
      </c>
      <c r="Q156" s="2" t="s">
        <v>19</v>
      </c>
    </row>
    <row r="157" spans="1:17" x14ac:dyDescent="0.25">
      <c r="A157" s="3" t="s">
        <v>346</v>
      </c>
      <c r="B157" s="4">
        <v>45196</v>
      </c>
      <c r="C157" s="4" t="str">
        <f t="shared" si="8"/>
        <v>Sep</v>
      </c>
      <c r="D157" s="3" t="s">
        <v>347</v>
      </c>
      <c r="E157" s="3" t="s">
        <v>76</v>
      </c>
      <c r="F157" s="3" t="s">
        <v>77</v>
      </c>
      <c r="G157" s="3" t="s">
        <v>15</v>
      </c>
      <c r="H157" s="3" t="s">
        <v>95</v>
      </c>
      <c r="I157" s="3">
        <v>1231.6199999999999</v>
      </c>
      <c r="J157" s="3">
        <v>2</v>
      </c>
      <c r="K157" s="3">
        <v>0</v>
      </c>
      <c r="L157" s="9">
        <f t="shared" si="9"/>
        <v>2463.2399999999998</v>
      </c>
      <c r="M157" s="9">
        <f t="shared" si="10"/>
        <v>0</v>
      </c>
      <c r="N157" s="10">
        <f t="shared" si="11"/>
        <v>2463.2399999999998</v>
      </c>
      <c r="O157" s="3" t="s">
        <v>33</v>
      </c>
      <c r="P157" s="3" t="s">
        <v>18</v>
      </c>
      <c r="Q157" s="3" t="s">
        <v>34</v>
      </c>
    </row>
    <row r="158" spans="1:17" x14ac:dyDescent="0.25">
      <c r="A158" s="2" t="s">
        <v>348</v>
      </c>
      <c r="B158" s="4">
        <v>45197</v>
      </c>
      <c r="C158" s="4" t="str">
        <f t="shared" si="8"/>
        <v>Sep</v>
      </c>
      <c r="D158" s="2" t="s">
        <v>349</v>
      </c>
      <c r="E158" s="2" t="s">
        <v>13</v>
      </c>
      <c r="F158" s="2" t="s">
        <v>14</v>
      </c>
      <c r="G158" s="2" t="s">
        <v>31</v>
      </c>
      <c r="H158" s="2" t="s">
        <v>116</v>
      </c>
      <c r="I158" s="2">
        <v>1203.69</v>
      </c>
      <c r="J158" s="2">
        <v>5</v>
      </c>
      <c r="K158" s="2">
        <v>0</v>
      </c>
      <c r="L158" s="9">
        <f t="shared" si="9"/>
        <v>6018.4500000000007</v>
      </c>
      <c r="M158" s="9">
        <f t="shared" si="10"/>
        <v>0</v>
      </c>
      <c r="N158" s="10">
        <f t="shared" si="11"/>
        <v>6018.4500000000007</v>
      </c>
      <c r="O158" s="2" t="s">
        <v>38</v>
      </c>
      <c r="P158" s="2" t="s">
        <v>18</v>
      </c>
      <c r="Q158" s="2" t="s">
        <v>53</v>
      </c>
    </row>
    <row r="159" spans="1:17" x14ac:dyDescent="0.25">
      <c r="A159" s="3" t="s">
        <v>350</v>
      </c>
      <c r="B159" s="4">
        <v>45198</v>
      </c>
      <c r="C159" s="4" t="str">
        <f t="shared" si="8"/>
        <v>Sep</v>
      </c>
      <c r="D159" s="3" t="s">
        <v>351</v>
      </c>
      <c r="E159" s="3" t="s">
        <v>87</v>
      </c>
      <c r="F159" s="3" t="s">
        <v>88</v>
      </c>
      <c r="G159" s="3" t="s">
        <v>31</v>
      </c>
      <c r="H159" s="3" t="s">
        <v>32</v>
      </c>
      <c r="I159" s="3">
        <v>2649.67</v>
      </c>
      <c r="J159" s="3">
        <v>4</v>
      </c>
      <c r="K159" s="3">
        <v>0</v>
      </c>
      <c r="L159" s="9">
        <f t="shared" si="9"/>
        <v>10598.68</v>
      </c>
      <c r="M159" s="9">
        <f t="shared" si="10"/>
        <v>0</v>
      </c>
      <c r="N159" s="10">
        <f t="shared" si="11"/>
        <v>10598.68</v>
      </c>
      <c r="O159" s="3" t="s">
        <v>33</v>
      </c>
      <c r="P159" s="3" t="s">
        <v>18</v>
      </c>
      <c r="Q159" s="3" t="s">
        <v>34</v>
      </c>
    </row>
    <row r="160" spans="1:17" x14ac:dyDescent="0.25">
      <c r="A160" s="2" t="s">
        <v>352</v>
      </c>
      <c r="B160" s="4">
        <v>45199</v>
      </c>
      <c r="C160" s="4" t="str">
        <f t="shared" si="8"/>
        <v>Sep</v>
      </c>
      <c r="D160" s="2" t="s">
        <v>353</v>
      </c>
      <c r="E160" s="2" t="s">
        <v>76</v>
      </c>
      <c r="F160" s="2" t="s">
        <v>77</v>
      </c>
      <c r="G160" s="2" t="s">
        <v>31</v>
      </c>
      <c r="H160" s="2" t="s">
        <v>242</v>
      </c>
      <c r="I160" s="2">
        <v>858.01</v>
      </c>
      <c r="J160" s="2">
        <v>1</v>
      </c>
      <c r="K160" s="2">
        <v>0</v>
      </c>
      <c r="L160" s="9">
        <f t="shared" si="9"/>
        <v>858.01</v>
      </c>
      <c r="M160" s="9">
        <f t="shared" si="10"/>
        <v>0</v>
      </c>
      <c r="N160" s="10">
        <f t="shared" si="11"/>
        <v>858.01</v>
      </c>
      <c r="O160" s="2" t="s">
        <v>68</v>
      </c>
      <c r="P160" s="2" t="s">
        <v>18</v>
      </c>
      <c r="Q160" s="2" t="s">
        <v>19</v>
      </c>
    </row>
    <row r="161" spans="1:17" x14ac:dyDescent="0.25">
      <c r="A161" s="3" t="s">
        <v>354</v>
      </c>
      <c r="B161" s="4">
        <v>45200</v>
      </c>
      <c r="C161" s="4" t="str">
        <f t="shared" si="8"/>
        <v>Oct</v>
      </c>
      <c r="D161" s="3" t="s">
        <v>355</v>
      </c>
      <c r="E161" s="3" t="s">
        <v>87</v>
      </c>
      <c r="F161" s="3" t="s">
        <v>88</v>
      </c>
      <c r="G161" s="3" t="s">
        <v>36</v>
      </c>
      <c r="H161" s="3" t="s">
        <v>78</v>
      </c>
      <c r="I161" s="3">
        <v>82074.64</v>
      </c>
      <c r="J161" s="3">
        <v>3</v>
      </c>
      <c r="K161" s="3">
        <v>0</v>
      </c>
      <c r="L161" s="9">
        <f t="shared" si="9"/>
        <v>246223.91999999998</v>
      </c>
      <c r="M161" s="9">
        <f t="shared" si="10"/>
        <v>0</v>
      </c>
      <c r="N161" s="10">
        <f t="shared" si="11"/>
        <v>246223.91999999998</v>
      </c>
      <c r="O161" s="3" t="s">
        <v>33</v>
      </c>
      <c r="P161" s="3" t="s">
        <v>52</v>
      </c>
      <c r="Q161" s="3" t="s">
        <v>60</v>
      </c>
    </row>
    <row r="162" spans="1:17" x14ac:dyDescent="0.25">
      <c r="A162" s="2" t="s">
        <v>356</v>
      </c>
      <c r="B162" s="4">
        <v>45201</v>
      </c>
      <c r="C162" s="4" t="str">
        <f t="shared" si="8"/>
        <v>Oct</v>
      </c>
      <c r="D162" s="2" t="s">
        <v>107</v>
      </c>
      <c r="E162" s="2" t="s">
        <v>87</v>
      </c>
      <c r="F162" s="2" t="s">
        <v>88</v>
      </c>
      <c r="G162" s="2" t="s">
        <v>43</v>
      </c>
      <c r="H162" s="2" t="s">
        <v>44</v>
      </c>
      <c r="I162" s="2">
        <v>3658.77</v>
      </c>
      <c r="J162" s="2">
        <v>3</v>
      </c>
      <c r="K162" s="2">
        <v>0</v>
      </c>
      <c r="L162" s="9">
        <f t="shared" si="9"/>
        <v>10976.31</v>
      </c>
      <c r="M162" s="9">
        <f t="shared" si="10"/>
        <v>0</v>
      </c>
      <c r="N162" s="10">
        <f t="shared" si="11"/>
        <v>10976.31</v>
      </c>
      <c r="O162" s="2" t="s">
        <v>26</v>
      </c>
      <c r="P162" s="2" t="s">
        <v>18</v>
      </c>
      <c r="Q162" s="2" t="s">
        <v>40</v>
      </c>
    </row>
    <row r="163" spans="1:17" x14ac:dyDescent="0.25">
      <c r="A163" s="3" t="s">
        <v>357</v>
      </c>
      <c r="B163" s="4">
        <v>45202</v>
      </c>
      <c r="C163" s="4" t="str">
        <f t="shared" si="8"/>
        <v>Oct</v>
      </c>
      <c r="D163" s="3" t="s">
        <v>86</v>
      </c>
      <c r="E163" s="3" t="s">
        <v>65</v>
      </c>
      <c r="F163" s="3" t="s">
        <v>66</v>
      </c>
      <c r="G163" s="3" t="s">
        <v>31</v>
      </c>
      <c r="H163" s="3" t="s">
        <v>242</v>
      </c>
      <c r="I163" s="3">
        <v>954.2</v>
      </c>
      <c r="J163" s="3">
        <v>2</v>
      </c>
      <c r="K163" s="3">
        <v>15</v>
      </c>
      <c r="L163" s="9">
        <f t="shared" si="9"/>
        <v>1908.4</v>
      </c>
      <c r="M163" s="9">
        <f t="shared" si="10"/>
        <v>286.26</v>
      </c>
      <c r="N163" s="10">
        <f t="shared" si="11"/>
        <v>1622.14</v>
      </c>
      <c r="O163" s="3" t="s">
        <v>26</v>
      </c>
      <c r="P163" s="3" t="s">
        <v>39</v>
      </c>
      <c r="Q163" s="3" t="s">
        <v>19</v>
      </c>
    </row>
    <row r="164" spans="1:17" x14ac:dyDescent="0.25">
      <c r="A164" s="2" t="s">
        <v>358</v>
      </c>
      <c r="B164" s="4">
        <v>45203</v>
      </c>
      <c r="C164" s="4" t="str">
        <f t="shared" si="8"/>
        <v>Oct</v>
      </c>
      <c r="D164" s="2" t="s">
        <v>359</v>
      </c>
      <c r="E164" s="2" t="s">
        <v>100</v>
      </c>
      <c r="F164" s="2" t="s">
        <v>88</v>
      </c>
      <c r="G164" s="2" t="s">
        <v>36</v>
      </c>
      <c r="H164" s="2" t="s">
        <v>49</v>
      </c>
      <c r="I164" s="2">
        <v>158355.46</v>
      </c>
      <c r="J164" s="2">
        <v>3</v>
      </c>
      <c r="K164" s="2">
        <v>10</v>
      </c>
      <c r="L164" s="9">
        <f t="shared" si="9"/>
        <v>475066.38</v>
      </c>
      <c r="M164" s="9">
        <f t="shared" si="10"/>
        <v>47506.637999999999</v>
      </c>
      <c r="N164" s="10">
        <f t="shared" si="11"/>
        <v>427559.74200000003</v>
      </c>
      <c r="O164" s="2" t="s">
        <v>33</v>
      </c>
      <c r="P164" s="2" t="s">
        <v>52</v>
      </c>
      <c r="Q164" s="2" t="s">
        <v>40</v>
      </c>
    </row>
    <row r="165" spans="1:17" x14ac:dyDescent="0.25">
      <c r="A165" s="3" t="s">
        <v>360</v>
      </c>
      <c r="B165" s="4">
        <v>45204</v>
      </c>
      <c r="C165" s="4" t="str">
        <f t="shared" si="8"/>
        <v>Oct</v>
      </c>
      <c r="D165" s="3" t="s">
        <v>361</v>
      </c>
      <c r="E165" s="3" t="s">
        <v>76</v>
      </c>
      <c r="F165" s="3" t="s">
        <v>77</v>
      </c>
      <c r="G165" s="3" t="s">
        <v>31</v>
      </c>
      <c r="H165" s="3" t="s">
        <v>116</v>
      </c>
      <c r="I165" s="3">
        <v>1186.55</v>
      </c>
      <c r="J165" s="3">
        <v>1</v>
      </c>
      <c r="K165" s="3">
        <v>5</v>
      </c>
      <c r="L165" s="9">
        <f t="shared" si="9"/>
        <v>1186.55</v>
      </c>
      <c r="M165" s="9">
        <f t="shared" si="10"/>
        <v>59.327500000000001</v>
      </c>
      <c r="N165" s="10">
        <f t="shared" si="11"/>
        <v>1127.2224999999999</v>
      </c>
      <c r="O165" s="3" t="s">
        <v>26</v>
      </c>
      <c r="P165" s="3" t="s">
        <v>52</v>
      </c>
      <c r="Q165" s="3" t="s">
        <v>34</v>
      </c>
    </row>
    <row r="166" spans="1:17" x14ac:dyDescent="0.25">
      <c r="A166" s="2" t="s">
        <v>362</v>
      </c>
      <c r="B166" s="4">
        <v>45205</v>
      </c>
      <c r="C166" s="4" t="str">
        <f t="shared" si="8"/>
        <v>Oct</v>
      </c>
      <c r="D166" s="2" t="s">
        <v>211</v>
      </c>
      <c r="E166" s="2" t="s">
        <v>47</v>
      </c>
      <c r="F166" s="2" t="s">
        <v>48</v>
      </c>
      <c r="G166" s="2" t="s">
        <v>24</v>
      </c>
      <c r="H166" s="2" t="s">
        <v>92</v>
      </c>
      <c r="I166" s="2">
        <v>1357.77</v>
      </c>
      <c r="J166" s="2">
        <v>2</v>
      </c>
      <c r="K166" s="2">
        <v>0</v>
      </c>
      <c r="L166" s="9">
        <f t="shared" si="9"/>
        <v>2715.54</v>
      </c>
      <c r="M166" s="9">
        <f t="shared" si="10"/>
        <v>0</v>
      </c>
      <c r="N166" s="10">
        <f t="shared" si="11"/>
        <v>2715.54</v>
      </c>
      <c r="O166" s="2" t="s">
        <v>17</v>
      </c>
      <c r="P166" s="2" t="s">
        <v>18</v>
      </c>
      <c r="Q166" s="2" t="s">
        <v>19</v>
      </c>
    </row>
    <row r="167" spans="1:17" x14ac:dyDescent="0.25">
      <c r="A167" s="3" t="s">
        <v>363</v>
      </c>
      <c r="B167" s="4">
        <v>45206</v>
      </c>
      <c r="C167" s="4" t="str">
        <f t="shared" si="8"/>
        <v>Oct</v>
      </c>
      <c r="D167" s="3" t="s">
        <v>364</v>
      </c>
      <c r="E167" s="3" t="s">
        <v>76</v>
      </c>
      <c r="F167" s="3" t="s">
        <v>77</v>
      </c>
      <c r="G167" s="3" t="s">
        <v>24</v>
      </c>
      <c r="H167" s="3" t="s">
        <v>59</v>
      </c>
      <c r="I167" s="3">
        <v>4785.58</v>
      </c>
      <c r="J167" s="3">
        <v>4</v>
      </c>
      <c r="K167" s="3">
        <v>5</v>
      </c>
      <c r="L167" s="9">
        <f t="shared" si="9"/>
        <v>19142.32</v>
      </c>
      <c r="M167" s="9">
        <f t="shared" si="10"/>
        <v>957.1160000000001</v>
      </c>
      <c r="N167" s="10">
        <f t="shared" si="11"/>
        <v>18185.203999999998</v>
      </c>
      <c r="O167" s="3" t="s">
        <v>68</v>
      </c>
      <c r="P167" s="3" t="s">
        <v>18</v>
      </c>
      <c r="Q167" s="3" t="s">
        <v>40</v>
      </c>
    </row>
    <row r="168" spans="1:17" x14ac:dyDescent="0.25">
      <c r="A168" s="2" t="s">
        <v>365</v>
      </c>
      <c r="B168" s="4">
        <v>45207</v>
      </c>
      <c r="C168" s="4" t="str">
        <f t="shared" si="8"/>
        <v>Oct</v>
      </c>
      <c r="D168" s="2" t="s">
        <v>326</v>
      </c>
      <c r="E168" s="2" t="s">
        <v>76</v>
      </c>
      <c r="F168" s="2" t="s">
        <v>77</v>
      </c>
      <c r="G168" s="2" t="s">
        <v>36</v>
      </c>
      <c r="H168" s="2" t="s">
        <v>121</v>
      </c>
      <c r="I168" s="2">
        <v>103883.66</v>
      </c>
      <c r="J168" s="2">
        <v>3</v>
      </c>
      <c r="K168" s="2">
        <v>10</v>
      </c>
      <c r="L168" s="9">
        <f t="shared" si="9"/>
        <v>311650.98</v>
      </c>
      <c r="M168" s="9">
        <f t="shared" si="10"/>
        <v>31165.097999999998</v>
      </c>
      <c r="N168" s="10">
        <f t="shared" si="11"/>
        <v>280485.88199999998</v>
      </c>
      <c r="O168" s="2" t="s">
        <v>38</v>
      </c>
      <c r="P168" s="2" t="s">
        <v>27</v>
      </c>
      <c r="Q168" s="2" t="s">
        <v>40</v>
      </c>
    </row>
    <row r="169" spans="1:17" x14ac:dyDescent="0.25">
      <c r="A169" s="3" t="s">
        <v>366</v>
      </c>
      <c r="B169" s="4">
        <v>45208</v>
      </c>
      <c r="C169" s="4" t="str">
        <f t="shared" si="8"/>
        <v>Oct</v>
      </c>
      <c r="D169" s="3" t="s">
        <v>355</v>
      </c>
      <c r="E169" s="3" t="s">
        <v>47</v>
      </c>
      <c r="F169" s="3" t="s">
        <v>48</v>
      </c>
      <c r="G169" s="3" t="s">
        <v>72</v>
      </c>
      <c r="H169" s="3" t="s">
        <v>102</v>
      </c>
      <c r="I169" s="3">
        <v>677.54</v>
      </c>
      <c r="J169" s="3">
        <v>2</v>
      </c>
      <c r="K169" s="3">
        <v>0</v>
      </c>
      <c r="L169" s="9">
        <f t="shared" si="9"/>
        <v>1355.08</v>
      </c>
      <c r="M169" s="9">
        <f t="shared" si="10"/>
        <v>0</v>
      </c>
      <c r="N169" s="10">
        <f t="shared" si="11"/>
        <v>1355.08</v>
      </c>
      <c r="O169" s="3" t="s">
        <v>17</v>
      </c>
      <c r="P169" s="3" t="s">
        <v>18</v>
      </c>
      <c r="Q169" s="3" t="s">
        <v>40</v>
      </c>
    </row>
    <row r="170" spans="1:17" x14ac:dyDescent="0.25">
      <c r="A170" s="2" t="s">
        <v>367</v>
      </c>
      <c r="B170" s="4">
        <v>45209</v>
      </c>
      <c r="C170" s="4" t="str">
        <f t="shared" si="8"/>
        <v>Oct</v>
      </c>
      <c r="D170" s="2" t="s">
        <v>60</v>
      </c>
      <c r="E170" s="2" t="s">
        <v>76</v>
      </c>
      <c r="F170" s="2" t="s">
        <v>77</v>
      </c>
      <c r="G170" s="2" t="s">
        <v>36</v>
      </c>
      <c r="H170" s="2" t="s">
        <v>338</v>
      </c>
      <c r="I170" s="2">
        <v>65702.28</v>
      </c>
      <c r="J170" s="2">
        <v>3</v>
      </c>
      <c r="K170" s="2">
        <v>0</v>
      </c>
      <c r="L170" s="9">
        <f t="shared" si="9"/>
        <v>197106.84</v>
      </c>
      <c r="M170" s="9">
        <f t="shared" si="10"/>
        <v>0</v>
      </c>
      <c r="N170" s="10">
        <f t="shared" si="11"/>
        <v>197106.84</v>
      </c>
      <c r="O170" s="2" t="s">
        <v>17</v>
      </c>
      <c r="P170" s="2" t="s">
        <v>18</v>
      </c>
      <c r="Q170" s="2" t="s">
        <v>19</v>
      </c>
    </row>
    <row r="171" spans="1:17" x14ac:dyDescent="0.25">
      <c r="A171" s="3" t="s">
        <v>368</v>
      </c>
      <c r="B171" s="4">
        <v>45210</v>
      </c>
      <c r="C171" s="4" t="str">
        <f t="shared" si="8"/>
        <v>Oct</v>
      </c>
      <c r="D171" s="3" t="s">
        <v>369</v>
      </c>
      <c r="E171" s="3" t="s">
        <v>65</v>
      </c>
      <c r="F171" s="3" t="s">
        <v>66</v>
      </c>
      <c r="G171" s="3" t="s">
        <v>15</v>
      </c>
      <c r="H171" s="3" t="s">
        <v>95</v>
      </c>
      <c r="I171" s="3">
        <v>1206.17</v>
      </c>
      <c r="J171" s="3">
        <v>4</v>
      </c>
      <c r="K171" s="3">
        <v>15</v>
      </c>
      <c r="L171" s="9">
        <f t="shared" si="9"/>
        <v>4824.68</v>
      </c>
      <c r="M171" s="9">
        <f t="shared" si="10"/>
        <v>723.70200000000011</v>
      </c>
      <c r="N171" s="10">
        <f t="shared" si="11"/>
        <v>4100.9780000000001</v>
      </c>
      <c r="O171" s="3" t="s">
        <v>68</v>
      </c>
      <c r="P171" s="3" t="s">
        <v>18</v>
      </c>
      <c r="Q171" s="3" t="s">
        <v>34</v>
      </c>
    </row>
    <row r="172" spans="1:17" x14ac:dyDescent="0.25">
      <c r="A172" s="2" t="s">
        <v>370</v>
      </c>
      <c r="B172" s="4">
        <v>45211</v>
      </c>
      <c r="C172" s="4" t="str">
        <f t="shared" si="8"/>
        <v>Oct</v>
      </c>
      <c r="D172" s="2" t="s">
        <v>371</v>
      </c>
      <c r="E172" s="2" t="s">
        <v>76</v>
      </c>
      <c r="F172" s="2" t="s">
        <v>77</v>
      </c>
      <c r="G172" s="2" t="s">
        <v>15</v>
      </c>
      <c r="H172" s="2" t="s">
        <v>56</v>
      </c>
      <c r="I172" s="2">
        <v>1744.03</v>
      </c>
      <c r="J172" s="2">
        <v>5</v>
      </c>
      <c r="K172" s="2">
        <v>5</v>
      </c>
      <c r="L172" s="9">
        <f t="shared" si="9"/>
        <v>8720.15</v>
      </c>
      <c r="M172" s="9">
        <f t="shared" si="10"/>
        <v>436.00749999999999</v>
      </c>
      <c r="N172" s="10">
        <f t="shared" si="11"/>
        <v>8284.1424999999999</v>
      </c>
      <c r="O172" s="6" t="s">
        <v>33</v>
      </c>
      <c r="P172" s="2" t="s">
        <v>18</v>
      </c>
      <c r="Q172" s="2" t="s">
        <v>53</v>
      </c>
    </row>
    <row r="173" spans="1:17" x14ac:dyDescent="0.25">
      <c r="A173" s="3" t="s">
        <v>372</v>
      </c>
      <c r="B173" s="4">
        <v>45212</v>
      </c>
      <c r="C173" s="4" t="str">
        <f t="shared" si="8"/>
        <v>Oct</v>
      </c>
      <c r="D173" s="3" t="s">
        <v>373</v>
      </c>
      <c r="E173" s="3" t="s">
        <v>22</v>
      </c>
      <c r="F173" s="3" t="s">
        <v>23</v>
      </c>
      <c r="G173" s="3" t="s">
        <v>110</v>
      </c>
      <c r="H173" s="3" t="s">
        <v>153</v>
      </c>
      <c r="I173" s="3">
        <v>3362.89</v>
      </c>
      <c r="J173" s="3">
        <v>2</v>
      </c>
      <c r="K173" s="3">
        <v>0</v>
      </c>
      <c r="L173" s="9">
        <f t="shared" si="9"/>
        <v>6725.78</v>
      </c>
      <c r="M173" s="9">
        <f t="shared" si="10"/>
        <v>0</v>
      </c>
      <c r="N173" s="10">
        <f t="shared" si="11"/>
        <v>6725.78</v>
      </c>
      <c r="O173" s="3" t="s">
        <v>26</v>
      </c>
      <c r="P173" s="3" t="s">
        <v>18</v>
      </c>
      <c r="Q173" s="3" t="s">
        <v>19</v>
      </c>
    </row>
    <row r="174" spans="1:17" x14ac:dyDescent="0.25">
      <c r="A174" s="2" t="s">
        <v>374</v>
      </c>
      <c r="B174" s="4">
        <v>45213</v>
      </c>
      <c r="C174" s="4" t="str">
        <f t="shared" si="8"/>
        <v>Oct</v>
      </c>
      <c r="D174" s="2" t="s">
        <v>369</v>
      </c>
      <c r="E174" s="2" t="s">
        <v>51</v>
      </c>
      <c r="F174" s="2" t="s">
        <v>14</v>
      </c>
      <c r="G174" s="2" t="s">
        <v>15</v>
      </c>
      <c r="H174" s="2" t="s">
        <v>56</v>
      </c>
      <c r="I174" s="2">
        <v>1718.8</v>
      </c>
      <c r="J174" s="2">
        <v>3</v>
      </c>
      <c r="K174" s="2">
        <v>15</v>
      </c>
      <c r="L174" s="9">
        <f t="shared" si="9"/>
        <v>5156.3999999999996</v>
      </c>
      <c r="M174" s="9">
        <f t="shared" si="10"/>
        <v>773.46</v>
      </c>
      <c r="N174" s="10">
        <f t="shared" si="11"/>
        <v>4382.9399999999996</v>
      </c>
      <c r="O174" s="2" t="s">
        <v>17</v>
      </c>
      <c r="P174" s="2" t="s">
        <v>18</v>
      </c>
      <c r="Q174" s="2" t="s">
        <v>19</v>
      </c>
    </row>
    <row r="175" spans="1:17" x14ac:dyDescent="0.25">
      <c r="A175" s="3" t="s">
        <v>375</v>
      </c>
      <c r="B175" s="4">
        <v>45214</v>
      </c>
      <c r="C175" s="4" t="str">
        <f t="shared" si="8"/>
        <v>Oct</v>
      </c>
      <c r="D175" s="3" t="s">
        <v>376</v>
      </c>
      <c r="E175" s="3" t="s">
        <v>29</v>
      </c>
      <c r="F175" s="3" t="s">
        <v>30</v>
      </c>
      <c r="G175" s="3" t="s">
        <v>24</v>
      </c>
      <c r="H175" s="3" t="s">
        <v>25</v>
      </c>
      <c r="I175" s="3">
        <v>4642.8599999999997</v>
      </c>
      <c r="J175" s="3">
        <v>5</v>
      </c>
      <c r="K175" s="3">
        <v>0</v>
      </c>
      <c r="L175" s="9">
        <f t="shared" si="9"/>
        <v>23214.3</v>
      </c>
      <c r="M175" s="9">
        <f t="shared" si="10"/>
        <v>0</v>
      </c>
      <c r="N175" s="10">
        <f t="shared" si="11"/>
        <v>23214.3</v>
      </c>
      <c r="O175" s="3" t="s">
        <v>17</v>
      </c>
      <c r="P175" s="3" t="s">
        <v>18</v>
      </c>
      <c r="Q175" s="3" t="s">
        <v>40</v>
      </c>
    </row>
    <row r="176" spans="1:17" x14ac:dyDescent="0.25">
      <c r="A176" s="2" t="s">
        <v>377</v>
      </c>
      <c r="B176" s="4">
        <v>45215</v>
      </c>
      <c r="C176" s="4" t="str">
        <f t="shared" si="8"/>
        <v>Oct</v>
      </c>
      <c r="D176" s="2" t="s">
        <v>378</v>
      </c>
      <c r="E176" s="2" t="s">
        <v>29</v>
      </c>
      <c r="F176" s="2" t="s">
        <v>30</v>
      </c>
      <c r="G176" s="2" t="s">
        <v>31</v>
      </c>
      <c r="H176" s="2" t="s">
        <v>186</v>
      </c>
      <c r="I176" s="2">
        <v>842.71</v>
      </c>
      <c r="J176" s="2">
        <v>4</v>
      </c>
      <c r="K176" s="2">
        <v>0</v>
      </c>
      <c r="L176" s="9">
        <f t="shared" si="9"/>
        <v>3370.84</v>
      </c>
      <c r="M176" s="9">
        <f t="shared" si="10"/>
        <v>0</v>
      </c>
      <c r="N176" s="10">
        <f t="shared" si="11"/>
        <v>3370.84</v>
      </c>
      <c r="O176" s="2" t="s">
        <v>68</v>
      </c>
      <c r="P176" s="2" t="s">
        <v>18</v>
      </c>
      <c r="Q176" s="2" t="s">
        <v>19</v>
      </c>
    </row>
    <row r="177" spans="1:17" x14ac:dyDescent="0.25">
      <c r="A177" s="3" t="s">
        <v>379</v>
      </c>
      <c r="B177" s="4">
        <v>45216</v>
      </c>
      <c r="C177" s="4" t="str">
        <f t="shared" si="8"/>
        <v>Oct</v>
      </c>
      <c r="D177" s="3" t="s">
        <v>118</v>
      </c>
      <c r="E177" s="3" t="s">
        <v>76</v>
      </c>
      <c r="F177" s="3" t="s">
        <v>77</v>
      </c>
      <c r="G177" s="3" t="s">
        <v>24</v>
      </c>
      <c r="H177" s="3" t="s">
        <v>170</v>
      </c>
      <c r="I177" s="3">
        <v>1177.46</v>
      </c>
      <c r="J177" s="3">
        <v>4</v>
      </c>
      <c r="K177" s="3">
        <v>5</v>
      </c>
      <c r="L177" s="9">
        <f t="shared" si="9"/>
        <v>4709.84</v>
      </c>
      <c r="M177" s="9">
        <f t="shared" si="10"/>
        <v>235.49200000000002</v>
      </c>
      <c r="N177" s="10">
        <f t="shared" si="11"/>
        <v>4474.348</v>
      </c>
      <c r="O177" s="3" t="s">
        <v>68</v>
      </c>
      <c r="P177" s="3" t="s">
        <v>18</v>
      </c>
      <c r="Q177" s="3" t="s">
        <v>60</v>
      </c>
    </row>
    <row r="178" spans="1:17" x14ac:dyDescent="0.25">
      <c r="A178" s="2" t="s">
        <v>380</v>
      </c>
      <c r="B178" s="4">
        <v>45217</v>
      </c>
      <c r="C178" s="4" t="str">
        <f t="shared" si="8"/>
        <v>Oct</v>
      </c>
      <c r="D178" s="2" t="s">
        <v>155</v>
      </c>
      <c r="E178" s="2" t="s">
        <v>51</v>
      </c>
      <c r="F178" s="2" t="s">
        <v>14</v>
      </c>
      <c r="G178" s="2" t="s">
        <v>31</v>
      </c>
      <c r="H178" s="2" t="s">
        <v>242</v>
      </c>
      <c r="I178" s="2">
        <v>835.86</v>
      </c>
      <c r="J178" s="2">
        <v>3</v>
      </c>
      <c r="K178" s="2">
        <v>10</v>
      </c>
      <c r="L178" s="9">
        <f t="shared" si="9"/>
        <v>2507.58</v>
      </c>
      <c r="M178" s="9">
        <f t="shared" si="10"/>
        <v>250.75799999999998</v>
      </c>
      <c r="N178" s="10">
        <f t="shared" si="11"/>
        <v>2256.8220000000001</v>
      </c>
      <c r="O178" s="2" t="s">
        <v>33</v>
      </c>
      <c r="P178" s="2" t="s">
        <v>18</v>
      </c>
      <c r="Q178" s="2" t="s">
        <v>34</v>
      </c>
    </row>
    <row r="179" spans="1:17" x14ac:dyDescent="0.25">
      <c r="A179" s="3" t="s">
        <v>381</v>
      </c>
      <c r="B179" s="4">
        <v>45218</v>
      </c>
      <c r="C179" s="4" t="str">
        <f t="shared" si="8"/>
        <v>Oct</v>
      </c>
      <c r="D179" s="3" t="s">
        <v>382</v>
      </c>
      <c r="E179" s="3" t="s">
        <v>87</v>
      </c>
      <c r="F179" s="3" t="s">
        <v>88</v>
      </c>
      <c r="G179" s="3" t="s">
        <v>24</v>
      </c>
      <c r="H179" s="3" t="s">
        <v>134</v>
      </c>
      <c r="I179" s="3">
        <v>2311.2600000000002</v>
      </c>
      <c r="J179" s="3">
        <v>4</v>
      </c>
      <c r="K179" s="3">
        <v>0</v>
      </c>
      <c r="L179" s="9">
        <f t="shared" si="9"/>
        <v>9245.0400000000009</v>
      </c>
      <c r="M179" s="9">
        <f t="shared" si="10"/>
        <v>0</v>
      </c>
      <c r="N179" s="10">
        <f t="shared" si="11"/>
        <v>9245.0400000000009</v>
      </c>
      <c r="O179" s="3" t="s">
        <v>26</v>
      </c>
      <c r="P179" s="3" t="s">
        <v>18</v>
      </c>
      <c r="Q179" s="3" t="s">
        <v>40</v>
      </c>
    </row>
    <row r="180" spans="1:17" x14ac:dyDescent="0.25">
      <c r="A180" s="2" t="s">
        <v>383</v>
      </c>
      <c r="B180" s="4">
        <v>45219</v>
      </c>
      <c r="C180" s="4" t="str">
        <f t="shared" si="8"/>
        <v>Oct</v>
      </c>
      <c r="D180" s="2" t="s">
        <v>159</v>
      </c>
      <c r="E180" s="2" t="s">
        <v>65</v>
      </c>
      <c r="F180" s="2" t="s">
        <v>66</v>
      </c>
      <c r="G180" s="2" t="s">
        <v>24</v>
      </c>
      <c r="H180" s="2" t="s">
        <v>25</v>
      </c>
      <c r="I180" s="2">
        <v>4782.13</v>
      </c>
      <c r="J180" s="2">
        <v>5</v>
      </c>
      <c r="K180" s="2">
        <v>5</v>
      </c>
      <c r="L180" s="9">
        <f t="shared" si="9"/>
        <v>23910.65</v>
      </c>
      <c r="M180" s="9">
        <f t="shared" si="10"/>
        <v>1195.5325</v>
      </c>
      <c r="N180" s="10">
        <f t="shared" si="11"/>
        <v>22715.1175</v>
      </c>
      <c r="O180" s="2" t="s">
        <v>26</v>
      </c>
      <c r="P180" s="2" t="s">
        <v>39</v>
      </c>
      <c r="Q180" s="2" t="s">
        <v>53</v>
      </c>
    </row>
    <row r="181" spans="1:17" x14ac:dyDescent="0.25">
      <c r="A181" s="3" t="s">
        <v>384</v>
      </c>
      <c r="B181" s="4">
        <v>45220</v>
      </c>
      <c r="C181" s="4" t="str">
        <f t="shared" si="8"/>
        <v>Oct</v>
      </c>
      <c r="D181" s="3" t="s">
        <v>152</v>
      </c>
      <c r="E181" s="3" t="s">
        <v>76</v>
      </c>
      <c r="F181" s="3" t="s">
        <v>77</v>
      </c>
      <c r="G181" s="3" t="s">
        <v>31</v>
      </c>
      <c r="H181" s="3" t="s">
        <v>70</v>
      </c>
      <c r="I181" s="3">
        <v>542.78</v>
      </c>
      <c r="J181" s="3">
        <v>4</v>
      </c>
      <c r="K181" s="3">
        <v>10</v>
      </c>
      <c r="L181" s="9">
        <f t="shared" si="9"/>
        <v>2171.12</v>
      </c>
      <c r="M181" s="9">
        <f t="shared" si="10"/>
        <v>217.11199999999997</v>
      </c>
      <c r="N181" s="10">
        <f t="shared" si="11"/>
        <v>1954.0079999999998</v>
      </c>
      <c r="O181" s="3" t="s">
        <v>33</v>
      </c>
      <c r="P181" s="3" t="s">
        <v>18</v>
      </c>
      <c r="Q181" s="3" t="s">
        <v>53</v>
      </c>
    </row>
    <row r="182" spans="1:17" x14ac:dyDescent="0.25">
      <c r="A182" s="2" t="s">
        <v>385</v>
      </c>
      <c r="B182" s="4">
        <v>45221</v>
      </c>
      <c r="C182" s="4" t="str">
        <f t="shared" si="8"/>
        <v>Oct</v>
      </c>
      <c r="D182" s="2" t="s">
        <v>351</v>
      </c>
      <c r="E182" s="2" t="s">
        <v>13</v>
      </c>
      <c r="F182" s="2" t="s">
        <v>14</v>
      </c>
      <c r="G182" s="2" t="s">
        <v>31</v>
      </c>
      <c r="H182" s="2" t="s">
        <v>70</v>
      </c>
      <c r="I182" s="2">
        <v>611.70000000000005</v>
      </c>
      <c r="J182" s="2">
        <v>4</v>
      </c>
      <c r="K182" s="2">
        <v>5</v>
      </c>
      <c r="L182" s="9">
        <f t="shared" si="9"/>
        <v>2446.8000000000002</v>
      </c>
      <c r="M182" s="9">
        <f t="shared" si="10"/>
        <v>122.34</v>
      </c>
      <c r="N182" s="10">
        <f t="shared" si="11"/>
        <v>2324.46</v>
      </c>
      <c r="O182" s="2" t="s">
        <v>26</v>
      </c>
      <c r="P182" s="2" t="s">
        <v>18</v>
      </c>
      <c r="Q182" s="2" t="s">
        <v>40</v>
      </c>
    </row>
    <row r="183" spans="1:17" x14ac:dyDescent="0.25">
      <c r="A183" s="3" t="s">
        <v>386</v>
      </c>
      <c r="B183" s="4">
        <v>45222</v>
      </c>
      <c r="C183" s="4" t="str">
        <f t="shared" si="8"/>
        <v>Oct</v>
      </c>
      <c r="D183" s="3" t="s">
        <v>387</v>
      </c>
      <c r="E183" s="3" t="s">
        <v>87</v>
      </c>
      <c r="F183" s="3" t="s">
        <v>88</v>
      </c>
      <c r="G183" s="3" t="s">
        <v>72</v>
      </c>
      <c r="H183" s="3" t="s">
        <v>129</v>
      </c>
      <c r="I183" s="3">
        <v>1751.74</v>
      </c>
      <c r="J183" s="3">
        <v>4</v>
      </c>
      <c r="K183" s="3">
        <v>0</v>
      </c>
      <c r="L183" s="9">
        <f t="shared" si="9"/>
        <v>7006.96</v>
      </c>
      <c r="M183" s="9">
        <f t="shared" si="10"/>
        <v>0</v>
      </c>
      <c r="N183" s="10">
        <f t="shared" si="11"/>
        <v>7006.96</v>
      </c>
      <c r="O183" s="3" t="s">
        <v>17</v>
      </c>
      <c r="P183" s="3" t="s">
        <v>52</v>
      </c>
      <c r="Q183" s="3" t="s">
        <v>53</v>
      </c>
    </row>
    <row r="184" spans="1:17" x14ac:dyDescent="0.25">
      <c r="A184" s="2" t="s">
        <v>388</v>
      </c>
      <c r="B184" s="4">
        <v>45223</v>
      </c>
      <c r="C184" s="4" t="str">
        <f t="shared" si="8"/>
        <v>Oct</v>
      </c>
      <c r="D184" s="2" t="s">
        <v>355</v>
      </c>
      <c r="E184" s="2" t="s">
        <v>22</v>
      </c>
      <c r="F184" s="2" t="s">
        <v>23</v>
      </c>
      <c r="G184" s="2" t="s">
        <v>43</v>
      </c>
      <c r="H184" s="2" t="s">
        <v>89</v>
      </c>
      <c r="I184" s="2">
        <v>4455.32</v>
      </c>
      <c r="J184" s="2">
        <v>5</v>
      </c>
      <c r="K184" s="2">
        <v>0</v>
      </c>
      <c r="L184" s="9">
        <f t="shared" si="9"/>
        <v>22276.6</v>
      </c>
      <c r="M184" s="9">
        <f t="shared" si="10"/>
        <v>0</v>
      </c>
      <c r="N184" s="10">
        <f t="shared" si="11"/>
        <v>22276.6</v>
      </c>
      <c r="O184" s="2" t="s">
        <v>17</v>
      </c>
      <c r="P184" s="2" t="s">
        <v>27</v>
      </c>
      <c r="Q184" s="2" t="s">
        <v>19</v>
      </c>
    </row>
    <row r="185" spans="1:17" x14ac:dyDescent="0.25">
      <c r="A185" s="3" t="s">
        <v>389</v>
      </c>
      <c r="B185" s="4">
        <v>45224</v>
      </c>
      <c r="C185" s="4" t="str">
        <f t="shared" si="8"/>
        <v>Oct</v>
      </c>
      <c r="D185" s="3" t="s">
        <v>390</v>
      </c>
      <c r="E185" s="3" t="s">
        <v>65</v>
      </c>
      <c r="F185" s="3" t="s">
        <v>66</v>
      </c>
      <c r="G185" s="3" t="s">
        <v>31</v>
      </c>
      <c r="H185" s="3" t="s">
        <v>116</v>
      </c>
      <c r="I185" s="3">
        <v>1213.8800000000001</v>
      </c>
      <c r="J185" s="3">
        <v>3</v>
      </c>
      <c r="K185" s="3">
        <v>5</v>
      </c>
      <c r="L185" s="9">
        <f t="shared" si="9"/>
        <v>3641.6400000000003</v>
      </c>
      <c r="M185" s="9">
        <f t="shared" si="10"/>
        <v>182.08199999999999</v>
      </c>
      <c r="N185" s="10">
        <f t="shared" si="11"/>
        <v>3459.5580000000004</v>
      </c>
      <c r="O185" s="3" t="s">
        <v>26</v>
      </c>
      <c r="P185" s="3" t="s">
        <v>52</v>
      </c>
      <c r="Q185" s="3" t="s">
        <v>19</v>
      </c>
    </row>
    <row r="186" spans="1:17" x14ac:dyDescent="0.25">
      <c r="A186" s="2" t="s">
        <v>391</v>
      </c>
      <c r="B186" s="4">
        <v>45225</v>
      </c>
      <c r="C186" s="4" t="str">
        <f t="shared" si="8"/>
        <v>Oct</v>
      </c>
      <c r="D186" s="2" t="s">
        <v>373</v>
      </c>
      <c r="E186" s="2" t="s">
        <v>13</v>
      </c>
      <c r="F186" s="2" t="s">
        <v>14</v>
      </c>
      <c r="G186" s="2" t="s">
        <v>36</v>
      </c>
      <c r="H186" s="2" t="s">
        <v>49</v>
      </c>
      <c r="I186" s="2">
        <v>156407.76</v>
      </c>
      <c r="J186" s="2">
        <v>4</v>
      </c>
      <c r="K186" s="2">
        <v>10</v>
      </c>
      <c r="L186" s="9">
        <f t="shared" si="9"/>
        <v>625631.04</v>
      </c>
      <c r="M186" s="9">
        <f t="shared" si="10"/>
        <v>62563.104000000007</v>
      </c>
      <c r="N186" s="10">
        <f t="shared" si="11"/>
        <v>563067.93599999999</v>
      </c>
      <c r="O186" s="2" t="s">
        <v>33</v>
      </c>
      <c r="P186" s="2" t="s">
        <v>18</v>
      </c>
      <c r="Q186" s="2" t="s">
        <v>19</v>
      </c>
    </row>
    <row r="187" spans="1:17" x14ac:dyDescent="0.25">
      <c r="A187" s="3" t="s">
        <v>392</v>
      </c>
      <c r="B187" s="4">
        <v>45226</v>
      </c>
      <c r="C187" s="4" t="str">
        <f t="shared" si="8"/>
        <v>Oct</v>
      </c>
      <c r="D187" s="3" t="s">
        <v>320</v>
      </c>
      <c r="E187" s="3" t="s">
        <v>29</v>
      </c>
      <c r="F187" s="3" t="s">
        <v>30</v>
      </c>
      <c r="G187" s="3" t="s">
        <v>31</v>
      </c>
      <c r="H187" s="3" t="s">
        <v>186</v>
      </c>
      <c r="I187" s="3">
        <v>782.87</v>
      </c>
      <c r="J187" s="3">
        <v>5</v>
      </c>
      <c r="K187" s="3">
        <v>10</v>
      </c>
      <c r="L187" s="9">
        <f t="shared" si="9"/>
        <v>3914.35</v>
      </c>
      <c r="M187" s="9">
        <f t="shared" si="10"/>
        <v>391.435</v>
      </c>
      <c r="N187" s="10">
        <f t="shared" si="11"/>
        <v>3522.915</v>
      </c>
      <c r="O187" s="3" t="s">
        <v>17</v>
      </c>
      <c r="P187" s="3" t="s">
        <v>18</v>
      </c>
      <c r="Q187" s="3" t="s">
        <v>19</v>
      </c>
    </row>
    <row r="188" spans="1:17" x14ac:dyDescent="0.25">
      <c r="A188" s="2" t="s">
        <v>393</v>
      </c>
      <c r="B188" s="4">
        <v>45227</v>
      </c>
      <c r="C188" s="4" t="str">
        <f t="shared" si="8"/>
        <v>Oct</v>
      </c>
      <c r="D188" s="2" t="s">
        <v>178</v>
      </c>
      <c r="E188" s="2" t="s">
        <v>29</v>
      </c>
      <c r="F188" s="2" t="s">
        <v>30</v>
      </c>
      <c r="G188" s="2" t="s">
        <v>31</v>
      </c>
      <c r="H188" s="2" t="s">
        <v>70</v>
      </c>
      <c r="I188" s="2">
        <v>637.89</v>
      </c>
      <c r="J188" s="2">
        <v>3</v>
      </c>
      <c r="K188" s="2">
        <v>0</v>
      </c>
      <c r="L188" s="9">
        <f t="shared" si="9"/>
        <v>1913.67</v>
      </c>
      <c r="M188" s="9">
        <f t="shared" si="10"/>
        <v>0</v>
      </c>
      <c r="N188" s="10">
        <f t="shared" si="11"/>
        <v>1913.67</v>
      </c>
      <c r="O188" s="2" t="s">
        <v>68</v>
      </c>
      <c r="P188" s="2" t="s">
        <v>18</v>
      </c>
      <c r="Q188" s="2" t="s">
        <v>19</v>
      </c>
    </row>
    <row r="189" spans="1:17" x14ac:dyDescent="0.25">
      <c r="A189" s="3" t="s">
        <v>394</v>
      </c>
      <c r="B189" s="4">
        <v>45228</v>
      </c>
      <c r="C189" s="4" t="str">
        <f t="shared" si="8"/>
        <v>Oct</v>
      </c>
      <c r="D189" s="3" t="s">
        <v>395</v>
      </c>
      <c r="E189" s="3" t="s">
        <v>13</v>
      </c>
      <c r="F189" s="3" t="s">
        <v>14</v>
      </c>
      <c r="G189" s="3" t="s">
        <v>110</v>
      </c>
      <c r="H189" s="3" t="s">
        <v>67</v>
      </c>
      <c r="I189" s="3">
        <v>4288.9799999999996</v>
      </c>
      <c r="J189" s="3">
        <v>5</v>
      </c>
      <c r="K189" s="3">
        <v>10</v>
      </c>
      <c r="L189" s="9">
        <f t="shared" si="9"/>
        <v>21444.899999999998</v>
      </c>
      <c r="M189" s="9">
        <f t="shared" si="10"/>
        <v>2144.4899999999998</v>
      </c>
      <c r="N189" s="10">
        <f t="shared" si="11"/>
        <v>19300.409999999996</v>
      </c>
      <c r="O189" s="3" t="s">
        <v>26</v>
      </c>
      <c r="P189" s="3" t="s">
        <v>27</v>
      </c>
      <c r="Q189" s="3" t="s">
        <v>40</v>
      </c>
    </row>
    <row r="190" spans="1:17" x14ac:dyDescent="0.25">
      <c r="A190" s="2" t="s">
        <v>396</v>
      </c>
      <c r="B190" s="4">
        <v>45229</v>
      </c>
      <c r="C190" s="4" t="str">
        <f t="shared" si="8"/>
        <v>Oct</v>
      </c>
      <c r="D190" s="2" t="s">
        <v>397</v>
      </c>
      <c r="E190" s="2" t="s">
        <v>83</v>
      </c>
      <c r="F190" s="2" t="s">
        <v>84</v>
      </c>
      <c r="G190" s="2" t="s">
        <v>15</v>
      </c>
      <c r="H190" s="2" t="s">
        <v>56</v>
      </c>
      <c r="I190" s="2">
        <v>1898.86</v>
      </c>
      <c r="J190" s="2">
        <v>4</v>
      </c>
      <c r="K190" s="2">
        <v>15</v>
      </c>
      <c r="L190" s="9">
        <f t="shared" si="9"/>
        <v>7595.44</v>
      </c>
      <c r="M190" s="9">
        <f t="shared" si="10"/>
        <v>1139.3159999999998</v>
      </c>
      <c r="N190" s="10">
        <f t="shared" si="11"/>
        <v>6456.1239999999998</v>
      </c>
      <c r="O190" s="2" t="s">
        <v>26</v>
      </c>
      <c r="P190" s="2" t="s">
        <v>18</v>
      </c>
      <c r="Q190" s="2" t="s">
        <v>19</v>
      </c>
    </row>
    <row r="191" spans="1:17" x14ac:dyDescent="0.25">
      <c r="A191" s="3" t="s">
        <v>398</v>
      </c>
      <c r="B191" s="4">
        <v>45230</v>
      </c>
      <c r="C191" s="4" t="str">
        <f t="shared" si="8"/>
        <v>Oct</v>
      </c>
      <c r="D191" s="3" t="s">
        <v>399</v>
      </c>
      <c r="E191" s="3" t="s">
        <v>13</v>
      </c>
      <c r="F191" s="3" t="s">
        <v>14</v>
      </c>
      <c r="G191" s="3" t="s">
        <v>43</v>
      </c>
      <c r="H191" s="3" t="s">
        <v>105</v>
      </c>
      <c r="I191" s="3">
        <v>2754.52</v>
      </c>
      <c r="J191" s="3">
        <v>4</v>
      </c>
      <c r="K191" s="3">
        <v>10</v>
      </c>
      <c r="L191" s="9">
        <f t="shared" si="9"/>
        <v>11018.08</v>
      </c>
      <c r="M191" s="9">
        <f t="shared" si="10"/>
        <v>1101.808</v>
      </c>
      <c r="N191" s="10">
        <f t="shared" si="11"/>
        <v>9916.2720000000008</v>
      </c>
      <c r="O191" s="3" t="s">
        <v>26</v>
      </c>
      <c r="P191" s="3" t="s">
        <v>18</v>
      </c>
      <c r="Q191" s="3" t="s">
        <v>19</v>
      </c>
    </row>
    <row r="192" spans="1:17" x14ac:dyDescent="0.25">
      <c r="A192" s="2" t="s">
        <v>400</v>
      </c>
      <c r="B192" s="4">
        <v>45231</v>
      </c>
      <c r="C192" s="4" t="str">
        <f t="shared" si="8"/>
        <v>Nov</v>
      </c>
      <c r="D192" s="2" t="s">
        <v>353</v>
      </c>
      <c r="E192" s="2" t="s">
        <v>13</v>
      </c>
      <c r="F192" s="2" t="s">
        <v>14</v>
      </c>
      <c r="G192" s="2" t="s">
        <v>15</v>
      </c>
      <c r="H192" s="2" t="s">
        <v>163</v>
      </c>
      <c r="I192" s="2">
        <v>2509.34</v>
      </c>
      <c r="J192" s="2">
        <v>5</v>
      </c>
      <c r="K192" s="2">
        <v>0</v>
      </c>
      <c r="L192" s="9">
        <f t="shared" si="9"/>
        <v>12546.7</v>
      </c>
      <c r="M192" s="9">
        <f t="shared" si="10"/>
        <v>0</v>
      </c>
      <c r="N192" s="10">
        <f t="shared" si="11"/>
        <v>12546.7</v>
      </c>
      <c r="O192" s="2" t="s">
        <v>68</v>
      </c>
      <c r="P192" s="2" t="s">
        <v>52</v>
      </c>
      <c r="Q192" s="2" t="s">
        <v>60</v>
      </c>
    </row>
    <row r="193" spans="1:17" x14ac:dyDescent="0.25">
      <c r="A193" s="3" t="s">
        <v>401</v>
      </c>
      <c r="B193" s="4">
        <v>45232</v>
      </c>
      <c r="C193" s="4" t="str">
        <f t="shared" si="8"/>
        <v>Nov</v>
      </c>
      <c r="D193" s="3" t="s">
        <v>402</v>
      </c>
      <c r="E193" s="3" t="s">
        <v>83</v>
      </c>
      <c r="F193" s="3" t="s">
        <v>84</v>
      </c>
      <c r="G193" s="3" t="s">
        <v>31</v>
      </c>
      <c r="H193" s="3" t="s">
        <v>242</v>
      </c>
      <c r="I193" s="3">
        <v>873.77</v>
      </c>
      <c r="J193" s="3">
        <v>3</v>
      </c>
      <c r="K193" s="3">
        <v>0</v>
      </c>
      <c r="L193" s="9">
        <f t="shared" si="9"/>
        <v>2621.31</v>
      </c>
      <c r="M193" s="9">
        <f t="shared" si="10"/>
        <v>0</v>
      </c>
      <c r="N193" s="10">
        <f t="shared" si="11"/>
        <v>2621.31</v>
      </c>
      <c r="O193" s="3" t="s">
        <v>33</v>
      </c>
      <c r="P193" s="3" t="s">
        <v>18</v>
      </c>
      <c r="Q193" s="3" t="s">
        <v>53</v>
      </c>
    </row>
    <row r="194" spans="1:17" x14ac:dyDescent="0.25">
      <c r="A194" s="2" t="s">
        <v>403</v>
      </c>
      <c r="B194" s="4">
        <v>45233</v>
      </c>
      <c r="C194" s="4" t="str">
        <f t="shared" ref="C194:C257" si="12">TEXT(B194,"mmm")</f>
        <v>Nov</v>
      </c>
      <c r="D194" s="2" t="s">
        <v>355</v>
      </c>
      <c r="E194" s="2" t="s">
        <v>51</v>
      </c>
      <c r="F194" s="2" t="s">
        <v>14</v>
      </c>
      <c r="G194" s="2" t="s">
        <v>31</v>
      </c>
      <c r="H194" s="2" t="s">
        <v>116</v>
      </c>
      <c r="I194" s="2">
        <v>1249.18</v>
      </c>
      <c r="J194" s="2">
        <v>4</v>
      </c>
      <c r="K194" s="2">
        <v>15</v>
      </c>
      <c r="L194" s="9">
        <f t="shared" ref="L194:L257" si="13">J194*I194</f>
        <v>4996.72</v>
      </c>
      <c r="M194" s="9">
        <f t="shared" ref="M194:M257" si="14">L194*K194/100</f>
        <v>749.50800000000004</v>
      </c>
      <c r="N194" s="10">
        <f t="shared" ref="N194:N257" si="15">L194-M194</f>
        <v>4247.2120000000004</v>
      </c>
      <c r="O194" s="2" t="s">
        <v>33</v>
      </c>
      <c r="P194" s="2" t="s">
        <v>18</v>
      </c>
      <c r="Q194" s="2" t="s">
        <v>19</v>
      </c>
    </row>
    <row r="195" spans="1:17" x14ac:dyDescent="0.25">
      <c r="A195" s="3" t="s">
        <v>404</v>
      </c>
      <c r="B195" s="4">
        <v>45234</v>
      </c>
      <c r="C195" s="4" t="str">
        <f t="shared" si="12"/>
        <v>Nov</v>
      </c>
      <c r="D195" s="3" t="s">
        <v>364</v>
      </c>
      <c r="E195" s="3" t="s">
        <v>22</v>
      </c>
      <c r="F195" s="3" t="s">
        <v>23</v>
      </c>
      <c r="G195" s="3" t="s">
        <v>110</v>
      </c>
      <c r="H195" s="3" t="s">
        <v>111</v>
      </c>
      <c r="I195" s="3">
        <v>9271.42</v>
      </c>
      <c r="J195" s="3">
        <v>4</v>
      </c>
      <c r="K195" s="3">
        <v>0</v>
      </c>
      <c r="L195" s="9">
        <f t="shared" si="13"/>
        <v>37085.68</v>
      </c>
      <c r="M195" s="9">
        <f t="shared" si="14"/>
        <v>0</v>
      </c>
      <c r="N195" s="10">
        <f t="shared" si="15"/>
        <v>37085.68</v>
      </c>
      <c r="O195" s="3" t="s">
        <v>26</v>
      </c>
      <c r="P195" s="3" t="s">
        <v>18</v>
      </c>
      <c r="Q195" s="3" t="s">
        <v>40</v>
      </c>
    </row>
    <row r="196" spans="1:17" x14ac:dyDescent="0.25">
      <c r="A196" s="2" t="s">
        <v>405</v>
      </c>
      <c r="B196" s="4">
        <v>45235</v>
      </c>
      <c r="C196" s="4" t="str">
        <f t="shared" si="12"/>
        <v>Nov</v>
      </c>
      <c r="D196" s="2" t="s">
        <v>406</v>
      </c>
      <c r="E196" s="2" t="s">
        <v>87</v>
      </c>
      <c r="F196" s="2" t="s">
        <v>88</v>
      </c>
      <c r="G196" s="2" t="s">
        <v>43</v>
      </c>
      <c r="H196" s="2" t="s">
        <v>105</v>
      </c>
      <c r="I196" s="2">
        <v>2938.51</v>
      </c>
      <c r="J196" s="2">
        <v>2</v>
      </c>
      <c r="K196" s="2">
        <v>15</v>
      </c>
      <c r="L196" s="9">
        <f t="shared" si="13"/>
        <v>5877.02</v>
      </c>
      <c r="M196" s="9">
        <f t="shared" si="14"/>
        <v>881.553</v>
      </c>
      <c r="N196" s="10">
        <f t="shared" si="15"/>
        <v>4995.4670000000006</v>
      </c>
      <c r="O196" s="2" t="s">
        <v>17</v>
      </c>
      <c r="P196" s="2" t="s">
        <v>18</v>
      </c>
      <c r="Q196" s="2" t="s">
        <v>19</v>
      </c>
    </row>
    <row r="197" spans="1:17" x14ac:dyDescent="0.25">
      <c r="A197" s="3" t="s">
        <v>407</v>
      </c>
      <c r="B197" s="4">
        <v>45236</v>
      </c>
      <c r="C197" s="4" t="str">
        <f t="shared" si="12"/>
        <v>Nov</v>
      </c>
      <c r="D197" s="3" t="s">
        <v>62</v>
      </c>
      <c r="E197" s="3" t="s">
        <v>22</v>
      </c>
      <c r="F197" s="3" t="s">
        <v>23</v>
      </c>
      <c r="G197" s="3" t="s">
        <v>110</v>
      </c>
      <c r="H197" s="3" t="s">
        <v>111</v>
      </c>
      <c r="I197" s="3">
        <v>9004.64</v>
      </c>
      <c r="J197" s="3">
        <v>1</v>
      </c>
      <c r="K197" s="3">
        <v>0</v>
      </c>
      <c r="L197" s="9">
        <f t="shared" si="13"/>
        <v>9004.64</v>
      </c>
      <c r="M197" s="9">
        <f t="shared" si="14"/>
        <v>0</v>
      </c>
      <c r="N197" s="10">
        <f t="shared" si="15"/>
        <v>9004.64</v>
      </c>
      <c r="O197" s="3" t="s">
        <v>17</v>
      </c>
      <c r="P197" s="3" t="s">
        <v>18</v>
      </c>
      <c r="Q197" s="3" t="s">
        <v>53</v>
      </c>
    </row>
    <row r="198" spans="1:17" x14ac:dyDescent="0.25">
      <c r="A198" s="2" t="s">
        <v>408</v>
      </c>
      <c r="B198" s="4">
        <v>45237</v>
      </c>
      <c r="C198" s="4" t="str">
        <f t="shared" si="12"/>
        <v>Nov</v>
      </c>
      <c r="D198" s="2" t="s">
        <v>139</v>
      </c>
      <c r="E198" s="2" t="s">
        <v>87</v>
      </c>
      <c r="F198" s="2" t="s">
        <v>88</v>
      </c>
      <c r="G198" s="2" t="s">
        <v>15</v>
      </c>
      <c r="H198" s="2" t="s">
        <v>95</v>
      </c>
      <c r="I198" s="2">
        <v>1104.1300000000001</v>
      </c>
      <c r="J198" s="2">
        <v>2</v>
      </c>
      <c r="K198" s="2">
        <v>15</v>
      </c>
      <c r="L198" s="9">
        <f t="shared" si="13"/>
        <v>2208.2600000000002</v>
      </c>
      <c r="M198" s="9">
        <f t="shared" si="14"/>
        <v>331.23900000000003</v>
      </c>
      <c r="N198" s="10">
        <f t="shared" si="15"/>
        <v>1877.0210000000002</v>
      </c>
      <c r="O198" s="2" t="s">
        <v>17</v>
      </c>
      <c r="P198" s="2" t="s">
        <v>18</v>
      </c>
      <c r="Q198" s="2" t="s">
        <v>60</v>
      </c>
    </row>
    <row r="199" spans="1:17" x14ac:dyDescent="0.25">
      <c r="A199" s="3" t="s">
        <v>409</v>
      </c>
      <c r="B199" s="4">
        <v>45238</v>
      </c>
      <c r="C199" s="4" t="str">
        <f t="shared" si="12"/>
        <v>Nov</v>
      </c>
      <c r="D199" s="3" t="s">
        <v>155</v>
      </c>
      <c r="E199" s="3" t="s">
        <v>51</v>
      </c>
      <c r="F199" s="3" t="s">
        <v>14</v>
      </c>
      <c r="G199" s="3" t="s">
        <v>72</v>
      </c>
      <c r="H199" s="3" t="s">
        <v>137</v>
      </c>
      <c r="I199" s="3">
        <v>2121.31</v>
      </c>
      <c r="J199" s="3">
        <v>1</v>
      </c>
      <c r="K199" s="3">
        <v>15</v>
      </c>
      <c r="L199" s="9">
        <f t="shared" si="13"/>
        <v>2121.31</v>
      </c>
      <c r="M199" s="9">
        <f t="shared" si="14"/>
        <v>318.19649999999996</v>
      </c>
      <c r="N199" s="10">
        <f t="shared" si="15"/>
        <v>1803.1134999999999</v>
      </c>
      <c r="O199" s="3" t="s">
        <v>17</v>
      </c>
      <c r="P199" s="3" t="s">
        <v>18</v>
      </c>
      <c r="Q199" s="3" t="s">
        <v>19</v>
      </c>
    </row>
    <row r="200" spans="1:17" x14ac:dyDescent="0.25">
      <c r="A200" s="2" t="s">
        <v>410</v>
      </c>
      <c r="B200" s="4">
        <v>45239</v>
      </c>
      <c r="C200" s="4" t="str">
        <f t="shared" si="12"/>
        <v>Nov</v>
      </c>
      <c r="D200" s="2" t="s">
        <v>411</v>
      </c>
      <c r="E200" s="2" t="s">
        <v>100</v>
      </c>
      <c r="F200" s="2" t="s">
        <v>88</v>
      </c>
      <c r="G200" s="2" t="s">
        <v>43</v>
      </c>
      <c r="H200" s="2" t="s">
        <v>127</v>
      </c>
      <c r="I200" s="2">
        <v>5977.31</v>
      </c>
      <c r="J200" s="2">
        <v>1</v>
      </c>
      <c r="K200" s="2">
        <v>0</v>
      </c>
      <c r="L200" s="9">
        <f t="shared" si="13"/>
        <v>5977.31</v>
      </c>
      <c r="M200" s="9">
        <f t="shared" si="14"/>
        <v>0</v>
      </c>
      <c r="N200" s="10">
        <f t="shared" si="15"/>
        <v>5977.31</v>
      </c>
      <c r="O200" s="2" t="s">
        <v>33</v>
      </c>
      <c r="P200" s="2" t="s">
        <v>18</v>
      </c>
      <c r="Q200" s="2" t="s">
        <v>34</v>
      </c>
    </row>
    <row r="201" spans="1:17" x14ac:dyDescent="0.25">
      <c r="A201" s="3" t="s">
        <v>412</v>
      </c>
      <c r="B201" s="4">
        <v>45240</v>
      </c>
      <c r="C201" s="4" t="str">
        <f t="shared" si="12"/>
        <v>Nov</v>
      </c>
      <c r="D201" s="3" t="s">
        <v>413</v>
      </c>
      <c r="E201" s="3" t="s">
        <v>29</v>
      </c>
      <c r="F201" s="3" t="s">
        <v>30</v>
      </c>
      <c r="G201" s="3" t="s">
        <v>110</v>
      </c>
      <c r="H201" s="3" t="s">
        <v>207</v>
      </c>
      <c r="I201" s="3">
        <v>9228.3700000000008</v>
      </c>
      <c r="J201" s="3">
        <v>3</v>
      </c>
      <c r="K201" s="3">
        <v>10</v>
      </c>
      <c r="L201" s="9">
        <f t="shared" si="13"/>
        <v>27685.11</v>
      </c>
      <c r="M201" s="9">
        <f t="shared" si="14"/>
        <v>2768.511</v>
      </c>
      <c r="N201" s="10">
        <f t="shared" si="15"/>
        <v>24916.599000000002</v>
      </c>
      <c r="O201" s="3" t="s">
        <v>33</v>
      </c>
      <c r="P201" s="3" t="s">
        <v>27</v>
      </c>
      <c r="Q201" s="3" t="s">
        <v>19</v>
      </c>
    </row>
    <row r="202" spans="1:17" x14ac:dyDescent="0.25">
      <c r="A202" s="2" t="s">
        <v>414</v>
      </c>
      <c r="B202" s="4">
        <v>45241</v>
      </c>
      <c r="C202" s="4" t="str">
        <f t="shared" si="12"/>
        <v>Nov</v>
      </c>
      <c r="D202" s="2" t="s">
        <v>397</v>
      </c>
      <c r="E202" s="2" t="s">
        <v>83</v>
      </c>
      <c r="F202" s="2" t="s">
        <v>84</v>
      </c>
      <c r="G202" s="2" t="s">
        <v>43</v>
      </c>
      <c r="H202" s="2" t="s">
        <v>105</v>
      </c>
      <c r="I202" s="2">
        <v>2627.97</v>
      </c>
      <c r="J202" s="2">
        <v>1</v>
      </c>
      <c r="K202" s="2">
        <v>15</v>
      </c>
      <c r="L202" s="9">
        <f t="shared" si="13"/>
        <v>2627.97</v>
      </c>
      <c r="M202" s="9">
        <f t="shared" si="14"/>
        <v>394.19549999999998</v>
      </c>
      <c r="N202" s="10">
        <f t="shared" si="15"/>
        <v>2233.7745</v>
      </c>
      <c r="O202" s="2" t="s">
        <v>26</v>
      </c>
      <c r="P202" s="2" t="s">
        <v>27</v>
      </c>
      <c r="Q202" s="2" t="s">
        <v>60</v>
      </c>
    </row>
    <row r="203" spans="1:17" x14ac:dyDescent="0.25">
      <c r="A203" s="3" t="s">
        <v>415</v>
      </c>
      <c r="B203" s="4">
        <v>45242</v>
      </c>
      <c r="C203" s="4" t="str">
        <f t="shared" si="12"/>
        <v>Nov</v>
      </c>
      <c r="D203" s="3" t="s">
        <v>416</v>
      </c>
      <c r="E203" s="3" t="s">
        <v>100</v>
      </c>
      <c r="F203" s="3" t="s">
        <v>88</v>
      </c>
      <c r="G203" s="3" t="s">
        <v>36</v>
      </c>
      <c r="H203" s="3" t="s">
        <v>121</v>
      </c>
      <c r="I203" s="3">
        <v>91905.13</v>
      </c>
      <c r="J203" s="3">
        <v>3</v>
      </c>
      <c r="K203" s="3">
        <v>15</v>
      </c>
      <c r="L203" s="9">
        <f t="shared" si="13"/>
        <v>275715.39</v>
      </c>
      <c r="M203" s="9">
        <f t="shared" si="14"/>
        <v>41357.308499999999</v>
      </c>
      <c r="N203" s="10">
        <f t="shared" si="15"/>
        <v>234358.08150000003</v>
      </c>
      <c r="O203" s="3" t="s">
        <v>26</v>
      </c>
      <c r="P203" s="3" t="s">
        <v>18</v>
      </c>
      <c r="Q203" s="3" t="s">
        <v>19</v>
      </c>
    </row>
    <row r="204" spans="1:17" x14ac:dyDescent="0.25">
      <c r="A204" s="2" t="s">
        <v>417</v>
      </c>
      <c r="B204" s="4">
        <v>45243</v>
      </c>
      <c r="C204" s="4" t="str">
        <f t="shared" si="12"/>
        <v>Nov</v>
      </c>
      <c r="D204" s="2" t="s">
        <v>418</v>
      </c>
      <c r="E204" s="2" t="s">
        <v>83</v>
      </c>
      <c r="F204" s="2" t="s">
        <v>84</v>
      </c>
      <c r="G204" s="2" t="s">
        <v>31</v>
      </c>
      <c r="H204" s="2" t="s">
        <v>32</v>
      </c>
      <c r="I204" s="2">
        <v>2450.42</v>
      </c>
      <c r="J204" s="2">
        <v>1</v>
      </c>
      <c r="K204" s="2">
        <v>0</v>
      </c>
      <c r="L204" s="9">
        <f t="shared" si="13"/>
        <v>2450.42</v>
      </c>
      <c r="M204" s="9">
        <f t="shared" si="14"/>
        <v>0</v>
      </c>
      <c r="N204" s="10">
        <f t="shared" si="15"/>
        <v>2450.42</v>
      </c>
      <c r="O204" s="2" t="s">
        <v>26</v>
      </c>
      <c r="P204" s="2" t="s">
        <v>18</v>
      </c>
      <c r="Q204" s="2" t="s">
        <v>34</v>
      </c>
    </row>
    <row r="205" spans="1:17" x14ac:dyDescent="0.25">
      <c r="A205" s="3" t="s">
        <v>419</v>
      </c>
      <c r="B205" s="4">
        <v>45244</v>
      </c>
      <c r="C205" s="4" t="str">
        <f t="shared" si="12"/>
        <v>Nov</v>
      </c>
      <c r="D205" s="3" t="s">
        <v>413</v>
      </c>
      <c r="E205" s="3" t="s">
        <v>65</v>
      </c>
      <c r="F205" s="3" t="s">
        <v>66</v>
      </c>
      <c r="G205" s="3" t="s">
        <v>24</v>
      </c>
      <c r="H205" s="3" t="s">
        <v>134</v>
      </c>
      <c r="I205" s="3">
        <v>2626.88</v>
      </c>
      <c r="J205" s="3">
        <v>3</v>
      </c>
      <c r="K205" s="3">
        <v>0</v>
      </c>
      <c r="L205" s="9">
        <f t="shared" si="13"/>
        <v>7880.64</v>
      </c>
      <c r="M205" s="9">
        <f t="shared" si="14"/>
        <v>0</v>
      </c>
      <c r="N205" s="10">
        <f t="shared" si="15"/>
        <v>7880.64</v>
      </c>
      <c r="O205" s="3" t="s">
        <v>17</v>
      </c>
      <c r="P205" s="3" t="s">
        <v>27</v>
      </c>
      <c r="Q205" s="3" t="s">
        <v>19</v>
      </c>
    </row>
    <row r="206" spans="1:17" x14ac:dyDescent="0.25">
      <c r="A206" s="2" t="s">
        <v>420</v>
      </c>
      <c r="B206" s="4">
        <v>45245</v>
      </c>
      <c r="C206" s="4" t="str">
        <f t="shared" si="12"/>
        <v>Nov</v>
      </c>
      <c r="D206" s="2" t="s">
        <v>421</v>
      </c>
      <c r="E206" s="2" t="s">
        <v>87</v>
      </c>
      <c r="F206" s="2" t="s">
        <v>88</v>
      </c>
      <c r="G206" s="2" t="s">
        <v>15</v>
      </c>
      <c r="H206" s="2" t="s">
        <v>163</v>
      </c>
      <c r="I206" s="2">
        <v>2281.06</v>
      </c>
      <c r="J206" s="2">
        <v>1</v>
      </c>
      <c r="K206" s="2">
        <v>15</v>
      </c>
      <c r="L206" s="9">
        <f t="shared" si="13"/>
        <v>2281.06</v>
      </c>
      <c r="M206" s="9">
        <f t="shared" si="14"/>
        <v>342.15899999999999</v>
      </c>
      <c r="N206" s="10">
        <f t="shared" si="15"/>
        <v>1938.9009999999998</v>
      </c>
      <c r="O206" s="2" t="s">
        <v>38</v>
      </c>
      <c r="P206" s="2" t="s">
        <v>18</v>
      </c>
      <c r="Q206" s="2" t="s">
        <v>60</v>
      </c>
    </row>
    <row r="207" spans="1:17" x14ac:dyDescent="0.25">
      <c r="A207" s="3" t="s">
        <v>422</v>
      </c>
      <c r="B207" s="4">
        <v>45246</v>
      </c>
      <c r="C207" s="4" t="str">
        <f t="shared" si="12"/>
        <v>Nov</v>
      </c>
      <c r="D207" s="3" t="s">
        <v>423</v>
      </c>
      <c r="E207" s="3" t="s">
        <v>47</v>
      </c>
      <c r="F207" s="3" t="s">
        <v>48</v>
      </c>
      <c r="G207" s="3" t="s">
        <v>15</v>
      </c>
      <c r="H207" s="3" t="s">
        <v>198</v>
      </c>
      <c r="I207" s="3">
        <v>822.19</v>
      </c>
      <c r="J207" s="3">
        <v>3</v>
      </c>
      <c r="K207" s="3">
        <v>0</v>
      </c>
      <c r="L207" s="9">
        <f t="shared" si="13"/>
        <v>2466.5700000000002</v>
      </c>
      <c r="M207" s="9">
        <f t="shared" si="14"/>
        <v>0</v>
      </c>
      <c r="N207" s="10">
        <f t="shared" si="15"/>
        <v>2466.5700000000002</v>
      </c>
      <c r="O207" s="3" t="s">
        <v>17</v>
      </c>
      <c r="P207" s="3" t="s">
        <v>18</v>
      </c>
      <c r="Q207" s="3" t="s">
        <v>53</v>
      </c>
    </row>
    <row r="208" spans="1:17" x14ac:dyDescent="0.25">
      <c r="A208" s="2" t="s">
        <v>424</v>
      </c>
      <c r="B208" s="4">
        <v>45247</v>
      </c>
      <c r="C208" s="4" t="str">
        <f t="shared" si="12"/>
        <v>Nov</v>
      </c>
      <c r="D208" s="2" t="s">
        <v>397</v>
      </c>
      <c r="E208" s="2" t="s">
        <v>76</v>
      </c>
      <c r="F208" s="2" t="s">
        <v>77</v>
      </c>
      <c r="G208" s="2" t="s">
        <v>15</v>
      </c>
      <c r="H208" s="2" t="s">
        <v>56</v>
      </c>
      <c r="I208" s="2">
        <v>1754.5</v>
      </c>
      <c r="J208" s="2">
        <v>5</v>
      </c>
      <c r="K208" s="2">
        <v>0</v>
      </c>
      <c r="L208" s="9">
        <f t="shared" si="13"/>
        <v>8772.5</v>
      </c>
      <c r="M208" s="9">
        <f t="shared" si="14"/>
        <v>0</v>
      </c>
      <c r="N208" s="10">
        <f t="shared" si="15"/>
        <v>8772.5</v>
      </c>
      <c r="O208" s="2" t="s">
        <v>17</v>
      </c>
      <c r="P208" s="2" t="s">
        <v>39</v>
      </c>
      <c r="Q208" s="2" t="s">
        <v>53</v>
      </c>
    </row>
    <row r="209" spans="1:17" x14ac:dyDescent="0.25">
      <c r="A209" s="3" t="s">
        <v>425</v>
      </c>
      <c r="B209" s="4">
        <v>45248</v>
      </c>
      <c r="C209" s="4" t="str">
        <f t="shared" si="12"/>
        <v>Nov</v>
      </c>
      <c r="D209" s="3" t="s">
        <v>426</v>
      </c>
      <c r="E209" s="3" t="s">
        <v>22</v>
      </c>
      <c r="F209" s="3" t="s">
        <v>23</v>
      </c>
      <c r="G209" s="3" t="s">
        <v>110</v>
      </c>
      <c r="H209" s="3" t="s">
        <v>67</v>
      </c>
      <c r="I209" s="3">
        <v>4525.3599999999997</v>
      </c>
      <c r="J209" s="3">
        <v>3</v>
      </c>
      <c r="K209" s="3">
        <v>10</v>
      </c>
      <c r="L209" s="9">
        <f t="shared" si="13"/>
        <v>13576.079999999998</v>
      </c>
      <c r="M209" s="9">
        <f t="shared" si="14"/>
        <v>1357.6079999999999</v>
      </c>
      <c r="N209" s="10">
        <f t="shared" si="15"/>
        <v>12218.471999999998</v>
      </c>
      <c r="O209" s="3" t="s">
        <v>17</v>
      </c>
      <c r="P209" s="3" t="s">
        <v>18</v>
      </c>
      <c r="Q209" s="3" t="s">
        <v>40</v>
      </c>
    </row>
    <row r="210" spans="1:17" x14ac:dyDescent="0.25">
      <c r="A210" s="2" t="s">
        <v>427</v>
      </c>
      <c r="B210" s="4">
        <v>45249</v>
      </c>
      <c r="C210" s="4" t="str">
        <f t="shared" si="12"/>
        <v>Nov</v>
      </c>
      <c r="D210" s="2" t="s">
        <v>94</v>
      </c>
      <c r="E210" s="2" t="s">
        <v>29</v>
      </c>
      <c r="F210" s="2" t="s">
        <v>30</v>
      </c>
      <c r="G210" s="2" t="s">
        <v>110</v>
      </c>
      <c r="H210" s="2" t="s">
        <v>153</v>
      </c>
      <c r="I210" s="2">
        <v>3265.18</v>
      </c>
      <c r="J210" s="2">
        <v>5</v>
      </c>
      <c r="K210" s="2">
        <v>15</v>
      </c>
      <c r="L210" s="9">
        <f t="shared" si="13"/>
        <v>16325.9</v>
      </c>
      <c r="M210" s="9">
        <f t="shared" si="14"/>
        <v>2448.8850000000002</v>
      </c>
      <c r="N210" s="10">
        <f t="shared" si="15"/>
        <v>13877.014999999999</v>
      </c>
      <c r="O210" s="2" t="s">
        <v>68</v>
      </c>
      <c r="P210" s="2" t="s">
        <v>27</v>
      </c>
      <c r="Q210" s="2" t="s">
        <v>53</v>
      </c>
    </row>
    <row r="211" spans="1:17" x14ac:dyDescent="0.25">
      <c r="A211" s="3" t="s">
        <v>428</v>
      </c>
      <c r="B211" s="4">
        <v>45250</v>
      </c>
      <c r="C211" s="4" t="str">
        <f t="shared" si="12"/>
        <v>Nov</v>
      </c>
      <c r="D211" s="3" t="s">
        <v>429</v>
      </c>
      <c r="E211" s="3" t="s">
        <v>22</v>
      </c>
      <c r="F211" s="3" t="s">
        <v>23</v>
      </c>
      <c r="G211" s="3" t="s">
        <v>110</v>
      </c>
      <c r="H211" s="3" t="s">
        <v>67</v>
      </c>
      <c r="I211" s="3">
        <v>4777.82</v>
      </c>
      <c r="J211" s="3">
        <v>4</v>
      </c>
      <c r="K211" s="3">
        <v>10</v>
      </c>
      <c r="L211" s="9">
        <f t="shared" si="13"/>
        <v>19111.28</v>
      </c>
      <c r="M211" s="9">
        <f t="shared" si="14"/>
        <v>1911.1279999999999</v>
      </c>
      <c r="N211" s="10">
        <f t="shared" si="15"/>
        <v>17200.151999999998</v>
      </c>
      <c r="O211" s="3" t="s">
        <v>17</v>
      </c>
      <c r="P211" s="3" t="s">
        <v>18</v>
      </c>
      <c r="Q211" s="3" t="s">
        <v>60</v>
      </c>
    </row>
    <row r="212" spans="1:17" x14ac:dyDescent="0.25">
      <c r="A212" s="2" t="s">
        <v>430</v>
      </c>
      <c r="B212" s="4">
        <v>45251</v>
      </c>
      <c r="C212" s="4" t="str">
        <f t="shared" si="12"/>
        <v>Nov</v>
      </c>
      <c r="D212" s="2" t="s">
        <v>431</v>
      </c>
      <c r="E212" s="2" t="s">
        <v>76</v>
      </c>
      <c r="F212" s="2" t="s">
        <v>77</v>
      </c>
      <c r="G212" s="2" t="s">
        <v>15</v>
      </c>
      <c r="H212" s="2" t="s">
        <v>16</v>
      </c>
      <c r="I212" s="2">
        <v>1566.98</v>
      </c>
      <c r="J212" s="2">
        <v>4</v>
      </c>
      <c r="K212" s="2">
        <v>10</v>
      </c>
      <c r="L212" s="9">
        <f t="shared" si="13"/>
        <v>6267.92</v>
      </c>
      <c r="M212" s="9">
        <f t="shared" si="14"/>
        <v>626.79199999999992</v>
      </c>
      <c r="N212" s="10">
        <f t="shared" si="15"/>
        <v>5641.1280000000006</v>
      </c>
      <c r="O212" s="2" t="s">
        <v>68</v>
      </c>
      <c r="P212" s="2" t="s">
        <v>27</v>
      </c>
      <c r="Q212" s="2" t="s">
        <v>53</v>
      </c>
    </row>
    <row r="213" spans="1:17" x14ac:dyDescent="0.25">
      <c r="A213" s="3" t="s">
        <v>432</v>
      </c>
      <c r="B213" s="4">
        <v>45252</v>
      </c>
      <c r="C213" s="4" t="str">
        <f t="shared" si="12"/>
        <v>Nov</v>
      </c>
      <c r="D213" s="3" t="s">
        <v>433</v>
      </c>
      <c r="E213" s="3" t="s">
        <v>65</v>
      </c>
      <c r="F213" s="3" t="s">
        <v>66</v>
      </c>
      <c r="G213" s="3" t="s">
        <v>31</v>
      </c>
      <c r="H213" s="3" t="s">
        <v>32</v>
      </c>
      <c r="I213" s="3">
        <v>2520.58</v>
      </c>
      <c r="J213" s="3">
        <v>1</v>
      </c>
      <c r="K213" s="3">
        <v>5</v>
      </c>
      <c r="L213" s="9">
        <f t="shared" si="13"/>
        <v>2520.58</v>
      </c>
      <c r="M213" s="9">
        <f t="shared" si="14"/>
        <v>126.029</v>
      </c>
      <c r="N213" s="10">
        <f t="shared" si="15"/>
        <v>2394.5509999999999</v>
      </c>
      <c r="O213" s="3" t="s">
        <v>33</v>
      </c>
      <c r="P213" s="3" t="s">
        <v>18</v>
      </c>
      <c r="Q213" s="3" t="s">
        <v>34</v>
      </c>
    </row>
    <row r="214" spans="1:17" x14ac:dyDescent="0.25">
      <c r="A214" s="2" t="s">
        <v>434</v>
      </c>
      <c r="B214" s="4">
        <v>45253</v>
      </c>
      <c r="C214" s="4" t="str">
        <f t="shared" si="12"/>
        <v>Nov</v>
      </c>
      <c r="D214" s="2" t="s">
        <v>435</v>
      </c>
      <c r="E214" s="2" t="s">
        <v>65</v>
      </c>
      <c r="F214" s="2" t="s">
        <v>66</v>
      </c>
      <c r="G214" s="2" t="s">
        <v>31</v>
      </c>
      <c r="H214" s="2" t="s">
        <v>70</v>
      </c>
      <c r="I214" s="2">
        <v>593.82000000000005</v>
      </c>
      <c r="J214" s="2">
        <v>4</v>
      </c>
      <c r="K214" s="2">
        <v>0</v>
      </c>
      <c r="L214" s="9">
        <f t="shared" si="13"/>
        <v>2375.2800000000002</v>
      </c>
      <c r="M214" s="9">
        <f t="shared" si="14"/>
        <v>0</v>
      </c>
      <c r="N214" s="10">
        <f t="shared" si="15"/>
        <v>2375.2800000000002</v>
      </c>
      <c r="O214" s="2" t="s">
        <v>68</v>
      </c>
      <c r="P214" s="2" t="s">
        <v>27</v>
      </c>
      <c r="Q214" s="2" t="s">
        <v>19</v>
      </c>
    </row>
    <row r="215" spans="1:17" x14ac:dyDescent="0.25">
      <c r="A215" s="3" t="s">
        <v>436</v>
      </c>
      <c r="B215" s="4">
        <v>45254</v>
      </c>
      <c r="C215" s="4" t="str">
        <f t="shared" si="12"/>
        <v>Nov</v>
      </c>
      <c r="D215" s="3" t="s">
        <v>336</v>
      </c>
      <c r="E215" s="3" t="s">
        <v>22</v>
      </c>
      <c r="F215" s="3" t="s">
        <v>23</v>
      </c>
      <c r="G215" s="3" t="s">
        <v>24</v>
      </c>
      <c r="H215" s="3" t="s">
        <v>59</v>
      </c>
      <c r="I215" s="3">
        <v>4893.0600000000004</v>
      </c>
      <c r="J215" s="3">
        <v>2</v>
      </c>
      <c r="K215" s="3">
        <v>0</v>
      </c>
      <c r="L215" s="9">
        <f t="shared" si="13"/>
        <v>9786.1200000000008</v>
      </c>
      <c r="M215" s="9">
        <f t="shared" si="14"/>
        <v>0</v>
      </c>
      <c r="N215" s="10">
        <f t="shared" si="15"/>
        <v>9786.1200000000008</v>
      </c>
      <c r="O215" s="3" t="s">
        <v>68</v>
      </c>
      <c r="P215" s="3" t="s">
        <v>39</v>
      </c>
      <c r="Q215" s="3" t="s">
        <v>40</v>
      </c>
    </row>
    <row r="216" spans="1:17" x14ac:dyDescent="0.25">
      <c r="A216" s="2" t="s">
        <v>437</v>
      </c>
      <c r="B216" s="4">
        <v>45255</v>
      </c>
      <c r="C216" s="4" t="str">
        <f t="shared" si="12"/>
        <v>Nov</v>
      </c>
      <c r="D216" s="2" t="s">
        <v>272</v>
      </c>
      <c r="E216" s="2" t="s">
        <v>83</v>
      </c>
      <c r="F216" s="2" t="s">
        <v>84</v>
      </c>
      <c r="G216" s="2" t="s">
        <v>43</v>
      </c>
      <c r="H216" s="2" t="s">
        <v>89</v>
      </c>
      <c r="I216" s="2">
        <v>4391.3500000000004</v>
      </c>
      <c r="J216" s="2">
        <v>2</v>
      </c>
      <c r="K216" s="2">
        <v>0</v>
      </c>
      <c r="L216" s="9">
        <f t="shared" si="13"/>
        <v>8782.7000000000007</v>
      </c>
      <c r="M216" s="9">
        <f t="shared" si="14"/>
        <v>0</v>
      </c>
      <c r="N216" s="10">
        <f t="shared" si="15"/>
        <v>8782.7000000000007</v>
      </c>
      <c r="O216" s="2" t="s">
        <v>33</v>
      </c>
      <c r="P216" s="2" t="s">
        <v>18</v>
      </c>
      <c r="Q216" s="2" t="s">
        <v>53</v>
      </c>
    </row>
    <row r="217" spans="1:17" x14ac:dyDescent="0.25">
      <c r="A217" s="3" t="s">
        <v>438</v>
      </c>
      <c r="B217" s="4">
        <v>45256</v>
      </c>
      <c r="C217" s="4" t="str">
        <f t="shared" si="12"/>
        <v>Nov</v>
      </c>
      <c r="D217" s="3" t="s">
        <v>439</v>
      </c>
      <c r="E217" s="3" t="s">
        <v>22</v>
      </c>
      <c r="F217" s="3" t="s">
        <v>23</v>
      </c>
      <c r="G217" s="3" t="s">
        <v>36</v>
      </c>
      <c r="H217" s="3" t="s">
        <v>121</v>
      </c>
      <c r="I217" s="3">
        <v>93465.57</v>
      </c>
      <c r="J217" s="3">
        <v>1</v>
      </c>
      <c r="K217" s="3">
        <v>10</v>
      </c>
      <c r="L217" s="9">
        <f t="shared" si="13"/>
        <v>93465.57</v>
      </c>
      <c r="M217" s="9">
        <f t="shared" si="14"/>
        <v>9346.5570000000007</v>
      </c>
      <c r="N217" s="10">
        <f t="shared" si="15"/>
        <v>84119.013000000006</v>
      </c>
      <c r="O217" s="3" t="s">
        <v>26</v>
      </c>
      <c r="P217" s="3" t="s">
        <v>18</v>
      </c>
      <c r="Q217" s="3" t="s">
        <v>40</v>
      </c>
    </row>
    <row r="218" spans="1:17" x14ac:dyDescent="0.25">
      <c r="A218" s="2" t="s">
        <v>440</v>
      </c>
      <c r="B218" s="4">
        <v>45257</v>
      </c>
      <c r="C218" s="4" t="str">
        <f t="shared" si="12"/>
        <v>Nov</v>
      </c>
      <c r="D218" s="2" t="s">
        <v>133</v>
      </c>
      <c r="E218" s="2" t="s">
        <v>29</v>
      </c>
      <c r="F218" s="2" t="s">
        <v>30</v>
      </c>
      <c r="G218" s="2" t="s">
        <v>15</v>
      </c>
      <c r="H218" s="2" t="s">
        <v>198</v>
      </c>
      <c r="I218" s="2">
        <v>759.16</v>
      </c>
      <c r="J218" s="2">
        <v>1</v>
      </c>
      <c r="K218" s="2">
        <v>0</v>
      </c>
      <c r="L218" s="9">
        <f t="shared" si="13"/>
        <v>759.16</v>
      </c>
      <c r="M218" s="9">
        <f t="shared" si="14"/>
        <v>0</v>
      </c>
      <c r="N218" s="10">
        <f t="shared" si="15"/>
        <v>759.16</v>
      </c>
      <c r="O218" s="2" t="s">
        <v>33</v>
      </c>
      <c r="P218" s="2" t="s">
        <v>18</v>
      </c>
      <c r="Q218" s="2" t="s">
        <v>19</v>
      </c>
    </row>
    <row r="219" spans="1:17" x14ac:dyDescent="0.25">
      <c r="A219" s="3" t="s">
        <v>441</v>
      </c>
      <c r="B219" s="4">
        <v>45258</v>
      </c>
      <c r="C219" s="4" t="str">
        <f t="shared" si="12"/>
        <v>Nov</v>
      </c>
      <c r="D219" s="3" t="s">
        <v>442</v>
      </c>
      <c r="E219" s="3" t="s">
        <v>83</v>
      </c>
      <c r="F219" s="3" t="s">
        <v>84</v>
      </c>
      <c r="G219" s="3" t="s">
        <v>31</v>
      </c>
      <c r="H219" s="3" t="s">
        <v>186</v>
      </c>
      <c r="I219" s="3">
        <v>850.53</v>
      </c>
      <c r="J219" s="3">
        <v>5</v>
      </c>
      <c r="K219" s="3">
        <v>0</v>
      </c>
      <c r="L219" s="9">
        <f t="shared" si="13"/>
        <v>4252.6499999999996</v>
      </c>
      <c r="M219" s="9">
        <f t="shared" si="14"/>
        <v>0</v>
      </c>
      <c r="N219" s="10">
        <f t="shared" si="15"/>
        <v>4252.6499999999996</v>
      </c>
      <c r="O219" s="3" t="s">
        <v>17</v>
      </c>
      <c r="P219" s="3" t="s">
        <v>52</v>
      </c>
      <c r="Q219" s="3" t="s">
        <v>34</v>
      </c>
    </row>
    <row r="220" spans="1:17" x14ac:dyDescent="0.25">
      <c r="A220" s="2" t="s">
        <v>443</v>
      </c>
      <c r="B220" s="4">
        <v>45259</v>
      </c>
      <c r="C220" s="4" t="str">
        <f t="shared" si="12"/>
        <v>Nov</v>
      </c>
      <c r="D220" s="2" t="s">
        <v>444</v>
      </c>
      <c r="E220" s="2" t="s">
        <v>83</v>
      </c>
      <c r="F220" s="2" t="s">
        <v>84</v>
      </c>
      <c r="G220" s="2" t="s">
        <v>24</v>
      </c>
      <c r="H220" s="2" t="s">
        <v>134</v>
      </c>
      <c r="I220" s="2">
        <v>2400.25</v>
      </c>
      <c r="J220" s="2">
        <v>1</v>
      </c>
      <c r="K220" s="2">
        <v>15</v>
      </c>
      <c r="L220" s="9">
        <f t="shared" si="13"/>
        <v>2400.25</v>
      </c>
      <c r="M220" s="9">
        <f t="shared" si="14"/>
        <v>360.03750000000002</v>
      </c>
      <c r="N220" s="10">
        <f t="shared" si="15"/>
        <v>2040.2125000000001</v>
      </c>
      <c r="O220" s="2" t="s">
        <v>17</v>
      </c>
      <c r="P220" s="2" t="s">
        <v>27</v>
      </c>
      <c r="Q220" s="2" t="s">
        <v>53</v>
      </c>
    </row>
    <row r="221" spans="1:17" x14ac:dyDescent="0.25">
      <c r="A221" s="3" t="s">
        <v>445</v>
      </c>
      <c r="B221" s="4">
        <v>45260</v>
      </c>
      <c r="C221" s="4" t="str">
        <f t="shared" si="12"/>
        <v>Nov</v>
      </c>
      <c r="D221" s="3" t="s">
        <v>446</v>
      </c>
      <c r="E221" s="3" t="s">
        <v>83</v>
      </c>
      <c r="F221" s="3" t="s">
        <v>84</v>
      </c>
      <c r="G221" s="3" t="s">
        <v>43</v>
      </c>
      <c r="H221" s="3" t="s">
        <v>44</v>
      </c>
      <c r="I221" s="3">
        <v>3830.6</v>
      </c>
      <c r="J221" s="3">
        <v>4</v>
      </c>
      <c r="K221" s="3">
        <v>5</v>
      </c>
      <c r="L221" s="9">
        <f t="shared" si="13"/>
        <v>15322.4</v>
      </c>
      <c r="M221" s="9">
        <f t="shared" si="14"/>
        <v>766.12</v>
      </c>
      <c r="N221" s="10">
        <f t="shared" si="15"/>
        <v>14556.279999999999</v>
      </c>
      <c r="O221" s="3" t="s">
        <v>38</v>
      </c>
      <c r="P221" s="3" t="s">
        <v>27</v>
      </c>
      <c r="Q221" s="3" t="s">
        <v>60</v>
      </c>
    </row>
    <row r="222" spans="1:17" x14ac:dyDescent="0.25">
      <c r="A222" s="2" t="s">
        <v>447</v>
      </c>
      <c r="B222" s="4">
        <v>45261</v>
      </c>
      <c r="C222" s="4" t="str">
        <f t="shared" si="12"/>
        <v>Dec</v>
      </c>
      <c r="D222" s="2" t="s">
        <v>387</v>
      </c>
      <c r="E222" s="2" t="s">
        <v>65</v>
      </c>
      <c r="F222" s="2" t="s">
        <v>66</v>
      </c>
      <c r="G222" s="2" t="s">
        <v>24</v>
      </c>
      <c r="H222" s="2" t="s">
        <v>59</v>
      </c>
      <c r="I222" s="2">
        <v>4973.5200000000004</v>
      </c>
      <c r="J222" s="2">
        <v>2</v>
      </c>
      <c r="K222" s="2">
        <v>0</v>
      </c>
      <c r="L222" s="9">
        <f t="shared" si="13"/>
        <v>9947.0400000000009</v>
      </c>
      <c r="M222" s="9">
        <f t="shared" si="14"/>
        <v>0</v>
      </c>
      <c r="N222" s="10">
        <f t="shared" si="15"/>
        <v>9947.0400000000009</v>
      </c>
      <c r="O222" s="2" t="s">
        <v>26</v>
      </c>
      <c r="P222" s="2" t="s">
        <v>39</v>
      </c>
      <c r="Q222" s="2" t="s">
        <v>60</v>
      </c>
    </row>
    <row r="223" spans="1:17" x14ac:dyDescent="0.25">
      <c r="A223" s="3" t="s">
        <v>448</v>
      </c>
      <c r="B223" s="4">
        <v>45262</v>
      </c>
      <c r="C223" s="4" t="str">
        <f t="shared" si="12"/>
        <v>Dec</v>
      </c>
      <c r="D223" s="3" t="s">
        <v>449</v>
      </c>
      <c r="E223" s="3" t="s">
        <v>65</v>
      </c>
      <c r="F223" s="3" t="s">
        <v>66</v>
      </c>
      <c r="G223" s="3" t="s">
        <v>110</v>
      </c>
      <c r="H223" s="3" t="s">
        <v>111</v>
      </c>
      <c r="I223" s="3">
        <v>8804.7800000000007</v>
      </c>
      <c r="J223" s="3">
        <v>2</v>
      </c>
      <c r="K223" s="3">
        <v>5</v>
      </c>
      <c r="L223" s="9">
        <f t="shared" si="13"/>
        <v>17609.560000000001</v>
      </c>
      <c r="M223" s="9">
        <f t="shared" si="14"/>
        <v>880.47800000000007</v>
      </c>
      <c r="N223" s="10">
        <f t="shared" si="15"/>
        <v>16729.082000000002</v>
      </c>
      <c r="O223" s="3" t="s">
        <v>26</v>
      </c>
      <c r="P223" s="3" t="s">
        <v>18</v>
      </c>
      <c r="Q223" s="3" t="s">
        <v>40</v>
      </c>
    </row>
    <row r="224" spans="1:17" x14ac:dyDescent="0.25">
      <c r="A224" s="2" t="s">
        <v>450</v>
      </c>
      <c r="B224" s="4">
        <v>45263</v>
      </c>
      <c r="C224" s="4" t="str">
        <f t="shared" si="12"/>
        <v>Dec</v>
      </c>
      <c r="D224" s="2" t="s">
        <v>451</v>
      </c>
      <c r="E224" s="2" t="s">
        <v>83</v>
      </c>
      <c r="F224" s="2" t="s">
        <v>84</v>
      </c>
      <c r="G224" s="2" t="s">
        <v>15</v>
      </c>
      <c r="H224" s="2" t="s">
        <v>163</v>
      </c>
      <c r="I224" s="2">
        <v>2275.77</v>
      </c>
      <c r="J224" s="2">
        <v>4</v>
      </c>
      <c r="K224" s="2">
        <v>0</v>
      </c>
      <c r="L224" s="9">
        <f t="shared" si="13"/>
        <v>9103.08</v>
      </c>
      <c r="M224" s="9">
        <f t="shared" si="14"/>
        <v>0</v>
      </c>
      <c r="N224" s="10">
        <f t="shared" si="15"/>
        <v>9103.08</v>
      </c>
      <c r="O224" s="2" t="s">
        <v>17</v>
      </c>
      <c r="P224" s="2" t="s">
        <v>52</v>
      </c>
      <c r="Q224" s="2" t="s">
        <v>40</v>
      </c>
    </row>
    <row r="225" spans="1:17" x14ac:dyDescent="0.25">
      <c r="A225" s="3" t="s">
        <v>452</v>
      </c>
      <c r="B225" s="4">
        <v>45264</v>
      </c>
      <c r="C225" s="4" t="str">
        <f t="shared" si="12"/>
        <v>Dec</v>
      </c>
      <c r="D225" s="3" t="s">
        <v>453</v>
      </c>
      <c r="E225" s="3" t="s">
        <v>83</v>
      </c>
      <c r="F225" s="3" t="s">
        <v>84</v>
      </c>
      <c r="G225" s="3" t="s">
        <v>24</v>
      </c>
      <c r="H225" s="3" t="s">
        <v>134</v>
      </c>
      <c r="I225" s="3">
        <v>2354.44</v>
      </c>
      <c r="J225" s="3">
        <v>3</v>
      </c>
      <c r="K225" s="3">
        <v>15</v>
      </c>
      <c r="L225" s="9">
        <f t="shared" si="13"/>
        <v>7063.32</v>
      </c>
      <c r="M225" s="9">
        <f t="shared" si="14"/>
        <v>1059.4979999999998</v>
      </c>
      <c r="N225" s="10">
        <f t="shared" si="15"/>
        <v>6003.8220000000001</v>
      </c>
      <c r="O225" s="3" t="s">
        <v>68</v>
      </c>
      <c r="P225" s="3" t="s">
        <v>18</v>
      </c>
      <c r="Q225" s="3" t="s">
        <v>53</v>
      </c>
    </row>
    <row r="226" spans="1:17" x14ac:dyDescent="0.25">
      <c r="A226" s="2" t="s">
        <v>454</v>
      </c>
      <c r="B226" s="4">
        <v>45265</v>
      </c>
      <c r="C226" s="4" t="str">
        <f t="shared" si="12"/>
        <v>Dec</v>
      </c>
      <c r="D226" s="2" t="s">
        <v>455</v>
      </c>
      <c r="E226" s="2" t="s">
        <v>76</v>
      </c>
      <c r="F226" s="2" t="s">
        <v>77</v>
      </c>
      <c r="G226" s="2" t="s">
        <v>24</v>
      </c>
      <c r="H226" s="2" t="s">
        <v>170</v>
      </c>
      <c r="I226" s="2">
        <v>1225.06</v>
      </c>
      <c r="J226" s="2">
        <v>2</v>
      </c>
      <c r="K226" s="2">
        <v>0</v>
      </c>
      <c r="L226" s="9">
        <f t="shared" si="13"/>
        <v>2450.12</v>
      </c>
      <c r="M226" s="9">
        <f t="shared" si="14"/>
        <v>0</v>
      </c>
      <c r="N226" s="10">
        <f t="shared" si="15"/>
        <v>2450.12</v>
      </c>
      <c r="O226" s="2" t="s">
        <v>26</v>
      </c>
      <c r="P226" s="2" t="s">
        <v>52</v>
      </c>
      <c r="Q226" s="2" t="s">
        <v>34</v>
      </c>
    </row>
    <row r="227" spans="1:17" x14ac:dyDescent="0.25">
      <c r="A227" s="3" t="s">
        <v>456</v>
      </c>
      <c r="B227" s="4">
        <v>45266</v>
      </c>
      <c r="C227" s="4" t="str">
        <f t="shared" si="12"/>
        <v>Dec</v>
      </c>
      <c r="D227" s="3" t="s">
        <v>457</v>
      </c>
      <c r="E227" s="3" t="s">
        <v>83</v>
      </c>
      <c r="F227" s="3" t="s">
        <v>84</v>
      </c>
      <c r="G227" s="3" t="s">
        <v>15</v>
      </c>
      <c r="H227" s="3" t="s">
        <v>16</v>
      </c>
      <c r="I227" s="3">
        <v>1442.53</v>
      </c>
      <c r="J227" s="3">
        <v>3</v>
      </c>
      <c r="K227" s="3">
        <v>15</v>
      </c>
      <c r="L227" s="9">
        <f t="shared" si="13"/>
        <v>4327.59</v>
      </c>
      <c r="M227" s="9">
        <f t="shared" si="14"/>
        <v>649.13850000000002</v>
      </c>
      <c r="N227" s="10">
        <f t="shared" si="15"/>
        <v>3678.4515000000001</v>
      </c>
      <c r="O227" s="3" t="s">
        <v>33</v>
      </c>
      <c r="P227" s="3" t="s">
        <v>18</v>
      </c>
      <c r="Q227" s="3" t="s">
        <v>40</v>
      </c>
    </row>
    <row r="228" spans="1:17" x14ac:dyDescent="0.25">
      <c r="A228" s="2" t="s">
        <v>458</v>
      </c>
      <c r="B228" s="4">
        <v>45267</v>
      </c>
      <c r="C228" s="4" t="str">
        <f t="shared" si="12"/>
        <v>Dec</v>
      </c>
      <c r="D228" s="2" t="s">
        <v>459</v>
      </c>
      <c r="E228" s="2" t="s">
        <v>51</v>
      </c>
      <c r="F228" s="2" t="s">
        <v>14</v>
      </c>
      <c r="G228" s="2" t="s">
        <v>31</v>
      </c>
      <c r="H228" s="2" t="s">
        <v>116</v>
      </c>
      <c r="I228" s="2">
        <v>1179.3399999999999</v>
      </c>
      <c r="J228" s="2">
        <v>5</v>
      </c>
      <c r="K228" s="2">
        <v>10</v>
      </c>
      <c r="L228" s="9">
        <f t="shared" si="13"/>
        <v>5896.7</v>
      </c>
      <c r="M228" s="9">
        <f t="shared" si="14"/>
        <v>589.66999999999996</v>
      </c>
      <c r="N228" s="10">
        <f t="shared" si="15"/>
        <v>5307.03</v>
      </c>
      <c r="O228" s="2" t="s">
        <v>26</v>
      </c>
      <c r="P228" s="2" t="s">
        <v>18</v>
      </c>
      <c r="Q228" s="2" t="s">
        <v>34</v>
      </c>
    </row>
    <row r="229" spans="1:17" x14ac:dyDescent="0.25">
      <c r="A229" s="3" t="s">
        <v>460</v>
      </c>
      <c r="B229" s="4">
        <v>45268</v>
      </c>
      <c r="C229" s="4" t="str">
        <f t="shared" si="12"/>
        <v>Dec</v>
      </c>
      <c r="D229" s="3" t="s">
        <v>115</v>
      </c>
      <c r="E229" s="3" t="s">
        <v>65</v>
      </c>
      <c r="F229" s="3" t="s">
        <v>66</v>
      </c>
      <c r="G229" s="3" t="s">
        <v>31</v>
      </c>
      <c r="H229" s="3" t="s">
        <v>186</v>
      </c>
      <c r="I229" s="3">
        <v>751.39</v>
      </c>
      <c r="J229" s="3">
        <v>2</v>
      </c>
      <c r="K229" s="3">
        <v>5</v>
      </c>
      <c r="L229" s="9">
        <f t="shared" si="13"/>
        <v>1502.78</v>
      </c>
      <c r="M229" s="9">
        <f t="shared" si="14"/>
        <v>75.138999999999996</v>
      </c>
      <c r="N229" s="10">
        <f t="shared" si="15"/>
        <v>1427.6410000000001</v>
      </c>
      <c r="O229" s="3" t="s">
        <v>17</v>
      </c>
      <c r="P229" s="3" t="s">
        <v>39</v>
      </c>
      <c r="Q229" s="3" t="s">
        <v>53</v>
      </c>
    </row>
    <row r="230" spans="1:17" x14ac:dyDescent="0.25">
      <c r="A230" s="2" t="s">
        <v>461</v>
      </c>
      <c r="B230" s="4">
        <v>45269</v>
      </c>
      <c r="C230" s="4" t="str">
        <f t="shared" si="12"/>
        <v>Dec</v>
      </c>
      <c r="D230" s="2" t="s">
        <v>318</v>
      </c>
      <c r="E230" s="2" t="s">
        <v>87</v>
      </c>
      <c r="F230" s="2" t="s">
        <v>88</v>
      </c>
      <c r="G230" s="2" t="s">
        <v>31</v>
      </c>
      <c r="H230" s="2" t="s">
        <v>70</v>
      </c>
      <c r="I230" s="2">
        <v>655.98</v>
      </c>
      <c r="J230" s="2">
        <v>4</v>
      </c>
      <c r="K230" s="2">
        <v>0</v>
      </c>
      <c r="L230" s="9">
        <f t="shared" si="13"/>
        <v>2623.92</v>
      </c>
      <c r="M230" s="9">
        <f t="shared" si="14"/>
        <v>0</v>
      </c>
      <c r="N230" s="10">
        <f t="shared" si="15"/>
        <v>2623.92</v>
      </c>
      <c r="O230" s="2" t="s">
        <v>26</v>
      </c>
      <c r="P230" s="2" t="s">
        <v>27</v>
      </c>
      <c r="Q230" s="2" t="s">
        <v>34</v>
      </c>
    </row>
    <row r="231" spans="1:17" x14ac:dyDescent="0.25">
      <c r="A231" s="3" t="s">
        <v>462</v>
      </c>
      <c r="B231" s="4">
        <v>45270</v>
      </c>
      <c r="C231" s="4" t="str">
        <f t="shared" si="12"/>
        <v>Dec</v>
      </c>
      <c r="D231" s="3" t="s">
        <v>463</v>
      </c>
      <c r="E231" s="3" t="s">
        <v>83</v>
      </c>
      <c r="F231" s="3" t="s">
        <v>84</v>
      </c>
      <c r="G231" s="3" t="s">
        <v>43</v>
      </c>
      <c r="H231" s="3" t="s">
        <v>127</v>
      </c>
      <c r="I231" s="3">
        <v>5958.59</v>
      </c>
      <c r="J231" s="3">
        <v>5</v>
      </c>
      <c r="K231" s="3">
        <v>0</v>
      </c>
      <c r="L231" s="9">
        <f t="shared" si="13"/>
        <v>29792.95</v>
      </c>
      <c r="M231" s="9">
        <f t="shared" si="14"/>
        <v>0</v>
      </c>
      <c r="N231" s="10">
        <f t="shared" si="15"/>
        <v>29792.95</v>
      </c>
      <c r="O231" s="3" t="s">
        <v>68</v>
      </c>
      <c r="P231" s="3" t="s">
        <v>52</v>
      </c>
      <c r="Q231" s="3" t="s">
        <v>40</v>
      </c>
    </row>
    <row r="232" spans="1:17" x14ac:dyDescent="0.25">
      <c r="A232" s="2" t="s">
        <v>464</v>
      </c>
      <c r="B232" s="4">
        <v>45271</v>
      </c>
      <c r="C232" s="4" t="str">
        <f t="shared" si="12"/>
        <v>Dec</v>
      </c>
      <c r="D232" s="2" t="s">
        <v>194</v>
      </c>
      <c r="E232" s="2" t="s">
        <v>13</v>
      </c>
      <c r="F232" s="2" t="s">
        <v>14</v>
      </c>
      <c r="G232" s="2" t="s">
        <v>43</v>
      </c>
      <c r="H232" s="2" t="s">
        <v>127</v>
      </c>
      <c r="I232" s="2">
        <v>5876.8</v>
      </c>
      <c r="J232" s="2">
        <v>2</v>
      </c>
      <c r="K232" s="2">
        <v>10</v>
      </c>
      <c r="L232" s="9">
        <f t="shared" si="13"/>
        <v>11753.6</v>
      </c>
      <c r="M232" s="9">
        <f t="shared" si="14"/>
        <v>1175.3599999999999</v>
      </c>
      <c r="N232" s="10">
        <f t="shared" si="15"/>
        <v>10578.24</v>
      </c>
      <c r="O232" s="2" t="s">
        <v>26</v>
      </c>
      <c r="P232" s="2" t="s">
        <v>18</v>
      </c>
      <c r="Q232" s="2" t="s">
        <v>53</v>
      </c>
    </row>
    <row r="233" spans="1:17" x14ac:dyDescent="0.25">
      <c r="A233" s="3" t="s">
        <v>465</v>
      </c>
      <c r="B233" s="4">
        <v>45272</v>
      </c>
      <c r="C233" s="4" t="str">
        <f t="shared" si="12"/>
        <v>Dec</v>
      </c>
      <c r="D233" s="3" t="s">
        <v>270</v>
      </c>
      <c r="E233" s="3" t="s">
        <v>13</v>
      </c>
      <c r="F233" s="3" t="s">
        <v>14</v>
      </c>
      <c r="G233" s="3" t="s">
        <v>110</v>
      </c>
      <c r="H233" s="3" t="s">
        <v>111</v>
      </c>
      <c r="I233" s="3">
        <v>10284.23</v>
      </c>
      <c r="J233" s="3">
        <v>4</v>
      </c>
      <c r="K233" s="3">
        <v>5</v>
      </c>
      <c r="L233" s="9">
        <f t="shared" si="13"/>
        <v>41136.92</v>
      </c>
      <c r="M233" s="9">
        <f t="shared" si="14"/>
        <v>2056.8459999999995</v>
      </c>
      <c r="N233" s="10">
        <f t="shared" si="15"/>
        <v>39080.074000000001</v>
      </c>
      <c r="O233" s="3" t="s">
        <v>68</v>
      </c>
      <c r="P233" s="3" t="s">
        <v>52</v>
      </c>
      <c r="Q233" s="3" t="s">
        <v>19</v>
      </c>
    </row>
    <row r="234" spans="1:17" x14ac:dyDescent="0.25">
      <c r="A234" s="2" t="s">
        <v>466</v>
      </c>
      <c r="B234" s="4">
        <v>45273</v>
      </c>
      <c r="C234" s="4" t="str">
        <f t="shared" si="12"/>
        <v>Dec</v>
      </c>
      <c r="D234" s="2" t="s">
        <v>148</v>
      </c>
      <c r="E234" s="2" t="s">
        <v>83</v>
      </c>
      <c r="F234" s="2" t="s">
        <v>84</v>
      </c>
      <c r="G234" s="2" t="s">
        <v>15</v>
      </c>
      <c r="H234" s="2" t="s">
        <v>16</v>
      </c>
      <c r="I234" s="2">
        <v>1510.72</v>
      </c>
      <c r="J234" s="2">
        <v>3</v>
      </c>
      <c r="K234" s="2">
        <v>0</v>
      </c>
      <c r="L234" s="9">
        <f t="shared" si="13"/>
        <v>4532.16</v>
      </c>
      <c r="M234" s="9">
        <f t="shared" si="14"/>
        <v>0</v>
      </c>
      <c r="N234" s="10">
        <f t="shared" si="15"/>
        <v>4532.16</v>
      </c>
      <c r="O234" s="2" t="s">
        <v>17</v>
      </c>
      <c r="P234" s="2" t="s">
        <v>39</v>
      </c>
      <c r="Q234" s="2" t="s">
        <v>60</v>
      </c>
    </row>
    <row r="235" spans="1:17" x14ac:dyDescent="0.25">
      <c r="A235" s="3" t="s">
        <v>467</v>
      </c>
      <c r="B235" s="4">
        <v>45274</v>
      </c>
      <c r="C235" s="4" t="str">
        <f t="shared" si="12"/>
        <v>Dec</v>
      </c>
      <c r="D235" s="3" t="s">
        <v>468</v>
      </c>
      <c r="E235" s="3" t="s">
        <v>83</v>
      </c>
      <c r="F235" s="3" t="s">
        <v>84</v>
      </c>
      <c r="G235" s="3" t="s">
        <v>24</v>
      </c>
      <c r="H235" s="3" t="s">
        <v>25</v>
      </c>
      <c r="I235" s="3">
        <v>4222.74</v>
      </c>
      <c r="J235" s="3">
        <v>5</v>
      </c>
      <c r="K235" s="3">
        <v>0</v>
      </c>
      <c r="L235" s="9">
        <f t="shared" si="13"/>
        <v>21113.699999999997</v>
      </c>
      <c r="M235" s="9">
        <f t="shared" si="14"/>
        <v>0</v>
      </c>
      <c r="N235" s="10">
        <f t="shared" si="15"/>
        <v>21113.699999999997</v>
      </c>
      <c r="O235" s="3" t="s">
        <v>38</v>
      </c>
      <c r="P235" s="3" t="s">
        <v>18</v>
      </c>
      <c r="Q235" s="3" t="s">
        <v>60</v>
      </c>
    </row>
    <row r="236" spans="1:17" x14ac:dyDescent="0.25">
      <c r="A236" s="2" t="s">
        <v>469</v>
      </c>
      <c r="B236" s="4">
        <v>45275</v>
      </c>
      <c r="C236" s="4" t="str">
        <f t="shared" si="12"/>
        <v>Dec</v>
      </c>
      <c r="D236" s="2" t="s">
        <v>470</v>
      </c>
      <c r="E236" s="2" t="s">
        <v>76</v>
      </c>
      <c r="F236" s="2" t="s">
        <v>77</v>
      </c>
      <c r="G236" s="2" t="s">
        <v>110</v>
      </c>
      <c r="H236" s="2" t="s">
        <v>153</v>
      </c>
      <c r="I236" s="2">
        <v>3843.16</v>
      </c>
      <c r="J236" s="2">
        <v>2</v>
      </c>
      <c r="K236" s="2">
        <v>0</v>
      </c>
      <c r="L236" s="9">
        <f t="shared" si="13"/>
        <v>7686.32</v>
      </c>
      <c r="M236" s="9">
        <f t="shared" si="14"/>
        <v>0</v>
      </c>
      <c r="N236" s="10">
        <f t="shared" si="15"/>
        <v>7686.32</v>
      </c>
      <c r="O236" s="2" t="s">
        <v>68</v>
      </c>
      <c r="P236" s="2" t="s">
        <v>27</v>
      </c>
      <c r="Q236" s="2" t="s">
        <v>40</v>
      </c>
    </row>
    <row r="237" spans="1:17" x14ac:dyDescent="0.25">
      <c r="A237" s="3" t="s">
        <v>471</v>
      </c>
      <c r="B237" s="4">
        <v>45276</v>
      </c>
      <c r="C237" s="4" t="str">
        <f t="shared" si="12"/>
        <v>Dec</v>
      </c>
      <c r="D237" s="3" t="s">
        <v>418</v>
      </c>
      <c r="E237" s="3" t="s">
        <v>65</v>
      </c>
      <c r="F237" s="3" t="s">
        <v>66</v>
      </c>
      <c r="G237" s="3" t="s">
        <v>110</v>
      </c>
      <c r="H237" s="3" t="s">
        <v>67</v>
      </c>
      <c r="I237" s="3">
        <v>4100.5</v>
      </c>
      <c r="J237" s="3">
        <v>1</v>
      </c>
      <c r="K237" s="3">
        <v>5</v>
      </c>
      <c r="L237" s="9">
        <f t="shared" si="13"/>
        <v>4100.5</v>
      </c>
      <c r="M237" s="9">
        <f t="shared" si="14"/>
        <v>205.02500000000001</v>
      </c>
      <c r="N237" s="10">
        <f t="shared" si="15"/>
        <v>3895.4749999999999</v>
      </c>
      <c r="O237" s="3" t="s">
        <v>26</v>
      </c>
      <c r="P237" s="3" t="s">
        <v>18</v>
      </c>
      <c r="Q237" s="3" t="s">
        <v>60</v>
      </c>
    </row>
    <row r="238" spans="1:17" x14ac:dyDescent="0.25">
      <c r="A238" s="2" t="s">
        <v>472</v>
      </c>
      <c r="B238" s="4">
        <v>45277</v>
      </c>
      <c r="C238" s="4" t="str">
        <f t="shared" si="12"/>
        <v>Dec</v>
      </c>
      <c r="D238" s="2" t="s">
        <v>336</v>
      </c>
      <c r="E238" s="2" t="s">
        <v>29</v>
      </c>
      <c r="F238" s="2" t="s">
        <v>30</v>
      </c>
      <c r="G238" s="2" t="s">
        <v>72</v>
      </c>
      <c r="H238" s="2" t="s">
        <v>81</v>
      </c>
      <c r="I238" s="2">
        <v>1618.44</v>
      </c>
      <c r="J238" s="2">
        <v>1</v>
      </c>
      <c r="K238" s="2">
        <v>5</v>
      </c>
      <c r="L238" s="9">
        <f t="shared" si="13"/>
        <v>1618.44</v>
      </c>
      <c r="M238" s="9">
        <f t="shared" si="14"/>
        <v>80.922000000000011</v>
      </c>
      <c r="N238" s="10">
        <f t="shared" si="15"/>
        <v>1537.518</v>
      </c>
      <c r="O238" s="2" t="s">
        <v>26</v>
      </c>
      <c r="P238" s="2" t="s">
        <v>39</v>
      </c>
      <c r="Q238" s="2" t="s">
        <v>19</v>
      </c>
    </row>
    <row r="239" spans="1:17" x14ac:dyDescent="0.25">
      <c r="A239" s="3" t="s">
        <v>473</v>
      </c>
      <c r="B239" s="4">
        <v>45278</v>
      </c>
      <c r="C239" s="4" t="str">
        <f t="shared" si="12"/>
        <v>Dec</v>
      </c>
      <c r="D239" s="3" t="s">
        <v>474</v>
      </c>
      <c r="E239" s="3" t="s">
        <v>22</v>
      </c>
      <c r="F239" s="3" t="s">
        <v>23</v>
      </c>
      <c r="G239" s="3" t="s">
        <v>15</v>
      </c>
      <c r="H239" s="3" t="s">
        <v>16</v>
      </c>
      <c r="I239" s="3">
        <v>1619.79</v>
      </c>
      <c r="J239" s="3">
        <v>5</v>
      </c>
      <c r="K239" s="3">
        <v>0</v>
      </c>
      <c r="L239" s="9">
        <f t="shared" si="13"/>
        <v>8098.95</v>
      </c>
      <c r="M239" s="9">
        <f t="shared" si="14"/>
        <v>0</v>
      </c>
      <c r="N239" s="10">
        <f t="shared" si="15"/>
        <v>8098.95</v>
      </c>
      <c r="O239" s="3" t="s">
        <v>68</v>
      </c>
      <c r="P239" s="3" t="s">
        <v>18</v>
      </c>
      <c r="Q239" s="3" t="s">
        <v>34</v>
      </c>
    </row>
    <row r="240" spans="1:17" x14ac:dyDescent="0.25">
      <c r="A240" s="2" t="s">
        <v>475</v>
      </c>
      <c r="B240" s="4">
        <v>45279</v>
      </c>
      <c r="C240" s="4" t="str">
        <f t="shared" si="12"/>
        <v>Dec</v>
      </c>
      <c r="D240" s="2" t="s">
        <v>453</v>
      </c>
      <c r="E240" s="2" t="s">
        <v>100</v>
      </c>
      <c r="F240" s="2" t="s">
        <v>88</v>
      </c>
      <c r="G240" s="2" t="s">
        <v>72</v>
      </c>
      <c r="H240" s="2" t="s">
        <v>129</v>
      </c>
      <c r="I240" s="2">
        <v>1954.39</v>
      </c>
      <c r="J240" s="2">
        <v>3</v>
      </c>
      <c r="K240" s="2">
        <v>5</v>
      </c>
      <c r="L240" s="9">
        <f t="shared" si="13"/>
        <v>5863.17</v>
      </c>
      <c r="M240" s="9">
        <f t="shared" si="14"/>
        <v>293.1585</v>
      </c>
      <c r="N240" s="10">
        <f t="shared" si="15"/>
        <v>5570.0115000000005</v>
      </c>
      <c r="O240" s="2" t="s">
        <v>17</v>
      </c>
      <c r="P240" s="2" t="s">
        <v>18</v>
      </c>
      <c r="Q240" s="2" t="s">
        <v>19</v>
      </c>
    </row>
    <row r="241" spans="1:17" x14ac:dyDescent="0.25">
      <c r="A241" s="3" t="s">
        <v>476</v>
      </c>
      <c r="B241" s="4">
        <v>45280</v>
      </c>
      <c r="C241" s="4" t="str">
        <f t="shared" si="12"/>
        <v>Dec</v>
      </c>
      <c r="D241" s="3" t="s">
        <v>19</v>
      </c>
      <c r="E241" s="3" t="s">
        <v>87</v>
      </c>
      <c r="F241" s="3" t="s">
        <v>88</v>
      </c>
      <c r="G241" s="3" t="s">
        <v>43</v>
      </c>
      <c r="H241" s="3" t="s">
        <v>127</v>
      </c>
      <c r="I241" s="3">
        <v>5819.55</v>
      </c>
      <c r="J241" s="3">
        <v>1</v>
      </c>
      <c r="K241" s="3">
        <v>5</v>
      </c>
      <c r="L241" s="9">
        <f t="shared" si="13"/>
        <v>5819.55</v>
      </c>
      <c r="M241" s="9">
        <f t="shared" si="14"/>
        <v>290.97750000000002</v>
      </c>
      <c r="N241" s="10">
        <f t="shared" si="15"/>
        <v>5528.5725000000002</v>
      </c>
      <c r="O241" s="3" t="s">
        <v>38</v>
      </c>
      <c r="P241" s="3" t="s">
        <v>18</v>
      </c>
      <c r="Q241" s="3" t="s">
        <v>40</v>
      </c>
    </row>
    <row r="242" spans="1:17" x14ac:dyDescent="0.25">
      <c r="A242" s="2" t="s">
        <v>477</v>
      </c>
      <c r="B242" s="4">
        <v>45281</v>
      </c>
      <c r="C242" s="4" t="str">
        <f t="shared" si="12"/>
        <v>Dec</v>
      </c>
      <c r="D242" s="2" t="s">
        <v>478</v>
      </c>
      <c r="E242" s="2" t="s">
        <v>87</v>
      </c>
      <c r="F242" s="2" t="s">
        <v>88</v>
      </c>
      <c r="G242" s="2" t="s">
        <v>110</v>
      </c>
      <c r="H242" s="2" t="s">
        <v>111</v>
      </c>
      <c r="I242" s="2">
        <v>10364.23</v>
      </c>
      <c r="J242" s="2">
        <v>4</v>
      </c>
      <c r="K242" s="2">
        <v>5</v>
      </c>
      <c r="L242" s="9">
        <f t="shared" si="13"/>
        <v>41456.92</v>
      </c>
      <c r="M242" s="9">
        <f t="shared" si="14"/>
        <v>2072.8459999999995</v>
      </c>
      <c r="N242" s="10">
        <f t="shared" si="15"/>
        <v>39384.074000000001</v>
      </c>
      <c r="O242" s="2" t="s">
        <v>68</v>
      </c>
      <c r="P242" s="2" t="s">
        <v>27</v>
      </c>
      <c r="Q242" s="2" t="s">
        <v>34</v>
      </c>
    </row>
    <row r="243" spans="1:17" x14ac:dyDescent="0.25">
      <c r="A243" s="3" t="s">
        <v>479</v>
      </c>
      <c r="B243" s="4">
        <v>45282</v>
      </c>
      <c r="C243" s="4" t="str">
        <f t="shared" si="12"/>
        <v>Dec</v>
      </c>
      <c r="D243" s="3" t="s">
        <v>480</v>
      </c>
      <c r="E243" s="3" t="s">
        <v>87</v>
      </c>
      <c r="F243" s="3" t="s">
        <v>88</v>
      </c>
      <c r="G243" s="3" t="s">
        <v>110</v>
      </c>
      <c r="H243" s="3" t="s">
        <v>67</v>
      </c>
      <c r="I243" s="3">
        <v>4438.66</v>
      </c>
      <c r="J243" s="3">
        <v>5</v>
      </c>
      <c r="K243" s="3">
        <v>0</v>
      </c>
      <c r="L243" s="9">
        <f t="shared" si="13"/>
        <v>22193.3</v>
      </c>
      <c r="M243" s="9">
        <f t="shared" si="14"/>
        <v>0</v>
      </c>
      <c r="N243" s="10">
        <f t="shared" si="15"/>
        <v>22193.3</v>
      </c>
      <c r="O243" s="3" t="s">
        <v>33</v>
      </c>
      <c r="P243" s="3" t="s">
        <v>18</v>
      </c>
      <c r="Q243" s="3" t="s">
        <v>19</v>
      </c>
    </row>
    <row r="244" spans="1:17" x14ac:dyDescent="0.25">
      <c r="A244" s="2" t="s">
        <v>481</v>
      </c>
      <c r="B244" s="4">
        <v>45283</v>
      </c>
      <c r="C244" s="4" t="str">
        <f t="shared" si="12"/>
        <v>Dec</v>
      </c>
      <c r="D244" s="2" t="s">
        <v>482</v>
      </c>
      <c r="E244" s="2" t="s">
        <v>22</v>
      </c>
      <c r="F244" s="2" t="s">
        <v>23</v>
      </c>
      <c r="G244" s="2" t="s">
        <v>36</v>
      </c>
      <c r="H244" s="2" t="s">
        <v>338</v>
      </c>
      <c r="I244" s="2">
        <v>60504.87</v>
      </c>
      <c r="J244" s="2">
        <v>2</v>
      </c>
      <c r="K244" s="2">
        <v>0</v>
      </c>
      <c r="L244" s="9">
        <f t="shared" si="13"/>
        <v>121009.74</v>
      </c>
      <c r="M244" s="9">
        <f t="shared" si="14"/>
        <v>0</v>
      </c>
      <c r="N244" s="10">
        <f t="shared" si="15"/>
        <v>121009.74</v>
      </c>
      <c r="O244" s="2" t="s">
        <v>38</v>
      </c>
      <c r="P244" s="2" t="s">
        <v>18</v>
      </c>
      <c r="Q244" s="2" t="s">
        <v>40</v>
      </c>
    </row>
    <row r="245" spans="1:17" x14ac:dyDescent="0.25">
      <c r="A245" s="3" t="s">
        <v>483</v>
      </c>
      <c r="B245" s="4">
        <v>45284</v>
      </c>
      <c r="C245" s="4" t="str">
        <f t="shared" si="12"/>
        <v>Dec</v>
      </c>
      <c r="D245" s="3" t="s">
        <v>413</v>
      </c>
      <c r="E245" s="3" t="s">
        <v>76</v>
      </c>
      <c r="F245" s="3" t="s">
        <v>77</v>
      </c>
      <c r="G245" s="3" t="s">
        <v>31</v>
      </c>
      <c r="H245" s="3" t="s">
        <v>116</v>
      </c>
      <c r="I245" s="3">
        <v>1104.54</v>
      </c>
      <c r="J245" s="3">
        <v>1</v>
      </c>
      <c r="K245" s="3">
        <v>10</v>
      </c>
      <c r="L245" s="9">
        <f t="shared" si="13"/>
        <v>1104.54</v>
      </c>
      <c r="M245" s="9">
        <f t="shared" si="14"/>
        <v>110.45399999999999</v>
      </c>
      <c r="N245" s="10">
        <f t="shared" si="15"/>
        <v>994.08600000000001</v>
      </c>
      <c r="O245" s="3" t="s">
        <v>33</v>
      </c>
      <c r="P245" s="3" t="s">
        <v>18</v>
      </c>
      <c r="Q245" s="3" t="s">
        <v>19</v>
      </c>
    </row>
    <row r="246" spans="1:17" x14ac:dyDescent="0.25">
      <c r="A246" s="2" t="s">
        <v>484</v>
      </c>
      <c r="B246" s="4">
        <v>45285</v>
      </c>
      <c r="C246" s="4" t="str">
        <f t="shared" si="12"/>
        <v>Dec</v>
      </c>
      <c r="D246" s="2" t="s">
        <v>485</v>
      </c>
      <c r="E246" s="2" t="s">
        <v>22</v>
      </c>
      <c r="F246" s="2" t="s">
        <v>23</v>
      </c>
      <c r="G246" s="2" t="s">
        <v>36</v>
      </c>
      <c r="H246" s="2" t="s">
        <v>78</v>
      </c>
      <c r="I246" s="2">
        <v>82516.539999999994</v>
      </c>
      <c r="J246" s="2">
        <v>1</v>
      </c>
      <c r="K246" s="2">
        <v>5</v>
      </c>
      <c r="L246" s="9">
        <f t="shared" si="13"/>
        <v>82516.539999999994</v>
      </c>
      <c r="M246" s="9">
        <f t="shared" si="14"/>
        <v>4125.8269999999993</v>
      </c>
      <c r="N246" s="10">
        <f t="shared" si="15"/>
        <v>78390.712999999989</v>
      </c>
      <c r="O246" s="2" t="s">
        <v>17</v>
      </c>
      <c r="P246" s="2" t="s">
        <v>39</v>
      </c>
      <c r="Q246" s="2" t="s">
        <v>34</v>
      </c>
    </row>
    <row r="247" spans="1:17" x14ac:dyDescent="0.25">
      <c r="A247" s="3" t="s">
        <v>486</v>
      </c>
      <c r="B247" s="4">
        <v>45286</v>
      </c>
      <c r="C247" s="4" t="str">
        <f t="shared" si="12"/>
        <v>Dec</v>
      </c>
      <c r="D247" s="3" t="s">
        <v>413</v>
      </c>
      <c r="E247" s="3" t="s">
        <v>65</v>
      </c>
      <c r="F247" s="3" t="s">
        <v>66</v>
      </c>
      <c r="G247" s="3" t="s">
        <v>43</v>
      </c>
      <c r="H247" s="3" t="s">
        <v>44</v>
      </c>
      <c r="I247" s="3">
        <v>3657.39</v>
      </c>
      <c r="J247" s="3">
        <v>5</v>
      </c>
      <c r="K247" s="3">
        <v>15</v>
      </c>
      <c r="L247" s="9">
        <f t="shared" si="13"/>
        <v>18286.95</v>
      </c>
      <c r="M247" s="9">
        <f t="shared" si="14"/>
        <v>2743.0425</v>
      </c>
      <c r="N247" s="10">
        <f t="shared" si="15"/>
        <v>15543.907500000001</v>
      </c>
      <c r="O247" s="3" t="s">
        <v>17</v>
      </c>
      <c r="P247" s="3" t="s">
        <v>52</v>
      </c>
      <c r="Q247" s="3" t="s">
        <v>53</v>
      </c>
    </row>
    <row r="248" spans="1:17" x14ac:dyDescent="0.25">
      <c r="A248" s="2" t="s">
        <v>487</v>
      </c>
      <c r="B248" s="4">
        <v>45287</v>
      </c>
      <c r="C248" s="4" t="str">
        <f t="shared" si="12"/>
        <v>Dec</v>
      </c>
      <c r="D248" s="2" t="s">
        <v>488</v>
      </c>
      <c r="E248" s="2" t="s">
        <v>100</v>
      </c>
      <c r="F248" s="2" t="s">
        <v>88</v>
      </c>
      <c r="G248" s="2" t="s">
        <v>31</v>
      </c>
      <c r="H248" s="2" t="s">
        <v>116</v>
      </c>
      <c r="I248" s="2">
        <v>1144.42</v>
      </c>
      <c r="J248" s="2">
        <v>2</v>
      </c>
      <c r="K248" s="2">
        <v>5</v>
      </c>
      <c r="L248" s="9">
        <f t="shared" si="13"/>
        <v>2288.84</v>
      </c>
      <c r="M248" s="9">
        <f t="shared" si="14"/>
        <v>114.44200000000001</v>
      </c>
      <c r="N248" s="10">
        <f t="shared" si="15"/>
        <v>2174.3980000000001</v>
      </c>
      <c r="O248" s="2" t="s">
        <v>26</v>
      </c>
      <c r="P248" s="2" t="s">
        <v>18</v>
      </c>
      <c r="Q248" s="2" t="s">
        <v>34</v>
      </c>
    </row>
    <row r="249" spans="1:17" x14ac:dyDescent="0.25">
      <c r="A249" s="3" t="s">
        <v>489</v>
      </c>
      <c r="B249" s="4">
        <v>45288</v>
      </c>
      <c r="C249" s="4" t="str">
        <f t="shared" si="12"/>
        <v>Dec</v>
      </c>
      <c r="D249" s="3" t="s">
        <v>490</v>
      </c>
      <c r="E249" s="3" t="s">
        <v>22</v>
      </c>
      <c r="F249" s="3" t="s">
        <v>23</v>
      </c>
      <c r="G249" s="3" t="s">
        <v>31</v>
      </c>
      <c r="H249" s="3" t="s">
        <v>116</v>
      </c>
      <c r="I249" s="3">
        <v>1306.6099999999999</v>
      </c>
      <c r="J249" s="3">
        <v>4</v>
      </c>
      <c r="K249" s="3">
        <v>0</v>
      </c>
      <c r="L249" s="9">
        <f t="shared" si="13"/>
        <v>5226.4399999999996</v>
      </c>
      <c r="M249" s="9">
        <f t="shared" si="14"/>
        <v>0</v>
      </c>
      <c r="N249" s="10">
        <f t="shared" si="15"/>
        <v>5226.4399999999996</v>
      </c>
      <c r="O249" s="3" t="s">
        <v>17</v>
      </c>
      <c r="P249" s="3" t="s">
        <v>18</v>
      </c>
      <c r="Q249" s="3" t="s">
        <v>60</v>
      </c>
    </row>
    <row r="250" spans="1:17" x14ac:dyDescent="0.25">
      <c r="A250" s="2" t="s">
        <v>491</v>
      </c>
      <c r="B250" s="4">
        <v>45289</v>
      </c>
      <c r="C250" s="4" t="str">
        <f t="shared" si="12"/>
        <v>Dec</v>
      </c>
      <c r="D250" s="2" t="s">
        <v>387</v>
      </c>
      <c r="E250" s="2" t="s">
        <v>13</v>
      </c>
      <c r="F250" s="2" t="s">
        <v>14</v>
      </c>
      <c r="G250" s="2" t="s">
        <v>43</v>
      </c>
      <c r="H250" s="2" t="s">
        <v>105</v>
      </c>
      <c r="I250" s="2">
        <v>2991.3</v>
      </c>
      <c r="J250" s="2">
        <v>4</v>
      </c>
      <c r="K250" s="2">
        <v>15</v>
      </c>
      <c r="L250" s="9">
        <f t="shared" si="13"/>
        <v>11965.2</v>
      </c>
      <c r="M250" s="9">
        <f t="shared" si="14"/>
        <v>1794.78</v>
      </c>
      <c r="N250" s="10">
        <f t="shared" si="15"/>
        <v>10170.42</v>
      </c>
      <c r="O250" s="2" t="s">
        <v>33</v>
      </c>
      <c r="P250" s="2" t="s">
        <v>18</v>
      </c>
      <c r="Q250" s="2" t="s">
        <v>60</v>
      </c>
    </row>
    <row r="251" spans="1:17" x14ac:dyDescent="0.25">
      <c r="A251" s="3" t="s">
        <v>492</v>
      </c>
      <c r="B251" s="4">
        <v>45290</v>
      </c>
      <c r="C251" s="4" t="str">
        <f t="shared" si="12"/>
        <v>Dec</v>
      </c>
      <c r="D251" s="3" t="s">
        <v>493</v>
      </c>
      <c r="E251" s="3" t="s">
        <v>47</v>
      </c>
      <c r="F251" s="3" t="s">
        <v>48</v>
      </c>
      <c r="G251" s="3" t="s">
        <v>31</v>
      </c>
      <c r="H251" s="3" t="s">
        <v>242</v>
      </c>
      <c r="I251" s="3">
        <v>980.51</v>
      </c>
      <c r="J251" s="3">
        <v>2</v>
      </c>
      <c r="K251" s="3">
        <v>0</v>
      </c>
      <c r="L251" s="9">
        <f t="shared" si="13"/>
        <v>1961.02</v>
      </c>
      <c r="M251" s="9">
        <f t="shared" si="14"/>
        <v>0</v>
      </c>
      <c r="N251" s="10">
        <f t="shared" si="15"/>
        <v>1961.02</v>
      </c>
      <c r="O251" s="3" t="s">
        <v>38</v>
      </c>
      <c r="P251" s="3" t="s">
        <v>18</v>
      </c>
      <c r="Q251" s="3" t="s">
        <v>60</v>
      </c>
    </row>
    <row r="252" spans="1:17" x14ac:dyDescent="0.25">
      <c r="A252" s="2" t="s">
        <v>494</v>
      </c>
      <c r="B252" s="4">
        <v>45291</v>
      </c>
      <c r="C252" s="4" t="str">
        <f t="shared" si="12"/>
        <v>Dec</v>
      </c>
      <c r="D252" s="2" t="s">
        <v>495</v>
      </c>
      <c r="E252" s="2" t="s">
        <v>76</v>
      </c>
      <c r="F252" s="6" t="s">
        <v>77</v>
      </c>
      <c r="G252" s="2" t="s">
        <v>110</v>
      </c>
      <c r="H252" s="2" t="s">
        <v>153</v>
      </c>
      <c r="I252" s="2">
        <v>3378.12</v>
      </c>
      <c r="J252" s="2">
        <v>3</v>
      </c>
      <c r="K252" s="2">
        <v>0</v>
      </c>
      <c r="L252" s="9">
        <f t="shared" si="13"/>
        <v>10134.36</v>
      </c>
      <c r="M252" s="9">
        <f t="shared" si="14"/>
        <v>0</v>
      </c>
      <c r="N252" s="10">
        <f t="shared" si="15"/>
        <v>10134.36</v>
      </c>
      <c r="O252" s="2" t="s">
        <v>38</v>
      </c>
      <c r="P252" s="2" t="s">
        <v>18</v>
      </c>
      <c r="Q252" s="2" t="s">
        <v>19</v>
      </c>
    </row>
    <row r="253" spans="1:17" x14ac:dyDescent="0.25">
      <c r="A253" s="3" t="s">
        <v>496</v>
      </c>
      <c r="B253" s="4">
        <v>45292</v>
      </c>
      <c r="C253" s="4" t="str">
        <f t="shared" si="12"/>
        <v>Jan</v>
      </c>
      <c r="D253" s="3" t="s">
        <v>126</v>
      </c>
      <c r="E253" s="3" t="s">
        <v>100</v>
      </c>
      <c r="F253" s="3" t="s">
        <v>88</v>
      </c>
      <c r="G253" s="3" t="s">
        <v>15</v>
      </c>
      <c r="H253" s="3" t="s">
        <v>56</v>
      </c>
      <c r="I253" s="3">
        <v>1629.69</v>
      </c>
      <c r="J253" s="3">
        <v>4</v>
      </c>
      <c r="K253" s="3">
        <v>15</v>
      </c>
      <c r="L253" s="9">
        <f t="shared" si="13"/>
        <v>6518.76</v>
      </c>
      <c r="M253" s="9">
        <f t="shared" si="14"/>
        <v>977.81400000000008</v>
      </c>
      <c r="N253" s="10">
        <f t="shared" si="15"/>
        <v>5540.9459999999999</v>
      </c>
      <c r="O253" s="3" t="s">
        <v>26</v>
      </c>
      <c r="P253" s="3" t="s">
        <v>18</v>
      </c>
      <c r="Q253" s="3" t="s">
        <v>34</v>
      </c>
    </row>
    <row r="254" spans="1:17" x14ac:dyDescent="0.25">
      <c r="A254" s="2" t="s">
        <v>497</v>
      </c>
      <c r="B254" s="4">
        <v>45293</v>
      </c>
      <c r="C254" s="4" t="str">
        <f t="shared" si="12"/>
        <v>Jan</v>
      </c>
      <c r="D254" s="2" t="s">
        <v>64</v>
      </c>
      <c r="E254" s="2" t="s">
        <v>76</v>
      </c>
      <c r="F254" s="2" t="s">
        <v>77</v>
      </c>
      <c r="G254" s="2" t="s">
        <v>24</v>
      </c>
      <c r="H254" s="2" t="s">
        <v>170</v>
      </c>
      <c r="I254" s="2">
        <v>1152.68</v>
      </c>
      <c r="J254" s="2">
        <v>3</v>
      </c>
      <c r="K254" s="2">
        <v>5</v>
      </c>
      <c r="L254" s="9">
        <f t="shared" si="13"/>
        <v>3458.04</v>
      </c>
      <c r="M254" s="9">
        <f t="shared" si="14"/>
        <v>172.90200000000002</v>
      </c>
      <c r="N254" s="10">
        <f t="shared" si="15"/>
        <v>3285.1379999999999</v>
      </c>
      <c r="O254" s="2" t="s">
        <v>26</v>
      </c>
      <c r="P254" s="2" t="s">
        <v>27</v>
      </c>
      <c r="Q254" s="2" t="s">
        <v>60</v>
      </c>
    </row>
    <row r="255" spans="1:17" x14ac:dyDescent="0.25">
      <c r="A255" s="3" t="s">
        <v>498</v>
      </c>
      <c r="B255" s="4">
        <v>45294</v>
      </c>
      <c r="C255" s="4" t="str">
        <f t="shared" si="12"/>
        <v>Jan</v>
      </c>
      <c r="D255" s="3" t="s">
        <v>371</v>
      </c>
      <c r="E255" s="3" t="s">
        <v>29</v>
      </c>
      <c r="F255" s="3" t="s">
        <v>30</v>
      </c>
      <c r="G255" s="3" t="s">
        <v>43</v>
      </c>
      <c r="H255" s="3" t="s">
        <v>89</v>
      </c>
      <c r="I255" s="3">
        <v>4410.72</v>
      </c>
      <c r="J255" s="3">
        <v>5</v>
      </c>
      <c r="K255" s="3">
        <v>0</v>
      </c>
      <c r="L255" s="9">
        <f t="shared" si="13"/>
        <v>22053.600000000002</v>
      </c>
      <c r="M255" s="9">
        <f t="shared" si="14"/>
        <v>0</v>
      </c>
      <c r="N255" s="10">
        <f t="shared" si="15"/>
        <v>22053.600000000002</v>
      </c>
      <c r="O255" s="3" t="s">
        <v>33</v>
      </c>
      <c r="P255" s="3" t="s">
        <v>52</v>
      </c>
      <c r="Q255" s="3" t="s">
        <v>40</v>
      </c>
    </row>
    <row r="256" spans="1:17" x14ac:dyDescent="0.25">
      <c r="A256" s="2" t="s">
        <v>499</v>
      </c>
      <c r="B256" s="4">
        <v>45295</v>
      </c>
      <c r="C256" s="4" t="str">
        <f t="shared" si="12"/>
        <v>Jan</v>
      </c>
      <c r="D256" s="2" t="s">
        <v>500</v>
      </c>
      <c r="E256" s="2" t="s">
        <v>29</v>
      </c>
      <c r="F256" s="2" t="s">
        <v>30</v>
      </c>
      <c r="G256" s="2" t="s">
        <v>15</v>
      </c>
      <c r="H256" s="2" t="s">
        <v>198</v>
      </c>
      <c r="I256" s="2">
        <v>737.5</v>
      </c>
      <c r="J256" s="2">
        <v>2</v>
      </c>
      <c r="K256" s="2">
        <v>0</v>
      </c>
      <c r="L256" s="9">
        <f t="shared" si="13"/>
        <v>1475</v>
      </c>
      <c r="M256" s="9">
        <f t="shared" si="14"/>
        <v>0</v>
      </c>
      <c r="N256" s="10">
        <f t="shared" si="15"/>
        <v>1475</v>
      </c>
      <c r="O256" s="2" t="s">
        <v>38</v>
      </c>
      <c r="P256" s="2" t="s">
        <v>18</v>
      </c>
      <c r="Q256" s="2" t="s">
        <v>19</v>
      </c>
    </row>
    <row r="257" spans="1:17" x14ac:dyDescent="0.25">
      <c r="A257" s="3" t="s">
        <v>501</v>
      </c>
      <c r="B257" s="4">
        <v>45296</v>
      </c>
      <c r="C257" s="4" t="str">
        <f t="shared" si="12"/>
        <v>Jan</v>
      </c>
      <c r="D257" s="3" t="s">
        <v>165</v>
      </c>
      <c r="E257" s="3" t="s">
        <v>65</v>
      </c>
      <c r="F257" s="3" t="s">
        <v>66</v>
      </c>
      <c r="G257" s="3" t="s">
        <v>72</v>
      </c>
      <c r="H257" s="3" t="s">
        <v>137</v>
      </c>
      <c r="I257" s="3">
        <v>2404.92</v>
      </c>
      <c r="J257" s="3">
        <v>4</v>
      </c>
      <c r="K257" s="3">
        <v>0</v>
      </c>
      <c r="L257" s="9">
        <f t="shared" si="13"/>
        <v>9619.68</v>
      </c>
      <c r="M257" s="9">
        <f t="shared" si="14"/>
        <v>0</v>
      </c>
      <c r="N257" s="10">
        <f t="shared" si="15"/>
        <v>9619.68</v>
      </c>
      <c r="O257" s="3" t="s">
        <v>68</v>
      </c>
      <c r="P257" s="3" t="s">
        <v>18</v>
      </c>
      <c r="Q257" s="3" t="s">
        <v>34</v>
      </c>
    </row>
    <row r="258" spans="1:17" x14ac:dyDescent="0.25">
      <c r="A258" s="2" t="s">
        <v>502</v>
      </c>
      <c r="B258" s="4">
        <v>45297</v>
      </c>
      <c r="C258" s="4" t="str">
        <f t="shared" ref="C258:C321" si="16">TEXT(B258,"mmm")</f>
        <v>Jan</v>
      </c>
      <c r="D258" s="2" t="s">
        <v>423</v>
      </c>
      <c r="E258" s="2" t="s">
        <v>83</v>
      </c>
      <c r="F258" s="2" t="s">
        <v>84</v>
      </c>
      <c r="G258" s="2" t="s">
        <v>110</v>
      </c>
      <c r="H258" s="2" t="s">
        <v>111</v>
      </c>
      <c r="I258" s="2">
        <v>9856.56</v>
      </c>
      <c r="J258" s="2">
        <v>2</v>
      </c>
      <c r="K258" s="2">
        <v>15</v>
      </c>
      <c r="L258" s="9">
        <f t="shared" ref="L258:L321" si="17">J258*I258</f>
        <v>19713.12</v>
      </c>
      <c r="M258" s="9">
        <f t="shared" ref="M258:M321" si="18">L258*K258/100</f>
        <v>2956.9679999999998</v>
      </c>
      <c r="N258" s="10">
        <f t="shared" ref="N258:N321" si="19">L258-M258</f>
        <v>16756.151999999998</v>
      </c>
      <c r="O258" s="2" t="s">
        <v>38</v>
      </c>
      <c r="P258" s="2" t="s">
        <v>18</v>
      </c>
      <c r="Q258" s="2" t="s">
        <v>60</v>
      </c>
    </row>
    <row r="259" spans="1:17" x14ac:dyDescent="0.25">
      <c r="A259" s="3" t="s">
        <v>503</v>
      </c>
      <c r="B259" s="4">
        <v>45298</v>
      </c>
      <c r="C259" s="4" t="str">
        <f t="shared" si="16"/>
        <v>Jan</v>
      </c>
      <c r="D259" s="3" t="s">
        <v>504</v>
      </c>
      <c r="E259" s="3" t="s">
        <v>83</v>
      </c>
      <c r="F259" s="3" t="s">
        <v>84</v>
      </c>
      <c r="G259" s="3" t="s">
        <v>24</v>
      </c>
      <c r="H259" s="3" t="s">
        <v>108</v>
      </c>
      <c r="I259" s="3">
        <v>8796.32</v>
      </c>
      <c r="J259" s="3">
        <v>4</v>
      </c>
      <c r="K259" s="3">
        <v>0</v>
      </c>
      <c r="L259" s="9">
        <f t="shared" si="17"/>
        <v>35185.279999999999</v>
      </c>
      <c r="M259" s="9">
        <f t="shared" si="18"/>
        <v>0</v>
      </c>
      <c r="N259" s="10">
        <f t="shared" si="19"/>
        <v>35185.279999999999</v>
      </c>
      <c r="O259" s="3" t="s">
        <v>38</v>
      </c>
      <c r="P259" s="3" t="s">
        <v>18</v>
      </c>
      <c r="Q259" s="3" t="s">
        <v>40</v>
      </c>
    </row>
    <row r="260" spans="1:17" x14ac:dyDescent="0.25">
      <c r="A260" s="2" t="s">
        <v>505</v>
      </c>
      <c r="B260" s="4">
        <v>45299</v>
      </c>
      <c r="C260" s="4" t="str">
        <f t="shared" si="16"/>
        <v>Jan</v>
      </c>
      <c r="D260" s="2" t="s">
        <v>248</v>
      </c>
      <c r="E260" s="2" t="s">
        <v>87</v>
      </c>
      <c r="F260" s="2" t="s">
        <v>88</v>
      </c>
      <c r="G260" s="2" t="s">
        <v>31</v>
      </c>
      <c r="H260" s="2" t="s">
        <v>116</v>
      </c>
      <c r="I260" s="2">
        <v>1189.28</v>
      </c>
      <c r="J260" s="2">
        <v>2</v>
      </c>
      <c r="K260" s="2">
        <v>0</v>
      </c>
      <c r="L260" s="9">
        <f t="shared" si="17"/>
        <v>2378.56</v>
      </c>
      <c r="M260" s="9">
        <f t="shared" si="18"/>
        <v>0</v>
      </c>
      <c r="N260" s="10">
        <f t="shared" si="19"/>
        <v>2378.56</v>
      </c>
      <c r="O260" s="2" t="s">
        <v>33</v>
      </c>
      <c r="P260" s="2" t="s">
        <v>18</v>
      </c>
      <c r="Q260" s="2" t="s">
        <v>60</v>
      </c>
    </row>
    <row r="261" spans="1:17" x14ac:dyDescent="0.25">
      <c r="A261" s="3" t="s">
        <v>506</v>
      </c>
      <c r="B261" s="4">
        <v>45300</v>
      </c>
      <c r="C261" s="4" t="str">
        <f t="shared" si="16"/>
        <v>Jan</v>
      </c>
      <c r="D261" s="3" t="s">
        <v>256</v>
      </c>
      <c r="E261" s="3" t="s">
        <v>76</v>
      </c>
      <c r="F261" s="3" t="s">
        <v>77</v>
      </c>
      <c r="G261" s="3" t="s">
        <v>31</v>
      </c>
      <c r="H261" s="3" t="s">
        <v>32</v>
      </c>
      <c r="I261" s="3">
        <v>2400.13</v>
      </c>
      <c r="J261" s="3">
        <v>1</v>
      </c>
      <c r="K261" s="3">
        <v>15</v>
      </c>
      <c r="L261" s="9">
        <f t="shared" si="17"/>
        <v>2400.13</v>
      </c>
      <c r="M261" s="9">
        <f t="shared" si="18"/>
        <v>360.01950000000005</v>
      </c>
      <c r="N261" s="10">
        <f t="shared" si="19"/>
        <v>2040.1105</v>
      </c>
      <c r="O261" s="3" t="s">
        <v>38</v>
      </c>
      <c r="P261" s="3" t="s">
        <v>27</v>
      </c>
      <c r="Q261" s="3" t="s">
        <v>40</v>
      </c>
    </row>
    <row r="262" spans="1:17" x14ac:dyDescent="0.25">
      <c r="A262" s="2" t="s">
        <v>507</v>
      </c>
      <c r="B262" s="4">
        <v>45301</v>
      </c>
      <c r="C262" s="4" t="str">
        <f t="shared" si="16"/>
        <v>Jan</v>
      </c>
      <c r="D262" s="2" t="s">
        <v>326</v>
      </c>
      <c r="E262" s="2" t="s">
        <v>51</v>
      </c>
      <c r="F262" s="6" t="s">
        <v>14</v>
      </c>
      <c r="G262" s="2" t="s">
        <v>110</v>
      </c>
      <c r="H262" s="2" t="s">
        <v>153</v>
      </c>
      <c r="I262" s="2">
        <v>3536.34</v>
      </c>
      <c r="J262" s="2">
        <v>3</v>
      </c>
      <c r="K262" s="2">
        <v>5</v>
      </c>
      <c r="L262" s="9">
        <f t="shared" si="17"/>
        <v>10609.02</v>
      </c>
      <c r="M262" s="9">
        <f t="shared" si="18"/>
        <v>530.45100000000002</v>
      </c>
      <c r="N262" s="10">
        <f t="shared" si="19"/>
        <v>10078.569</v>
      </c>
      <c r="O262" s="2" t="s">
        <v>33</v>
      </c>
      <c r="P262" s="2" t="s">
        <v>18</v>
      </c>
      <c r="Q262" s="2" t="s">
        <v>53</v>
      </c>
    </row>
    <row r="263" spans="1:17" x14ac:dyDescent="0.25">
      <c r="A263" s="3" t="s">
        <v>509</v>
      </c>
      <c r="B263" s="4">
        <v>45302</v>
      </c>
      <c r="C263" s="4" t="str">
        <f t="shared" si="16"/>
        <v>Jan</v>
      </c>
      <c r="D263" s="3" t="s">
        <v>347</v>
      </c>
      <c r="E263" s="3" t="s">
        <v>100</v>
      </c>
      <c r="F263" s="3" t="s">
        <v>88</v>
      </c>
      <c r="G263" s="3" t="s">
        <v>15</v>
      </c>
      <c r="H263" s="3" t="s">
        <v>95</v>
      </c>
      <c r="I263" s="3">
        <v>1174.94</v>
      </c>
      <c r="J263" s="3">
        <v>5</v>
      </c>
      <c r="K263" s="3">
        <v>5</v>
      </c>
      <c r="L263" s="9">
        <f t="shared" si="17"/>
        <v>5874.7000000000007</v>
      </c>
      <c r="M263" s="9">
        <f t="shared" si="18"/>
        <v>293.73500000000001</v>
      </c>
      <c r="N263" s="10">
        <f t="shared" si="19"/>
        <v>5580.9650000000011</v>
      </c>
      <c r="O263" s="3" t="s">
        <v>33</v>
      </c>
      <c r="P263" s="3" t="s">
        <v>52</v>
      </c>
      <c r="Q263" s="3" t="s">
        <v>60</v>
      </c>
    </row>
    <row r="264" spans="1:17" x14ac:dyDescent="0.25">
      <c r="A264" s="2" t="s">
        <v>510</v>
      </c>
      <c r="B264" s="4">
        <v>45303</v>
      </c>
      <c r="C264" s="4" t="str">
        <f t="shared" si="16"/>
        <v>Jan</v>
      </c>
      <c r="D264" s="2" t="s">
        <v>511</v>
      </c>
      <c r="E264" s="2" t="s">
        <v>51</v>
      </c>
      <c r="F264" s="2" t="s">
        <v>14</v>
      </c>
      <c r="G264" s="2" t="s">
        <v>24</v>
      </c>
      <c r="H264" s="2" t="s">
        <v>108</v>
      </c>
      <c r="I264" s="2">
        <v>8403.7199999999993</v>
      </c>
      <c r="J264" s="2">
        <v>1</v>
      </c>
      <c r="K264" s="2">
        <v>0</v>
      </c>
      <c r="L264" s="9">
        <f t="shared" si="17"/>
        <v>8403.7199999999993</v>
      </c>
      <c r="M264" s="9">
        <f t="shared" si="18"/>
        <v>0</v>
      </c>
      <c r="N264" s="10">
        <f t="shared" si="19"/>
        <v>8403.7199999999993</v>
      </c>
      <c r="O264" s="2" t="s">
        <v>68</v>
      </c>
      <c r="P264" s="2" t="s">
        <v>39</v>
      </c>
      <c r="Q264" s="2" t="s">
        <v>19</v>
      </c>
    </row>
    <row r="265" spans="1:17" x14ac:dyDescent="0.25">
      <c r="A265" s="3" t="s">
        <v>512</v>
      </c>
      <c r="B265" s="4">
        <v>45304</v>
      </c>
      <c r="C265" s="4" t="str">
        <f t="shared" si="16"/>
        <v>Jan</v>
      </c>
      <c r="D265" s="3" t="s">
        <v>316</v>
      </c>
      <c r="E265" s="3" t="s">
        <v>51</v>
      </c>
      <c r="F265" s="3" t="s">
        <v>14</v>
      </c>
      <c r="G265" s="3" t="s">
        <v>43</v>
      </c>
      <c r="H265" s="3" t="s">
        <v>44</v>
      </c>
      <c r="I265" s="3">
        <v>3333.65</v>
      </c>
      <c r="J265" s="3">
        <v>4</v>
      </c>
      <c r="K265" s="3">
        <v>10</v>
      </c>
      <c r="L265" s="9">
        <f t="shared" si="17"/>
        <v>13334.6</v>
      </c>
      <c r="M265" s="9">
        <f t="shared" si="18"/>
        <v>1333.46</v>
      </c>
      <c r="N265" s="10">
        <f t="shared" si="19"/>
        <v>12001.14</v>
      </c>
      <c r="O265" s="3" t="s">
        <v>38</v>
      </c>
      <c r="P265" s="3" t="s">
        <v>52</v>
      </c>
      <c r="Q265" s="3" t="s">
        <v>60</v>
      </c>
    </row>
    <row r="266" spans="1:17" x14ac:dyDescent="0.25">
      <c r="A266" s="2" t="s">
        <v>513</v>
      </c>
      <c r="B266" s="4">
        <v>45305</v>
      </c>
      <c r="C266" s="4" t="str">
        <f t="shared" si="16"/>
        <v>Jan</v>
      </c>
      <c r="D266" s="2" t="s">
        <v>159</v>
      </c>
      <c r="E266" s="2" t="s">
        <v>22</v>
      </c>
      <c r="F266" s="2" t="s">
        <v>23</v>
      </c>
      <c r="G266" s="2" t="s">
        <v>31</v>
      </c>
      <c r="H266" s="2" t="s">
        <v>116</v>
      </c>
      <c r="I266" s="2">
        <v>1282.92</v>
      </c>
      <c r="J266" s="2">
        <v>5</v>
      </c>
      <c r="K266" s="2">
        <v>0</v>
      </c>
      <c r="L266" s="9">
        <f t="shared" si="17"/>
        <v>6414.6</v>
      </c>
      <c r="M266" s="9">
        <f t="shared" si="18"/>
        <v>0</v>
      </c>
      <c r="N266" s="10">
        <f t="shared" si="19"/>
        <v>6414.6</v>
      </c>
      <c r="O266" s="2" t="s">
        <v>38</v>
      </c>
      <c r="P266" s="2" t="s">
        <v>52</v>
      </c>
      <c r="Q266" s="2" t="s">
        <v>19</v>
      </c>
    </row>
    <row r="267" spans="1:17" x14ac:dyDescent="0.25">
      <c r="A267" s="3" t="s">
        <v>514</v>
      </c>
      <c r="B267" s="4">
        <v>45306</v>
      </c>
      <c r="C267" s="4" t="str">
        <f t="shared" si="16"/>
        <v>Jan</v>
      </c>
      <c r="D267" s="3" t="s">
        <v>515</v>
      </c>
      <c r="E267" s="3" t="s">
        <v>87</v>
      </c>
      <c r="F267" s="3" t="s">
        <v>88</v>
      </c>
      <c r="G267" s="3" t="s">
        <v>36</v>
      </c>
      <c r="H267" s="3" t="s">
        <v>49</v>
      </c>
      <c r="I267" s="3">
        <v>144161.4</v>
      </c>
      <c r="J267" s="3">
        <v>2</v>
      </c>
      <c r="K267" s="3">
        <v>5</v>
      </c>
      <c r="L267" s="9">
        <f t="shared" si="17"/>
        <v>288322.8</v>
      </c>
      <c r="M267" s="9">
        <f t="shared" si="18"/>
        <v>14416.14</v>
      </c>
      <c r="N267" s="10">
        <f t="shared" si="19"/>
        <v>273906.65999999997</v>
      </c>
      <c r="O267" s="3" t="s">
        <v>26</v>
      </c>
      <c r="P267" s="3" t="s">
        <v>52</v>
      </c>
      <c r="Q267" s="3" t="s">
        <v>60</v>
      </c>
    </row>
    <row r="268" spans="1:17" x14ac:dyDescent="0.25">
      <c r="A268" s="2" t="s">
        <v>516</v>
      </c>
      <c r="B268" s="4">
        <v>45307</v>
      </c>
      <c r="C268" s="4" t="str">
        <f t="shared" si="16"/>
        <v>Jan</v>
      </c>
      <c r="D268" s="2" t="s">
        <v>493</v>
      </c>
      <c r="E268" s="2" t="s">
        <v>29</v>
      </c>
      <c r="F268" s="2" t="s">
        <v>30</v>
      </c>
      <c r="G268" s="2" t="s">
        <v>43</v>
      </c>
      <c r="H268" s="2" t="s">
        <v>145</v>
      </c>
      <c r="I268" s="2">
        <v>11245.81</v>
      </c>
      <c r="J268" s="2">
        <v>5</v>
      </c>
      <c r="K268" s="2">
        <v>5</v>
      </c>
      <c r="L268" s="9">
        <f t="shared" si="17"/>
        <v>56229.049999999996</v>
      </c>
      <c r="M268" s="9">
        <f t="shared" si="18"/>
        <v>2811.4524999999999</v>
      </c>
      <c r="N268" s="10">
        <f t="shared" si="19"/>
        <v>53417.597499999996</v>
      </c>
      <c r="O268" s="2" t="s">
        <v>26</v>
      </c>
      <c r="P268" s="2" t="s">
        <v>52</v>
      </c>
      <c r="Q268" s="2" t="s">
        <v>53</v>
      </c>
    </row>
    <row r="269" spans="1:17" x14ac:dyDescent="0.25">
      <c r="A269" s="3" t="s">
        <v>517</v>
      </c>
      <c r="B269" s="4">
        <v>45308</v>
      </c>
      <c r="C269" s="4" t="str">
        <f t="shared" si="16"/>
        <v>Jan</v>
      </c>
      <c r="D269" s="3" t="s">
        <v>444</v>
      </c>
      <c r="E269" s="3" t="s">
        <v>100</v>
      </c>
      <c r="F269" s="3" t="s">
        <v>88</v>
      </c>
      <c r="G269" s="3" t="s">
        <v>31</v>
      </c>
      <c r="H269" s="3" t="s">
        <v>70</v>
      </c>
      <c r="I269" s="3">
        <v>614.33000000000004</v>
      </c>
      <c r="J269" s="3">
        <v>3</v>
      </c>
      <c r="K269" s="3">
        <v>5</v>
      </c>
      <c r="L269" s="9">
        <f t="shared" si="17"/>
        <v>1842.9900000000002</v>
      </c>
      <c r="M269" s="9">
        <f t="shared" si="18"/>
        <v>92.149500000000003</v>
      </c>
      <c r="N269" s="10">
        <f t="shared" si="19"/>
        <v>1750.8405000000002</v>
      </c>
      <c r="O269" s="3" t="s">
        <v>33</v>
      </c>
      <c r="P269" s="3" t="s">
        <v>18</v>
      </c>
      <c r="Q269" s="3" t="s">
        <v>53</v>
      </c>
    </row>
    <row r="270" spans="1:17" x14ac:dyDescent="0.25">
      <c r="A270" s="2" t="s">
        <v>518</v>
      </c>
      <c r="B270" s="4">
        <v>45309</v>
      </c>
      <c r="C270" s="4" t="str">
        <f t="shared" si="16"/>
        <v>Jan</v>
      </c>
      <c r="D270" s="2" t="s">
        <v>519</v>
      </c>
      <c r="E270" s="2" t="s">
        <v>76</v>
      </c>
      <c r="F270" s="2" t="s">
        <v>77</v>
      </c>
      <c r="G270" s="2" t="s">
        <v>43</v>
      </c>
      <c r="H270" s="2" t="s">
        <v>145</v>
      </c>
      <c r="I270" s="2">
        <v>11797.51</v>
      </c>
      <c r="J270" s="2">
        <v>4</v>
      </c>
      <c r="K270" s="2">
        <v>0</v>
      </c>
      <c r="L270" s="9">
        <f t="shared" si="17"/>
        <v>47190.04</v>
      </c>
      <c r="M270" s="9">
        <f t="shared" si="18"/>
        <v>0</v>
      </c>
      <c r="N270" s="10">
        <f t="shared" si="19"/>
        <v>47190.04</v>
      </c>
      <c r="O270" s="2" t="s">
        <v>26</v>
      </c>
      <c r="P270" s="2" t="s">
        <v>18</v>
      </c>
      <c r="Q270" s="2" t="s">
        <v>19</v>
      </c>
    </row>
    <row r="271" spans="1:17" x14ac:dyDescent="0.25">
      <c r="A271" s="3" t="s">
        <v>520</v>
      </c>
      <c r="B271" s="4">
        <v>45310</v>
      </c>
      <c r="C271" s="4" t="str">
        <f t="shared" si="16"/>
        <v>Jan</v>
      </c>
      <c r="D271" s="3" t="s">
        <v>183</v>
      </c>
      <c r="E271" s="3" t="s">
        <v>13</v>
      </c>
      <c r="F271" s="3" t="s">
        <v>14</v>
      </c>
      <c r="G271" s="3" t="s">
        <v>31</v>
      </c>
      <c r="H271" s="3" t="s">
        <v>186</v>
      </c>
      <c r="I271" s="3">
        <v>806.02</v>
      </c>
      <c r="J271" s="3">
        <v>2</v>
      </c>
      <c r="K271" s="3">
        <v>10</v>
      </c>
      <c r="L271" s="9">
        <f t="shared" si="17"/>
        <v>1612.04</v>
      </c>
      <c r="M271" s="9">
        <f t="shared" si="18"/>
        <v>161.20400000000001</v>
      </c>
      <c r="N271" s="10">
        <f t="shared" si="19"/>
        <v>1450.836</v>
      </c>
      <c r="O271" s="3" t="s">
        <v>17</v>
      </c>
      <c r="P271" s="3" t="s">
        <v>27</v>
      </c>
      <c r="Q271" s="3" t="s">
        <v>60</v>
      </c>
    </row>
    <row r="272" spans="1:17" x14ac:dyDescent="0.25">
      <c r="A272" s="2" t="s">
        <v>521</v>
      </c>
      <c r="B272" s="4">
        <v>45311</v>
      </c>
      <c r="C272" s="4" t="str">
        <f t="shared" si="16"/>
        <v>Jan</v>
      </c>
      <c r="D272" s="2" t="s">
        <v>53</v>
      </c>
      <c r="E272" s="2" t="s">
        <v>29</v>
      </c>
      <c r="F272" s="6" t="s">
        <v>30</v>
      </c>
      <c r="G272" s="2" t="s">
        <v>36</v>
      </c>
      <c r="H272" s="2" t="s">
        <v>338</v>
      </c>
      <c r="I272" s="2">
        <v>68576.47</v>
      </c>
      <c r="J272" s="2">
        <v>3</v>
      </c>
      <c r="K272" s="2">
        <v>10</v>
      </c>
      <c r="L272" s="9">
        <f t="shared" si="17"/>
        <v>205729.41</v>
      </c>
      <c r="M272" s="9">
        <f t="shared" si="18"/>
        <v>20572.941000000003</v>
      </c>
      <c r="N272" s="10">
        <f t="shared" si="19"/>
        <v>185156.46900000001</v>
      </c>
      <c r="O272" s="2" t="s">
        <v>68</v>
      </c>
      <c r="P272" s="2" t="s">
        <v>39</v>
      </c>
      <c r="Q272" s="2" t="s">
        <v>60</v>
      </c>
    </row>
    <row r="273" spans="1:17" x14ac:dyDescent="0.25">
      <c r="A273" s="3" t="s">
        <v>522</v>
      </c>
      <c r="B273" s="4">
        <v>45312</v>
      </c>
      <c r="C273" s="4" t="str">
        <f t="shared" si="16"/>
        <v>Jan</v>
      </c>
      <c r="D273" s="3" t="s">
        <v>277</v>
      </c>
      <c r="E273" s="3" t="s">
        <v>22</v>
      </c>
      <c r="F273" s="3" t="s">
        <v>23</v>
      </c>
      <c r="G273" s="3" t="s">
        <v>15</v>
      </c>
      <c r="H273" s="3" t="s">
        <v>163</v>
      </c>
      <c r="I273" s="3">
        <v>2398.85</v>
      </c>
      <c r="J273" s="3">
        <v>1</v>
      </c>
      <c r="K273" s="3">
        <v>5</v>
      </c>
      <c r="L273" s="9">
        <f t="shared" si="17"/>
        <v>2398.85</v>
      </c>
      <c r="M273" s="9">
        <f t="shared" si="18"/>
        <v>119.9425</v>
      </c>
      <c r="N273" s="10">
        <f t="shared" si="19"/>
        <v>2278.9074999999998</v>
      </c>
      <c r="O273" s="3" t="s">
        <v>38</v>
      </c>
      <c r="P273" s="3" t="s">
        <v>18</v>
      </c>
      <c r="Q273" s="3" t="s">
        <v>40</v>
      </c>
    </row>
    <row r="274" spans="1:17" x14ac:dyDescent="0.25">
      <c r="A274" s="2" t="s">
        <v>523</v>
      </c>
      <c r="B274" s="4">
        <v>45313</v>
      </c>
      <c r="C274" s="4" t="str">
        <f t="shared" si="16"/>
        <v>Jan</v>
      </c>
      <c r="D274" s="2" t="s">
        <v>399</v>
      </c>
      <c r="E274" s="2" t="s">
        <v>51</v>
      </c>
      <c r="F274" s="2" t="s">
        <v>14</v>
      </c>
      <c r="G274" s="2" t="s">
        <v>72</v>
      </c>
      <c r="H274" s="2" t="s">
        <v>73</v>
      </c>
      <c r="I274" s="2">
        <v>363.24</v>
      </c>
      <c r="J274" s="2">
        <v>5</v>
      </c>
      <c r="K274" s="2">
        <v>0</v>
      </c>
      <c r="L274" s="9">
        <f t="shared" si="17"/>
        <v>1816.2</v>
      </c>
      <c r="M274" s="9">
        <f t="shared" si="18"/>
        <v>0</v>
      </c>
      <c r="N274" s="10">
        <f t="shared" si="19"/>
        <v>1816.2</v>
      </c>
      <c r="O274" s="2" t="s">
        <v>33</v>
      </c>
      <c r="P274" s="2" t="s">
        <v>18</v>
      </c>
      <c r="Q274" s="2" t="s">
        <v>19</v>
      </c>
    </row>
    <row r="275" spans="1:17" x14ac:dyDescent="0.25">
      <c r="A275" s="3" t="s">
        <v>524</v>
      </c>
      <c r="B275" s="4">
        <v>45314</v>
      </c>
      <c r="C275" s="4" t="str">
        <f t="shared" si="16"/>
        <v>Jan</v>
      </c>
      <c r="D275" s="3" t="s">
        <v>525</v>
      </c>
      <c r="E275" s="3" t="s">
        <v>13</v>
      </c>
      <c r="F275" s="3" t="s">
        <v>14</v>
      </c>
      <c r="G275" s="3" t="s">
        <v>110</v>
      </c>
      <c r="H275" s="3" t="s">
        <v>215</v>
      </c>
      <c r="I275" s="3">
        <v>2516.14</v>
      </c>
      <c r="J275" s="3">
        <v>5</v>
      </c>
      <c r="K275" s="3">
        <v>0</v>
      </c>
      <c r="L275" s="9">
        <f t="shared" si="17"/>
        <v>12580.699999999999</v>
      </c>
      <c r="M275" s="9">
        <f t="shared" si="18"/>
        <v>0</v>
      </c>
      <c r="N275" s="10">
        <f t="shared" si="19"/>
        <v>12580.699999999999</v>
      </c>
      <c r="O275" s="3" t="s">
        <v>26</v>
      </c>
      <c r="P275" s="3" t="s">
        <v>18</v>
      </c>
      <c r="Q275" s="3" t="s">
        <v>34</v>
      </c>
    </row>
    <row r="276" spans="1:17" x14ac:dyDescent="0.25">
      <c r="A276" s="2" t="s">
        <v>526</v>
      </c>
      <c r="B276" s="4">
        <v>45315</v>
      </c>
      <c r="C276" s="4" t="str">
        <f t="shared" si="16"/>
        <v>Jan</v>
      </c>
      <c r="D276" s="2" t="s">
        <v>527</v>
      </c>
      <c r="E276" s="2" t="s">
        <v>83</v>
      </c>
      <c r="F276" s="2" t="s">
        <v>84</v>
      </c>
      <c r="G276" s="2" t="s">
        <v>15</v>
      </c>
      <c r="H276" s="2" t="s">
        <v>198</v>
      </c>
      <c r="I276" s="2">
        <v>741.69</v>
      </c>
      <c r="J276" s="2">
        <v>4</v>
      </c>
      <c r="K276" s="2">
        <v>15</v>
      </c>
      <c r="L276" s="9">
        <f t="shared" si="17"/>
        <v>2966.76</v>
      </c>
      <c r="M276" s="9">
        <f t="shared" si="18"/>
        <v>445.01400000000001</v>
      </c>
      <c r="N276" s="10">
        <f t="shared" si="19"/>
        <v>2521.7460000000001</v>
      </c>
      <c r="O276" s="2" t="s">
        <v>38</v>
      </c>
      <c r="P276" s="2" t="s">
        <v>39</v>
      </c>
      <c r="Q276" s="2" t="s">
        <v>53</v>
      </c>
    </row>
    <row r="277" spans="1:17" x14ac:dyDescent="0.25">
      <c r="A277" s="3" t="s">
        <v>528</v>
      </c>
      <c r="B277" s="4">
        <v>45316</v>
      </c>
      <c r="C277" s="4" t="str">
        <f t="shared" si="16"/>
        <v>Jan</v>
      </c>
      <c r="D277" s="3" t="s">
        <v>60</v>
      </c>
      <c r="E277" s="3" t="s">
        <v>100</v>
      </c>
      <c r="F277" s="3" t="s">
        <v>88</v>
      </c>
      <c r="G277" s="3" t="s">
        <v>15</v>
      </c>
      <c r="H277" s="3" t="s">
        <v>16</v>
      </c>
      <c r="I277" s="3">
        <v>1598.54</v>
      </c>
      <c r="J277" s="3">
        <v>4</v>
      </c>
      <c r="K277" s="3">
        <v>15</v>
      </c>
      <c r="L277" s="9">
        <f t="shared" si="17"/>
        <v>6394.16</v>
      </c>
      <c r="M277" s="9">
        <f t="shared" si="18"/>
        <v>959.12399999999991</v>
      </c>
      <c r="N277" s="10">
        <f t="shared" si="19"/>
        <v>5435.0360000000001</v>
      </c>
      <c r="O277" s="3" t="s">
        <v>26</v>
      </c>
      <c r="P277" s="3" t="s">
        <v>52</v>
      </c>
      <c r="Q277" s="3" t="s">
        <v>34</v>
      </c>
    </row>
    <row r="278" spans="1:17" x14ac:dyDescent="0.25">
      <c r="A278" s="2" t="s">
        <v>529</v>
      </c>
      <c r="B278" s="4">
        <v>45317</v>
      </c>
      <c r="C278" s="4" t="str">
        <f t="shared" si="16"/>
        <v>Jan</v>
      </c>
      <c r="D278" s="2" t="s">
        <v>530</v>
      </c>
      <c r="E278" s="2" t="s">
        <v>76</v>
      </c>
      <c r="F278" s="2" t="s">
        <v>77</v>
      </c>
      <c r="G278" s="2" t="s">
        <v>36</v>
      </c>
      <c r="H278" s="2" t="s">
        <v>121</v>
      </c>
      <c r="I278" s="2">
        <v>100597.37</v>
      </c>
      <c r="J278" s="2">
        <v>1</v>
      </c>
      <c r="K278" s="2">
        <v>15</v>
      </c>
      <c r="L278" s="9">
        <f t="shared" si="17"/>
        <v>100597.37</v>
      </c>
      <c r="M278" s="9">
        <f t="shared" si="18"/>
        <v>15089.605499999998</v>
      </c>
      <c r="N278" s="10">
        <f t="shared" si="19"/>
        <v>85507.76449999999</v>
      </c>
      <c r="O278" s="2" t="s">
        <v>17</v>
      </c>
      <c r="P278" s="2" t="s">
        <v>27</v>
      </c>
      <c r="Q278" s="2" t="s">
        <v>34</v>
      </c>
    </row>
    <row r="279" spans="1:17" x14ac:dyDescent="0.25">
      <c r="A279" s="3" t="s">
        <v>531</v>
      </c>
      <c r="B279" s="4">
        <v>45318</v>
      </c>
      <c r="C279" s="4" t="str">
        <f t="shared" si="16"/>
        <v>Jan</v>
      </c>
      <c r="D279" s="3" t="s">
        <v>532</v>
      </c>
      <c r="E279" s="3" t="s">
        <v>76</v>
      </c>
      <c r="F279" s="3" t="s">
        <v>77</v>
      </c>
      <c r="G279" s="3" t="s">
        <v>31</v>
      </c>
      <c r="H279" s="3" t="s">
        <v>242</v>
      </c>
      <c r="I279" s="3">
        <v>810.45</v>
      </c>
      <c r="J279" s="3">
        <v>1</v>
      </c>
      <c r="K279" s="3">
        <v>10</v>
      </c>
      <c r="L279" s="9">
        <f t="shared" si="17"/>
        <v>810.45</v>
      </c>
      <c r="M279" s="9">
        <f t="shared" si="18"/>
        <v>81.045000000000002</v>
      </c>
      <c r="N279" s="10">
        <f t="shared" si="19"/>
        <v>729.40500000000009</v>
      </c>
      <c r="O279" s="3" t="s">
        <v>38</v>
      </c>
      <c r="P279" s="3" t="s">
        <v>39</v>
      </c>
      <c r="Q279" s="3" t="s">
        <v>40</v>
      </c>
    </row>
    <row r="280" spans="1:17" x14ac:dyDescent="0.25">
      <c r="A280" s="2" t="s">
        <v>533</v>
      </c>
      <c r="B280" s="4">
        <v>45319</v>
      </c>
      <c r="C280" s="4" t="str">
        <f t="shared" si="16"/>
        <v>Jan</v>
      </c>
      <c r="D280" s="2" t="s">
        <v>223</v>
      </c>
      <c r="E280" s="2" t="s">
        <v>65</v>
      </c>
      <c r="F280" s="2" t="s">
        <v>66</v>
      </c>
      <c r="G280" s="2" t="s">
        <v>72</v>
      </c>
      <c r="H280" s="2" t="s">
        <v>102</v>
      </c>
      <c r="I280" s="2">
        <v>649.30999999999995</v>
      </c>
      <c r="J280" s="2">
        <v>3</v>
      </c>
      <c r="K280" s="2">
        <v>0</v>
      </c>
      <c r="L280" s="9">
        <f t="shared" si="17"/>
        <v>1947.9299999999998</v>
      </c>
      <c r="M280" s="9">
        <f t="shared" si="18"/>
        <v>0</v>
      </c>
      <c r="N280" s="10">
        <f t="shared" si="19"/>
        <v>1947.9299999999998</v>
      </c>
      <c r="O280" s="2" t="s">
        <v>38</v>
      </c>
      <c r="P280" s="2" t="s">
        <v>52</v>
      </c>
      <c r="Q280" s="2" t="s">
        <v>19</v>
      </c>
    </row>
    <row r="281" spans="1:17" x14ac:dyDescent="0.25">
      <c r="A281" s="3" t="s">
        <v>534</v>
      </c>
      <c r="B281" s="4">
        <v>45320</v>
      </c>
      <c r="C281" s="4" t="str">
        <f t="shared" si="16"/>
        <v>Jan</v>
      </c>
      <c r="D281" s="3" t="s">
        <v>429</v>
      </c>
      <c r="E281" s="3" t="s">
        <v>87</v>
      </c>
      <c r="F281" s="3" t="s">
        <v>88</v>
      </c>
      <c r="G281" s="3" t="s">
        <v>15</v>
      </c>
      <c r="H281" s="3" t="s">
        <v>198</v>
      </c>
      <c r="I281" s="3">
        <v>727.35</v>
      </c>
      <c r="J281" s="3">
        <v>4</v>
      </c>
      <c r="K281" s="3">
        <v>5</v>
      </c>
      <c r="L281" s="9">
        <f t="shared" si="17"/>
        <v>2909.4</v>
      </c>
      <c r="M281" s="9">
        <f t="shared" si="18"/>
        <v>145.47</v>
      </c>
      <c r="N281" s="10">
        <f t="shared" si="19"/>
        <v>2763.9300000000003</v>
      </c>
      <c r="O281" s="3" t="s">
        <v>68</v>
      </c>
      <c r="P281" s="3" t="s">
        <v>39</v>
      </c>
      <c r="Q281" s="3" t="s">
        <v>53</v>
      </c>
    </row>
    <row r="282" spans="1:17" x14ac:dyDescent="0.25">
      <c r="A282" s="2" t="s">
        <v>535</v>
      </c>
      <c r="B282" s="4">
        <v>45321</v>
      </c>
      <c r="C282" s="4" t="str">
        <f t="shared" si="16"/>
        <v>Jan</v>
      </c>
      <c r="D282" s="2" t="s">
        <v>359</v>
      </c>
      <c r="E282" s="2" t="s">
        <v>65</v>
      </c>
      <c r="F282" s="6" t="s">
        <v>14</v>
      </c>
      <c r="G282" s="2" t="s">
        <v>24</v>
      </c>
      <c r="H282" s="2" t="s">
        <v>170</v>
      </c>
      <c r="I282" s="2">
        <v>1298.26</v>
      </c>
      <c r="J282" s="2">
        <v>3</v>
      </c>
      <c r="K282" s="2">
        <v>0</v>
      </c>
      <c r="L282" s="9">
        <f t="shared" si="17"/>
        <v>3894.7799999999997</v>
      </c>
      <c r="M282" s="9">
        <f t="shared" si="18"/>
        <v>0</v>
      </c>
      <c r="N282" s="10">
        <f t="shared" si="19"/>
        <v>3894.7799999999997</v>
      </c>
      <c r="O282" s="2" t="s">
        <v>38</v>
      </c>
      <c r="P282" s="2" t="s">
        <v>18</v>
      </c>
      <c r="Q282" s="2" t="s">
        <v>34</v>
      </c>
    </row>
    <row r="283" spans="1:17" x14ac:dyDescent="0.25">
      <c r="A283" s="3" t="s">
        <v>536</v>
      </c>
      <c r="B283" s="4">
        <v>45322</v>
      </c>
      <c r="C283" s="4" t="str">
        <f t="shared" si="16"/>
        <v>Jan</v>
      </c>
      <c r="D283" s="3" t="s">
        <v>231</v>
      </c>
      <c r="E283" s="3" t="s">
        <v>100</v>
      </c>
      <c r="F283" s="3" t="s">
        <v>88</v>
      </c>
      <c r="G283" s="3" t="s">
        <v>36</v>
      </c>
      <c r="H283" s="3" t="s">
        <v>37</v>
      </c>
      <c r="I283" s="3">
        <v>12301.45</v>
      </c>
      <c r="J283" s="3">
        <v>2</v>
      </c>
      <c r="K283" s="3">
        <v>0</v>
      </c>
      <c r="L283" s="9">
        <f t="shared" si="17"/>
        <v>24602.9</v>
      </c>
      <c r="M283" s="9">
        <f t="shared" si="18"/>
        <v>0</v>
      </c>
      <c r="N283" s="10">
        <f t="shared" si="19"/>
        <v>24602.9</v>
      </c>
      <c r="O283" s="3" t="s">
        <v>68</v>
      </c>
      <c r="P283" s="3" t="s">
        <v>27</v>
      </c>
      <c r="Q283" s="3" t="s">
        <v>40</v>
      </c>
    </row>
    <row r="284" spans="1:17" x14ac:dyDescent="0.25">
      <c r="A284" s="2" t="s">
        <v>537</v>
      </c>
      <c r="B284" s="4">
        <v>45323</v>
      </c>
      <c r="C284" s="4" t="str">
        <f t="shared" si="16"/>
        <v>Feb</v>
      </c>
      <c r="D284" s="2" t="s">
        <v>167</v>
      </c>
      <c r="E284" s="2" t="s">
        <v>22</v>
      </c>
      <c r="F284" s="2" t="s">
        <v>23</v>
      </c>
      <c r="G284" s="2" t="s">
        <v>24</v>
      </c>
      <c r="H284" s="2" t="s">
        <v>59</v>
      </c>
      <c r="I284" s="2">
        <v>4726.1899999999996</v>
      </c>
      <c r="J284" s="2">
        <v>4</v>
      </c>
      <c r="K284" s="2">
        <v>0</v>
      </c>
      <c r="L284" s="9">
        <f t="shared" si="17"/>
        <v>18904.759999999998</v>
      </c>
      <c r="M284" s="9">
        <f t="shared" si="18"/>
        <v>0</v>
      </c>
      <c r="N284" s="10">
        <f t="shared" si="19"/>
        <v>18904.759999999998</v>
      </c>
      <c r="O284" s="2" t="s">
        <v>68</v>
      </c>
      <c r="P284" s="2" t="s">
        <v>27</v>
      </c>
      <c r="Q284" s="2" t="s">
        <v>34</v>
      </c>
    </row>
    <row r="285" spans="1:17" x14ac:dyDescent="0.25">
      <c r="A285" s="3" t="s">
        <v>538</v>
      </c>
      <c r="B285" s="4">
        <v>45324</v>
      </c>
      <c r="C285" s="4" t="str">
        <f t="shared" si="16"/>
        <v>Feb</v>
      </c>
      <c r="D285" s="3" t="s">
        <v>539</v>
      </c>
      <c r="E285" s="3" t="s">
        <v>100</v>
      </c>
      <c r="F285" s="3" t="s">
        <v>88</v>
      </c>
      <c r="G285" s="3" t="s">
        <v>43</v>
      </c>
      <c r="H285" s="3" t="s">
        <v>44</v>
      </c>
      <c r="I285" s="3">
        <v>3310.26</v>
      </c>
      <c r="J285" s="3">
        <v>1</v>
      </c>
      <c r="K285" s="3">
        <v>0</v>
      </c>
      <c r="L285" s="9">
        <f t="shared" si="17"/>
        <v>3310.26</v>
      </c>
      <c r="M285" s="9">
        <f t="shared" si="18"/>
        <v>0</v>
      </c>
      <c r="N285" s="10">
        <f t="shared" si="19"/>
        <v>3310.26</v>
      </c>
      <c r="O285" s="3" t="s">
        <v>68</v>
      </c>
      <c r="P285" s="3" t="s">
        <v>18</v>
      </c>
      <c r="Q285" s="3" t="s">
        <v>34</v>
      </c>
    </row>
    <row r="286" spans="1:17" x14ac:dyDescent="0.25">
      <c r="A286" s="2" t="s">
        <v>540</v>
      </c>
      <c r="B286" s="4">
        <v>45325</v>
      </c>
      <c r="C286" s="4" t="str">
        <f t="shared" si="16"/>
        <v>Feb</v>
      </c>
      <c r="D286" s="2" t="s">
        <v>541</v>
      </c>
      <c r="E286" s="2" t="s">
        <v>100</v>
      </c>
      <c r="F286" s="2" t="s">
        <v>88</v>
      </c>
      <c r="G286" s="2" t="s">
        <v>15</v>
      </c>
      <c r="H286" s="2" t="s">
        <v>163</v>
      </c>
      <c r="I286" s="2">
        <v>2284.21</v>
      </c>
      <c r="J286" s="2">
        <v>5</v>
      </c>
      <c r="K286" s="2">
        <v>5</v>
      </c>
      <c r="L286" s="9">
        <f t="shared" si="17"/>
        <v>11421.05</v>
      </c>
      <c r="M286" s="9">
        <f t="shared" si="18"/>
        <v>571.05250000000001</v>
      </c>
      <c r="N286" s="10">
        <f t="shared" si="19"/>
        <v>10849.997499999999</v>
      </c>
      <c r="O286" s="2" t="s">
        <v>17</v>
      </c>
      <c r="P286" s="2" t="s">
        <v>27</v>
      </c>
      <c r="Q286" s="2" t="s">
        <v>53</v>
      </c>
    </row>
    <row r="287" spans="1:17" x14ac:dyDescent="0.25">
      <c r="A287" s="3" t="s">
        <v>542</v>
      </c>
      <c r="B287" s="4">
        <v>45326</v>
      </c>
      <c r="C287" s="4" t="str">
        <f t="shared" si="16"/>
        <v>Feb</v>
      </c>
      <c r="D287" s="3" t="s">
        <v>543</v>
      </c>
      <c r="E287" s="3" t="s">
        <v>51</v>
      </c>
      <c r="F287" s="3" t="s">
        <v>14</v>
      </c>
      <c r="G287" s="3" t="s">
        <v>15</v>
      </c>
      <c r="H287" s="3" t="s">
        <v>163</v>
      </c>
      <c r="I287" s="3">
        <v>2709.95</v>
      </c>
      <c r="J287" s="3">
        <v>5</v>
      </c>
      <c r="K287" s="3">
        <v>0</v>
      </c>
      <c r="L287" s="9">
        <f t="shared" si="17"/>
        <v>13549.75</v>
      </c>
      <c r="M287" s="9">
        <f t="shared" si="18"/>
        <v>0</v>
      </c>
      <c r="N287" s="10">
        <f t="shared" si="19"/>
        <v>13549.75</v>
      </c>
      <c r="O287" s="3" t="s">
        <v>33</v>
      </c>
      <c r="P287" s="3" t="s">
        <v>39</v>
      </c>
      <c r="Q287" s="3" t="s">
        <v>53</v>
      </c>
    </row>
    <row r="288" spans="1:17" x14ac:dyDescent="0.25">
      <c r="A288" s="2" t="s">
        <v>544</v>
      </c>
      <c r="B288" s="4">
        <v>45327</v>
      </c>
      <c r="C288" s="4" t="str">
        <f t="shared" si="16"/>
        <v>Feb</v>
      </c>
      <c r="D288" s="2" t="s">
        <v>545</v>
      </c>
      <c r="E288" s="2" t="s">
        <v>22</v>
      </c>
      <c r="F288" s="2" t="s">
        <v>23</v>
      </c>
      <c r="G288" s="2" t="s">
        <v>110</v>
      </c>
      <c r="H288" s="2" t="s">
        <v>67</v>
      </c>
      <c r="I288" s="2">
        <v>4366.38</v>
      </c>
      <c r="J288" s="2">
        <v>4</v>
      </c>
      <c r="K288" s="2">
        <v>15</v>
      </c>
      <c r="L288" s="9">
        <f t="shared" si="17"/>
        <v>17465.52</v>
      </c>
      <c r="M288" s="9">
        <f t="shared" si="18"/>
        <v>2619.828</v>
      </c>
      <c r="N288" s="10">
        <f t="shared" si="19"/>
        <v>14845.692000000001</v>
      </c>
      <c r="O288" s="2" t="s">
        <v>26</v>
      </c>
      <c r="P288" s="2" t="s">
        <v>18</v>
      </c>
      <c r="Q288" s="2" t="s">
        <v>34</v>
      </c>
    </row>
    <row r="289" spans="1:17" x14ac:dyDescent="0.25">
      <c r="A289" s="3" t="s">
        <v>546</v>
      </c>
      <c r="B289" s="4">
        <v>45328</v>
      </c>
      <c r="C289" s="4" t="str">
        <f t="shared" si="16"/>
        <v>Feb</v>
      </c>
      <c r="D289" s="3" t="s">
        <v>547</v>
      </c>
      <c r="E289" s="3" t="s">
        <v>83</v>
      </c>
      <c r="F289" s="3" t="s">
        <v>84</v>
      </c>
      <c r="G289" s="3" t="s">
        <v>110</v>
      </c>
      <c r="H289" s="3" t="s">
        <v>111</v>
      </c>
      <c r="I289" s="3">
        <v>9920.24</v>
      </c>
      <c r="J289" s="3">
        <v>3</v>
      </c>
      <c r="K289" s="3">
        <v>0</v>
      </c>
      <c r="L289" s="9">
        <f t="shared" si="17"/>
        <v>29760.720000000001</v>
      </c>
      <c r="M289" s="9">
        <f t="shared" si="18"/>
        <v>0</v>
      </c>
      <c r="N289" s="10">
        <f t="shared" si="19"/>
        <v>29760.720000000001</v>
      </c>
      <c r="O289" s="3" t="s">
        <v>68</v>
      </c>
      <c r="P289" s="3" t="s">
        <v>39</v>
      </c>
      <c r="Q289" s="3" t="s">
        <v>34</v>
      </c>
    </row>
    <row r="290" spans="1:17" x14ac:dyDescent="0.25">
      <c r="A290" s="2" t="s">
        <v>548</v>
      </c>
      <c r="B290" s="4">
        <v>45329</v>
      </c>
      <c r="C290" s="4" t="str">
        <f t="shared" si="16"/>
        <v>Feb</v>
      </c>
      <c r="D290" s="2" t="s">
        <v>228</v>
      </c>
      <c r="E290" s="2" t="s">
        <v>83</v>
      </c>
      <c r="F290" s="2" t="s">
        <v>84</v>
      </c>
      <c r="G290" s="2" t="s">
        <v>24</v>
      </c>
      <c r="H290" s="2" t="s">
        <v>170</v>
      </c>
      <c r="I290" s="2">
        <v>1174.02</v>
      </c>
      <c r="J290" s="2">
        <v>1</v>
      </c>
      <c r="K290" s="2">
        <v>0</v>
      </c>
      <c r="L290" s="9">
        <f t="shared" si="17"/>
        <v>1174.02</v>
      </c>
      <c r="M290" s="9">
        <f t="shared" si="18"/>
        <v>0</v>
      </c>
      <c r="N290" s="10">
        <f t="shared" si="19"/>
        <v>1174.02</v>
      </c>
      <c r="O290" s="2" t="s">
        <v>33</v>
      </c>
      <c r="P290" s="2" t="s">
        <v>18</v>
      </c>
      <c r="Q290" s="2" t="s">
        <v>40</v>
      </c>
    </row>
    <row r="291" spans="1:17" x14ac:dyDescent="0.25">
      <c r="A291" s="3" t="s">
        <v>549</v>
      </c>
      <c r="B291" s="4">
        <v>45330</v>
      </c>
      <c r="C291" s="4" t="str">
        <f t="shared" si="16"/>
        <v>Feb</v>
      </c>
      <c r="D291" s="3" t="s">
        <v>550</v>
      </c>
      <c r="E291" s="3" t="s">
        <v>29</v>
      </c>
      <c r="F291" s="3" t="s">
        <v>30</v>
      </c>
      <c r="G291" s="3" t="s">
        <v>36</v>
      </c>
      <c r="H291" s="3" t="s">
        <v>113</v>
      </c>
      <c r="I291" s="3">
        <v>129329.39</v>
      </c>
      <c r="J291" s="3">
        <v>1</v>
      </c>
      <c r="K291" s="3">
        <v>10</v>
      </c>
      <c r="L291" s="9">
        <f t="shared" si="17"/>
        <v>129329.39</v>
      </c>
      <c r="M291" s="9">
        <f t="shared" si="18"/>
        <v>12932.938999999998</v>
      </c>
      <c r="N291" s="10">
        <f t="shared" si="19"/>
        <v>116396.451</v>
      </c>
      <c r="O291" s="3" t="s">
        <v>38</v>
      </c>
      <c r="P291" s="3" t="s">
        <v>18</v>
      </c>
      <c r="Q291" s="3" t="s">
        <v>60</v>
      </c>
    </row>
    <row r="292" spans="1:17" x14ac:dyDescent="0.25">
      <c r="A292" s="2" t="s">
        <v>551</v>
      </c>
      <c r="B292" s="4">
        <v>45331</v>
      </c>
      <c r="C292" s="4" t="str">
        <f t="shared" si="16"/>
        <v>Feb</v>
      </c>
      <c r="D292" s="2" t="s">
        <v>279</v>
      </c>
      <c r="E292" s="2" t="s">
        <v>83</v>
      </c>
      <c r="F292" s="6" t="s">
        <v>84</v>
      </c>
      <c r="G292" s="2" t="s">
        <v>15</v>
      </c>
      <c r="H292" s="2" t="s">
        <v>163</v>
      </c>
      <c r="I292" s="2">
        <v>2631.36</v>
      </c>
      <c r="J292" s="2">
        <v>1</v>
      </c>
      <c r="K292" s="2">
        <v>0</v>
      </c>
      <c r="L292" s="9">
        <f t="shared" si="17"/>
        <v>2631.36</v>
      </c>
      <c r="M292" s="9">
        <f t="shared" si="18"/>
        <v>0</v>
      </c>
      <c r="N292" s="10">
        <f t="shared" si="19"/>
        <v>2631.36</v>
      </c>
      <c r="O292" s="2" t="s">
        <v>17</v>
      </c>
      <c r="P292" s="2" t="s">
        <v>18</v>
      </c>
      <c r="Q292" s="2" t="s">
        <v>40</v>
      </c>
    </row>
    <row r="293" spans="1:17" x14ac:dyDescent="0.25">
      <c r="A293" s="3" t="s">
        <v>552</v>
      </c>
      <c r="B293" s="4">
        <v>45332</v>
      </c>
      <c r="C293" s="4" t="str">
        <f t="shared" si="16"/>
        <v>Feb</v>
      </c>
      <c r="D293" s="3" t="s">
        <v>553</v>
      </c>
      <c r="E293" s="3" t="s">
        <v>13</v>
      </c>
      <c r="F293" s="3" t="s">
        <v>14</v>
      </c>
      <c r="G293" s="3" t="s">
        <v>72</v>
      </c>
      <c r="H293" s="3" t="s">
        <v>129</v>
      </c>
      <c r="I293" s="3">
        <v>1802.38</v>
      </c>
      <c r="J293" s="3">
        <v>5</v>
      </c>
      <c r="K293" s="3">
        <v>0</v>
      </c>
      <c r="L293" s="9">
        <f t="shared" si="17"/>
        <v>9011.9000000000015</v>
      </c>
      <c r="M293" s="9">
        <f t="shared" si="18"/>
        <v>0</v>
      </c>
      <c r="N293" s="10">
        <f t="shared" si="19"/>
        <v>9011.9000000000015</v>
      </c>
      <c r="O293" s="3" t="s">
        <v>33</v>
      </c>
      <c r="P293" s="3" t="s">
        <v>27</v>
      </c>
      <c r="Q293" s="3" t="s">
        <v>60</v>
      </c>
    </row>
    <row r="294" spans="1:17" x14ac:dyDescent="0.25">
      <c r="A294" s="2" t="s">
        <v>554</v>
      </c>
      <c r="B294" s="4">
        <v>45333</v>
      </c>
      <c r="C294" s="4" t="str">
        <f t="shared" si="16"/>
        <v>Feb</v>
      </c>
      <c r="D294" s="2" t="s">
        <v>555</v>
      </c>
      <c r="E294" s="2" t="s">
        <v>83</v>
      </c>
      <c r="F294" s="2" t="s">
        <v>84</v>
      </c>
      <c r="G294" s="2" t="s">
        <v>110</v>
      </c>
      <c r="H294" s="2" t="s">
        <v>153</v>
      </c>
      <c r="I294" s="2">
        <v>3344.23</v>
      </c>
      <c r="J294" s="2">
        <v>3</v>
      </c>
      <c r="K294" s="2">
        <v>10</v>
      </c>
      <c r="L294" s="9">
        <f t="shared" si="17"/>
        <v>10032.69</v>
      </c>
      <c r="M294" s="9">
        <f t="shared" si="18"/>
        <v>1003.2690000000001</v>
      </c>
      <c r="N294" s="10">
        <f t="shared" si="19"/>
        <v>9029.4210000000003</v>
      </c>
      <c r="O294" s="2" t="s">
        <v>17</v>
      </c>
      <c r="P294" s="2" t="s">
        <v>18</v>
      </c>
      <c r="Q294" s="2" t="s">
        <v>53</v>
      </c>
    </row>
    <row r="295" spans="1:17" x14ac:dyDescent="0.25">
      <c r="A295" s="3" t="s">
        <v>556</v>
      </c>
      <c r="B295" s="4">
        <v>45334</v>
      </c>
      <c r="C295" s="4" t="str">
        <f t="shared" si="16"/>
        <v>Feb</v>
      </c>
      <c r="D295" s="3" t="s">
        <v>557</v>
      </c>
      <c r="E295" s="3" t="s">
        <v>29</v>
      </c>
      <c r="F295" s="3" t="s">
        <v>30</v>
      </c>
      <c r="G295" s="3" t="s">
        <v>15</v>
      </c>
      <c r="H295" s="3" t="s">
        <v>198</v>
      </c>
      <c r="I295" s="3">
        <v>769.63</v>
      </c>
      <c r="J295" s="3">
        <v>4</v>
      </c>
      <c r="K295" s="3">
        <v>5</v>
      </c>
      <c r="L295" s="9">
        <f t="shared" si="17"/>
        <v>3078.52</v>
      </c>
      <c r="M295" s="9">
        <f t="shared" si="18"/>
        <v>153.92600000000002</v>
      </c>
      <c r="N295" s="10">
        <f t="shared" si="19"/>
        <v>2924.5940000000001</v>
      </c>
      <c r="O295" s="3" t="s">
        <v>68</v>
      </c>
      <c r="P295" s="3" t="s">
        <v>18</v>
      </c>
      <c r="Q295" s="3" t="s">
        <v>40</v>
      </c>
    </row>
    <row r="296" spans="1:17" x14ac:dyDescent="0.25">
      <c r="A296" s="2" t="s">
        <v>558</v>
      </c>
      <c r="B296" s="4">
        <v>45335</v>
      </c>
      <c r="C296" s="4" t="str">
        <f t="shared" si="16"/>
        <v>Feb</v>
      </c>
      <c r="D296" s="2" t="s">
        <v>559</v>
      </c>
      <c r="E296" s="2" t="s">
        <v>29</v>
      </c>
      <c r="F296" s="2" t="s">
        <v>30</v>
      </c>
      <c r="G296" s="2" t="s">
        <v>110</v>
      </c>
      <c r="H296" s="2" t="s">
        <v>207</v>
      </c>
      <c r="I296" s="2">
        <v>8175.79</v>
      </c>
      <c r="J296" s="2">
        <v>2</v>
      </c>
      <c r="K296" s="2">
        <v>15</v>
      </c>
      <c r="L296" s="9">
        <f t="shared" si="17"/>
        <v>16351.58</v>
      </c>
      <c r="M296" s="9">
        <f t="shared" si="18"/>
        <v>2452.7370000000001</v>
      </c>
      <c r="N296" s="10">
        <f t="shared" si="19"/>
        <v>13898.843000000001</v>
      </c>
      <c r="O296" s="2" t="s">
        <v>68</v>
      </c>
      <c r="P296" s="2" t="s">
        <v>27</v>
      </c>
      <c r="Q296" s="2" t="s">
        <v>53</v>
      </c>
    </row>
    <row r="297" spans="1:17" x14ac:dyDescent="0.25">
      <c r="A297" s="3" t="s">
        <v>560</v>
      </c>
      <c r="B297" s="4">
        <v>45336</v>
      </c>
      <c r="C297" s="4" t="str">
        <f t="shared" si="16"/>
        <v>Feb</v>
      </c>
      <c r="D297" s="3" t="s">
        <v>131</v>
      </c>
      <c r="E297" s="3" t="s">
        <v>76</v>
      </c>
      <c r="F297" s="3" t="s">
        <v>77</v>
      </c>
      <c r="G297" s="3" t="s">
        <v>31</v>
      </c>
      <c r="H297" s="3" t="s">
        <v>242</v>
      </c>
      <c r="I297" s="3">
        <v>903.1</v>
      </c>
      <c r="J297" s="3">
        <v>3</v>
      </c>
      <c r="K297" s="3">
        <v>15</v>
      </c>
      <c r="L297" s="9">
        <f t="shared" si="17"/>
        <v>2709.3</v>
      </c>
      <c r="M297" s="9">
        <f t="shared" si="18"/>
        <v>406.39499999999998</v>
      </c>
      <c r="N297" s="10">
        <f t="shared" si="19"/>
        <v>2302.9050000000002</v>
      </c>
      <c r="O297" s="3" t="s">
        <v>38</v>
      </c>
      <c r="P297" s="3" t="s">
        <v>18</v>
      </c>
      <c r="Q297" s="3" t="s">
        <v>34</v>
      </c>
    </row>
    <row r="298" spans="1:17" x14ac:dyDescent="0.25">
      <c r="A298" s="2" t="s">
        <v>561</v>
      </c>
      <c r="B298" s="4">
        <v>45337</v>
      </c>
      <c r="C298" s="4" t="str">
        <f t="shared" si="16"/>
        <v>Feb</v>
      </c>
      <c r="D298" s="2" t="s">
        <v>562</v>
      </c>
      <c r="E298" s="2" t="s">
        <v>87</v>
      </c>
      <c r="F298" s="2" t="s">
        <v>88</v>
      </c>
      <c r="G298" s="2" t="s">
        <v>72</v>
      </c>
      <c r="H298" s="2" t="s">
        <v>129</v>
      </c>
      <c r="I298" s="2">
        <v>1717.91</v>
      </c>
      <c r="J298" s="2">
        <v>1</v>
      </c>
      <c r="K298" s="2">
        <v>5</v>
      </c>
      <c r="L298" s="9">
        <f t="shared" si="17"/>
        <v>1717.91</v>
      </c>
      <c r="M298" s="9">
        <f t="shared" si="18"/>
        <v>85.895500000000013</v>
      </c>
      <c r="N298" s="10">
        <f t="shared" si="19"/>
        <v>1632.0145</v>
      </c>
      <c r="O298" s="2" t="s">
        <v>17</v>
      </c>
      <c r="P298" s="2" t="s">
        <v>27</v>
      </c>
      <c r="Q298" s="2" t="s">
        <v>40</v>
      </c>
    </row>
    <row r="299" spans="1:17" x14ac:dyDescent="0.25">
      <c r="A299" s="3" t="s">
        <v>563</v>
      </c>
      <c r="B299" s="4">
        <v>45338</v>
      </c>
      <c r="C299" s="4" t="str">
        <f t="shared" si="16"/>
        <v>Feb</v>
      </c>
      <c r="D299" s="3" t="s">
        <v>42</v>
      </c>
      <c r="E299" s="3" t="s">
        <v>87</v>
      </c>
      <c r="F299" s="3" t="s">
        <v>88</v>
      </c>
      <c r="G299" s="3" t="s">
        <v>36</v>
      </c>
      <c r="H299" s="3" t="s">
        <v>37</v>
      </c>
      <c r="I299" s="3">
        <v>12862.46</v>
      </c>
      <c r="J299" s="3">
        <v>2</v>
      </c>
      <c r="K299" s="3">
        <v>10</v>
      </c>
      <c r="L299" s="9">
        <f t="shared" si="17"/>
        <v>25724.92</v>
      </c>
      <c r="M299" s="9">
        <f t="shared" si="18"/>
        <v>2572.4919999999997</v>
      </c>
      <c r="N299" s="10">
        <f t="shared" si="19"/>
        <v>23152.428</v>
      </c>
      <c r="O299" s="3" t="s">
        <v>26</v>
      </c>
      <c r="P299" s="3" t="s">
        <v>18</v>
      </c>
      <c r="Q299" s="3" t="s">
        <v>40</v>
      </c>
    </row>
    <row r="300" spans="1:17" x14ac:dyDescent="0.25">
      <c r="A300" s="2" t="s">
        <v>564</v>
      </c>
      <c r="B300" s="4">
        <v>45339</v>
      </c>
      <c r="C300" s="4" t="str">
        <f t="shared" si="16"/>
        <v>Feb</v>
      </c>
      <c r="D300" s="2" t="s">
        <v>244</v>
      </c>
      <c r="E300" s="2" t="s">
        <v>22</v>
      </c>
      <c r="F300" s="2" t="s">
        <v>23</v>
      </c>
      <c r="G300" s="2" t="s">
        <v>24</v>
      </c>
      <c r="H300" s="2" t="s">
        <v>170</v>
      </c>
      <c r="I300" s="2">
        <v>1202.1199999999999</v>
      </c>
      <c r="J300" s="2">
        <v>1</v>
      </c>
      <c r="K300" s="2">
        <v>0</v>
      </c>
      <c r="L300" s="9">
        <f t="shared" si="17"/>
        <v>1202.1199999999999</v>
      </c>
      <c r="M300" s="9">
        <f t="shared" si="18"/>
        <v>0</v>
      </c>
      <c r="N300" s="10">
        <f t="shared" si="19"/>
        <v>1202.1199999999999</v>
      </c>
      <c r="O300" s="2" t="s">
        <v>26</v>
      </c>
      <c r="P300" s="2" t="s">
        <v>18</v>
      </c>
      <c r="Q300" s="2" t="s">
        <v>60</v>
      </c>
    </row>
    <row r="301" spans="1:17" x14ac:dyDescent="0.25">
      <c r="A301" s="3" t="s">
        <v>565</v>
      </c>
      <c r="B301" s="4">
        <v>45340</v>
      </c>
      <c r="C301" s="4" t="str">
        <f t="shared" si="16"/>
        <v>Feb</v>
      </c>
      <c r="D301" s="3" t="s">
        <v>488</v>
      </c>
      <c r="E301" s="3" t="s">
        <v>100</v>
      </c>
      <c r="F301" s="3" t="s">
        <v>88</v>
      </c>
      <c r="G301" s="3" t="s">
        <v>72</v>
      </c>
      <c r="H301" s="3" t="s">
        <v>81</v>
      </c>
      <c r="I301" s="3">
        <v>1515.86</v>
      </c>
      <c r="J301" s="3">
        <v>4</v>
      </c>
      <c r="K301" s="3">
        <v>15</v>
      </c>
      <c r="L301" s="9">
        <f t="shared" si="17"/>
        <v>6063.44</v>
      </c>
      <c r="M301" s="9">
        <f t="shared" si="18"/>
        <v>909.51599999999996</v>
      </c>
      <c r="N301" s="10">
        <f t="shared" si="19"/>
        <v>5153.924</v>
      </c>
      <c r="O301" s="3" t="s">
        <v>38</v>
      </c>
      <c r="P301" s="3" t="s">
        <v>18</v>
      </c>
      <c r="Q301" s="3" t="s">
        <v>60</v>
      </c>
    </row>
    <row r="302" spans="1:17" x14ac:dyDescent="0.25">
      <c r="A302" s="2" t="s">
        <v>566</v>
      </c>
      <c r="B302" s="4">
        <v>45341</v>
      </c>
      <c r="C302" s="4" t="str">
        <f t="shared" si="16"/>
        <v>Feb</v>
      </c>
      <c r="D302" s="2" t="s">
        <v>136</v>
      </c>
      <c r="E302" s="2" t="s">
        <v>22</v>
      </c>
      <c r="F302" s="2" t="s">
        <v>23</v>
      </c>
      <c r="G302" s="2" t="s">
        <v>110</v>
      </c>
      <c r="H302" s="2" t="s">
        <v>215</v>
      </c>
      <c r="I302" s="2">
        <v>2309.6999999999998</v>
      </c>
      <c r="J302" s="2">
        <v>1</v>
      </c>
      <c r="K302" s="2">
        <v>0</v>
      </c>
      <c r="L302" s="9">
        <f t="shared" si="17"/>
        <v>2309.6999999999998</v>
      </c>
      <c r="M302" s="9">
        <f t="shared" si="18"/>
        <v>0</v>
      </c>
      <c r="N302" s="10">
        <f t="shared" si="19"/>
        <v>2309.6999999999998</v>
      </c>
      <c r="O302" s="2" t="s">
        <v>26</v>
      </c>
      <c r="P302" s="2" t="s">
        <v>39</v>
      </c>
      <c r="Q302" s="2" t="s">
        <v>19</v>
      </c>
    </row>
    <row r="303" spans="1:17" x14ac:dyDescent="0.25">
      <c r="A303" s="3" t="s">
        <v>567</v>
      </c>
      <c r="B303" s="4">
        <v>45342</v>
      </c>
      <c r="C303" s="4" t="str">
        <f t="shared" si="16"/>
        <v>Feb</v>
      </c>
      <c r="D303" s="3" t="s">
        <v>568</v>
      </c>
      <c r="E303" s="3" t="s">
        <v>76</v>
      </c>
      <c r="F303" s="3" t="s">
        <v>77</v>
      </c>
      <c r="G303" s="3" t="s">
        <v>72</v>
      </c>
      <c r="H303" s="3" t="s">
        <v>137</v>
      </c>
      <c r="I303" s="3">
        <v>2320.35</v>
      </c>
      <c r="J303" s="3">
        <v>3</v>
      </c>
      <c r="K303" s="3">
        <v>0</v>
      </c>
      <c r="L303" s="9">
        <f t="shared" si="17"/>
        <v>6961.0499999999993</v>
      </c>
      <c r="M303" s="9">
        <f t="shared" si="18"/>
        <v>0</v>
      </c>
      <c r="N303" s="10">
        <f t="shared" si="19"/>
        <v>6961.0499999999993</v>
      </c>
      <c r="O303" s="3" t="s">
        <v>68</v>
      </c>
      <c r="P303" s="3" t="s">
        <v>52</v>
      </c>
      <c r="Q303" s="3" t="s">
        <v>60</v>
      </c>
    </row>
    <row r="304" spans="1:17" x14ac:dyDescent="0.25">
      <c r="A304" s="2" t="s">
        <v>569</v>
      </c>
      <c r="B304" s="4">
        <v>45343</v>
      </c>
      <c r="C304" s="4" t="str">
        <f t="shared" si="16"/>
        <v>Feb</v>
      </c>
      <c r="D304" s="2" t="s">
        <v>570</v>
      </c>
      <c r="E304" s="2" t="s">
        <v>47</v>
      </c>
      <c r="F304" s="2" t="s">
        <v>48</v>
      </c>
      <c r="G304" s="2" t="s">
        <v>110</v>
      </c>
      <c r="H304" s="2" t="s">
        <v>215</v>
      </c>
      <c r="I304" s="2">
        <v>2619.79</v>
      </c>
      <c r="J304" s="2">
        <v>2</v>
      </c>
      <c r="K304" s="2">
        <v>0</v>
      </c>
      <c r="L304" s="9">
        <f t="shared" si="17"/>
        <v>5239.58</v>
      </c>
      <c r="M304" s="9">
        <f t="shared" si="18"/>
        <v>0</v>
      </c>
      <c r="N304" s="10">
        <f t="shared" si="19"/>
        <v>5239.58</v>
      </c>
      <c r="O304" s="2" t="s">
        <v>38</v>
      </c>
      <c r="P304" s="2" t="s">
        <v>52</v>
      </c>
      <c r="Q304" s="2" t="s">
        <v>60</v>
      </c>
    </row>
    <row r="305" spans="1:17" x14ac:dyDescent="0.25">
      <c r="A305" s="3" t="s">
        <v>571</v>
      </c>
      <c r="B305" s="4">
        <v>45344</v>
      </c>
      <c r="C305" s="4" t="str">
        <f t="shared" si="16"/>
        <v>Feb</v>
      </c>
      <c r="D305" s="3" t="s">
        <v>572</v>
      </c>
      <c r="E305" s="3" t="s">
        <v>51</v>
      </c>
      <c r="F305" s="3" t="s">
        <v>14</v>
      </c>
      <c r="G305" s="3" t="s">
        <v>24</v>
      </c>
      <c r="H305" s="3" t="s">
        <v>92</v>
      </c>
      <c r="I305" s="3">
        <v>1629.72</v>
      </c>
      <c r="J305" s="3">
        <v>1</v>
      </c>
      <c r="K305" s="3">
        <v>0</v>
      </c>
      <c r="L305" s="9">
        <f t="shared" si="17"/>
        <v>1629.72</v>
      </c>
      <c r="M305" s="9">
        <f t="shared" si="18"/>
        <v>0</v>
      </c>
      <c r="N305" s="10">
        <f t="shared" si="19"/>
        <v>1629.72</v>
      </c>
      <c r="O305" s="3" t="s">
        <v>17</v>
      </c>
      <c r="P305" s="3" t="s">
        <v>18</v>
      </c>
      <c r="Q305" s="3" t="s">
        <v>40</v>
      </c>
    </row>
    <row r="306" spans="1:17" x14ac:dyDescent="0.25">
      <c r="A306" s="2" t="s">
        <v>573</v>
      </c>
      <c r="B306" s="4">
        <v>45345</v>
      </c>
      <c r="C306" s="4" t="str">
        <f t="shared" si="16"/>
        <v>Feb</v>
      </c>
      <c r="D306" s="2" t="s">
        <v>574</v>
      </c>
      <c r="E306" s="2" t="s">
        <v>65</v>
      </c>
      <c r="F306" s="2" t="s">
        <v>66</v>
      </c>
      <c r="G306" s="2" t="s">
        <v>72</v>
      </c>
      <c r="H306" s="2" t="s">
        <v>137</v>
      </c>
      <c r="I306" s="2">
        <v>2025.74</v>
      </c>
      <c r="J306" s="2">
        <v>5</v>
      </c>
      <c r="K306" s="2">
        <v>0</v>
      </c>
      <c r="L306" s="9">
        <f t="shared" si="17"/>
        <v>10128.700000000001</v>
      </c>
      <c r="M306" s="9">
        <f t="shared" si="18"/>
        <v>0</v>
      </c>
      <c r="N306" s="10">
        <f t="shared" si="19"/>
        <v>10128.700000000001</v>
      </c>
      <c r="O306" s="2" t="s">
        <v>33</v>
      </c>
      <c r="P306" s="2" t="s">
        <v>18</v>
      </c>
      <c r="Q306" s="2" t="s">
        <v>40</v>
      </c>
    </row>
    <row r="307" spans="1:17" x14ac:dyDescent="0.25">
      <c r="A307" s="3" t="s">
        <v>575</v>
      </c>
      <c r="B307" s="4">
        <v>45346</v>
      </c>
      <c r="C307" s="4" t="str">
        <f t="shared" si="16"/>
        <v>Feb</v>
      </c>
      <c r="D307" s="3" t="s">
        <v>576</v>
      </c>
      <c r="E307" s="3" t="s">
        <v>22</v>
      </c>
      <c r="F307" s="3" t="s">
        <v>23</v>
      </c>
      <c r="G307" s="3" t="s">
        <v>36</v>
      </c>
      <c r="H307" s="3" t="s">
        <v>49</v>
      </c>
      <c r="I307" s="3">
        <v>161918.62</v>
      </c>
      <c r="J307" s="3">
        <v>5</v>
      </c>
      <c r="K307" s="3">
        <v>10</v>
      </c>
      <c r="L307" s="9">
        <f t="shared" si="17"/>
        <v>809593.1</v>
      </c>
      <c r="M307" s="9">
        <f t="shared" si="18"/>
        <v>80959.31</v>
      </c>
      <c r="N307" s="10">
        <f t="shared" si="19"/>
        <v>728633.79</v>
      </c>
      <c r="O307" s="3" t="s">
        <v>38</v>
      </c>
      <c r="P307" s="3" t="s">
        <v>18</v>
      </c>
      <c r="Q307" s="3" t="s">
        <v>40</v>
      </c>
    </row>
    <row r="308" spans="1:17" x14ac:dyDescent="0.25">
      <c r="A308" s="2" t="s">
        <v>577</v>
      </c>
      <c r="B308" s="4">
        <v>45347</v>
      </c>
      <c r="C308" s="4" t="str">
        <f t="shared" si="16"/>
        <v>Feb</v>
      </c>
      <c r="D308" s="2" t="s">
        <v>203</v>
      </c>
      <c r="E308" s="2" t="s">
        <v>100</v>
      </c>
      <c r="F308" s="2" t="s">
        <v>88</v>
      </c>
      <c r="G308" s="2" t="s">
        <v>15</v>
      </c>
      <c r="H308" s="2" t="s">
        <v>95</v>
      </c>
      <c r="I308" s="2">
        <v>1097.96</v>
      </c>
      <c r="J308" s="2">
        <v>5</v>
      </c>
      <c r="K308" s="2">
        <v>0</v>
      </c>
      <c r="L308" s="9">
        <f t="shared" si="17"/>
        <v>5489.8</v>
      </c>
      <c r="M308" s="9">
        <f t="shared" si="18"/>
        <v>0</v>
      </c>
      <c r="N308" s="10">
        <f t="shared" si="19"/>
        <v>5489.8</v>
      </c>
      <c r="O308" s="2" t="s">
        <v>33</v>
      </c>
      <c r="P308" s="2" t="s">
        <v>27</v>
      </c>
      <c r="Q308" s="2" t="s">
        <v>53</v>
      </c>
    </row>
    <row r="309" spans="1:17" x14ac:dyDescent="0.25">
      <c r="A309" s="3" t="s">
        <v>578</v>
      </c>
      <c r="B309" s="4">
        <v>45348</v>
      </c>
      <c r="C309" s="4" t="str">
        <f t="shared" si="16"/>
        <v>Feb</v>
      </c>
      <c r="D309" s="3" t="s">
        <v>579</v>
      </c>
      <c r="E309" s="3" t="s">
        <v>87</v>
      </c>
      <c r="F309" s="3" t="s">
        <v>88</v>
      </c>
      <c r="G309" s="3" t="s">
        <v>72</v>
      </c>
      <c r="H309" s="3" t="s">
        <v>129</v>
      </c>
      <c r="I309" s="3">
        <v>1872.26</v>
      </c>
      <c r="J309" s="3">
        <v>3</v>
      </c>
      <c r="K309" s="3">
        <v>0</v>
      </c>
      <c r="L309" s="9">
        <f t="shared" si="17"/>
        <v>5616.78</v>
      </c>
      <c r="M309" s="9">
        <f t="shared" si="18"/>
        <v>0</v>
      </c>
      <c r="N309" s="10">
        <f t="shared" si="19"/>
        <v>5616.78</v>
      </c>
      <c r="O309" s="3" t="s">
        <v>33</v>
      </c>
      <c r="P309" s="3" t="s">
        <v>18</v>
      </c>
      <c r="Q309" s="3" t="s">
        <v>53</v>
      </c>
    </row>
    <row r="310" spans="1:17" x14ac:dyDescent="0.25">
      <c r="A310" s="2" t="s">
        <v>580</v>
      </c>
      <c r="B310" s="4">
        <v>45349</v>
      </c>
      <c r="C310" s="4" t="str">
        <f t="shared" si="16"/>
        <v>Feb</v>
      </c>
      <c r="D310" s="2" t="s">
        <v>285</v>
      </c>
      <c r="E310" s="2" t="s">
        <v>29</v>
      </c>
      <c r="F310" s="2" t="s">
        <v>30</v>
      </c>
      <c r="G310" s="2" t="s">
        <v>36</v>
      </c>
      <c r="H310" s="2" t="s">
        <v>49</v>
      </c>
      <c r="I310" s="2">
        <v>138169.73000000001</v>
      </c>
      <c r="J310" s="2">
        <v>4</v>
      </c>
      <c r="K310" s="2">
        <v>10</v>
      </c>
      <c r="L310" s="9">
        <f t="shared" si="17"/>
        <v>552678.92000000004</v>
      </c>
      <c r="M310" s="9">
        <f t="shared" si="18"/>
        <v>55267.892</v>
      </c>
      <c r="N310" s="10">
        <f t="shared" si="19"/>
        <v>497411.02800000005</v>
      </c>
      <c r="O310" s="2" t="s">
        <v>38</v>
      </c>
      <c r="P310" s="2" t="s">
        <v>18</v>
      </c>
      <c r="Q310" s="2" t="s">
        <v>40</v>
      </c>
    </row>
    <row r="311" spans="1:17" x14ac:dyDescent="0.25">
      <c r="A311" s="3" t="s">
        <v>581</v>
      </c>
      <c r="B311" s="4">
        <v>45350</v>
      </c>
      <c r="C311" s="4" t="str">
        <f t="shared" si="16"/>
        <v>Feb</v>
      </c>
      <c r="D311" s="3" t="s">
        <v>570</v>
      </c>
      <c r="E311" s="3" t="s">
        <v>76</v>
      </c>
      <c r="F311" s="3" t="s">
        <v>77</v>
      </c>
      <c r="G311" s="3" t="s">
        <v>31</v>
      </c>
      <c r="H311" s="3" t="s">
        <v>70</v>
      </c>
      <c r="I311" s="3">
        <v>571.79999999999995</v>
      </c>
      <c r="J311" s="3">
        <v>1</v>
      </c>
      <c r="K311" s="3">
        <v>15</v>
      </c>
      <c r="L311" s="9">
        <f t="shared" si="17"/>
        <v>571.79999999999995</v>
      </c>
      <c r="M311" s="9">
        <f t="shared" si="18"/>
        <v>85.77</v>
      </c>
      <c r="N311" s="10">
        <f t="shared" si="19"/>
        <v>486.03</v>
      </c>
      <c r="O311" s="3" t="s">
        <v>26</v>
      </c>
      <c r="P311" s="3" t="s">
        <v>39</v>
      </c>
      <c r="Q311" s="3" t="s">
        <v>34</v>
      </c>
    </row>
    <row r="312" spans="1:17" x14ac:dyDescent="0.25">
      <c r="A312" s="2" t="s">
        <v>582</v>
      </c>
      <c r="B312" s="4">
        <v>45351</v>
      </c>
      <c r="C312" s="4" t="str">
        <f t="shared" si="16"/>
        <v>Feb</v>
      </c>
      <c r="D312" s="2" t="s">
        <v>583</v>
      </c>
      <c r="E312" s="2" t="s">
        <v>13</v>
      </c>
      <c r="F312" s="2" t="s">
        <v>14</v>
      </c>
      <c r="G312" s="2" t="s">
        <v>24</v>
      </c>
      <c r="H312" s="2" t="s">
        <v>108</v>
      </c>
      <c r="I312" s="2">
        <v>7437.32</v>
      </c>
      <c r="J312" s="2">
        <v>2</v>
      </c>
      <c r="K312" s="2">
        <v>15</v>
      </c>
      <c r="L312" s="9">
        <f t="shared" si="17"/>
        <v>14874.64</v>
      </c>
      <c r="M312" s="9">
        <f t="shared" si="18"/>
        <v>2231.1959999999999</v>
      </c>
      <c r="N312" s="10">
        <f t="shared" si="19"/>
        <v>12643.444</v>
      </c>
      <c r="O312" s="2" t="s">
        <v>33</v>
      </c>
      <c r="P312" s="2" t="s">
        <v>52</v>
      </c>
      <c r="Q312" s="2" t="s">
        <v>40</v>
      </c>
    </row>
    <row r="313" spans="1:17" x14ac:dyDescent="0.25">
      <c r="A313" s="3" t="s">
        <v>584</v>
      </c>
      <c r="B313" s="4">
        <v>45352</v>
      </c>
      <c r="C313" s="4" t="str">
        <f t="shared" si="16"/>
        <v>Mar</v>
      </c>
      <c r="D313" s="3" t="s">
        <v>579</v>
      </c>
      <c r="E313" s="3" t="s">
        <v>100</v>
      </c>
      <c r="F313" s="3" t="s">
        <v>88</v>
      </c>
      <c r="G313" s="3" t="s">
        <v>36</v>
      </c>
      <c r="H313" s="3" t="s">
        <v>37</v>
      </c>
      <c r="I313" s="3">
        <v>12851.04</v>
      </c>
      <c r="J313" s="3">
        <v>5</v>
      </c>
      <c r="K313" s="3">
        <v>0</v>
      </c>
      <c r="L313" s="9">
        <f t="shared" si="17"/>
        <v>64255.200000000004</v>
      </c>
      <c r="M313" s="9">
        <f t="shared" si="18"/>
        <v>0</v>
      </c>
      <c r="N313" s="10">
        <f t="shared" si="19"/>
        <v>64255.200000000004</v>
      </c>
      <c r="O313" s="3" t="s">
        <v>26</v>
      </c>
      <c r="P313" s="3" t="s">
        <v>18</v>
      </c>
      <c r="Q313" s="3" t="s">
        <v>60</v>
      </c>
    </row>
    <row r="314" spans="1:17" x14ac:dyDescent="0.25">
      <c r="A314" s="2" t="s">
        <v>585</v>
      </c>
      <c r="B314" s="4">
        <v>45353</v>
      </c>
      <c r="C314" s="4" t="str">
        <f t="shared" si="16"/>
        <v>Mar</v>
      </c>
      <c r="D314" s="2" t="s">
        <v>390</v>
      </c>
      <c r="E314" s="2" t="s">
        <v>13</v>
      </c>
      <c r="F314" s="2" t="s">
        <v>14</v>
      </c>
      <c r="G314" s="2" t="s">
        <v>36</v>
      </c>
      <c r="H314" s="2" t="s">
        <v>49</v>
      </c>
      <c r="I314" s="2">
        <v>138921.46</v>
      </c>
      <c r="J314" s="2">
        <v>4</v>
      </c>
      <c r="K314" s="2">
        <v>0</v>
      </c>
      <c r="L314" s="9">
        <f t="shared" si="17"/>
        <v>555685.84</v>
      </c>
      <c r="M314" s="9">
        <f t="shared" si="18"/>
        <v>0</v>
      </c>
      <c r="N314" s="10">
        <f t="shared" si="19"/>
        <v>555685.84</v>
      </c>
      <c r="O314" s="2" t="s">
        <v>68</v>
      </c>
      <c r="P314" s="2" t="s">
        <v>52</v>
      </c>
      <c r="Q314" s="2" t="s">
        <v>19</v>
      </c>
    </row>
    <row r="315" spans="1:17" x14ac:dyDescent="0.25">
      <c r="A315" s="3" t="s">
        <v>586</v>
      </c>
      <c r="B315" s="4">
        <v>45354</v>
      </c>
      <c r="C315" s="4" t="str">
        <f t="shared" si="16"/>
        <v>Mar</v>
      </c>
      <c r="D315" s="3" t="s">
        <v>433</v>
      </c>
      <c r="E315" s="3" t="s">
        <v>22</v>
      </c>
      <c r="F315" s="3" t="s">
        <v>23</v>
      </c>
      <c r="G315" s="3" t="s">
        <v>24</v>
      </c>
      <c r="H315" s="3" t="s">
        <v>170</v>
      </c>
      <c r="I315" s="3">
        <v>1186.42</v>
      </c>
      <c r="J315" s="3">
        <v>2</v>
      </c>
      <c r="K315" s="3">
        <v>5</v>
      </c>
      <c r="L315" s="9">
        <f t="shared" si="17"/>
        <v>2372.84</v>
      </c>
      <c r="M315" s="9">
        <f t="shared" si="18"/>
        <v>118.64200000000001</v>
      </c>
      <c r="N315" s="10">
        <f t="shared" si="19"/>
        <v>2254.1980000000003</v>
      </c>
      <c r="O315" s="3" t="s">
        <v>38</v>
      </c>
      <c r="P315" s="3" t="s">
        <v>18</v>
      </c>
      <c r="Q315" s="3" t="s">
        <v>40</v>
      </c>
    </row>
    <row r="316" spans="1:17" x14ac:dyDescent="0.25">
      <c r="A316" s="2" t="s">
        <v>587</v>
      </c>
      <c r="B316" s="4">
        <v>45355</v>
      </c>
      <c r="C316" s="4" t="str">
        <f t="shared" si="16"/>
        <v>Mar</v>
      </c>
      <c r="D316" s="2" t="s">
        <v>442</v>
      </c>
      <c r="E316" s="2" t="s">
        <v>29</v>
      </c>
      <c r="F316" s="2" t="s">
        <v>30</v>
      </c>
      <c r="G316" s="2" t="s">
        <v>43</v>
      </c>
      <c r="H316" s="2" t="s">
        <v>145</v>
      </c>
      <c r="I316" s="2">
        <v>11990.7</v>
      </c>
      <c r="J316" s="2">
        <v>4</v>
      </c>
      <c r="K316" s="2">
        <v>0</v>
      </c>
      <c r="L316" s="9">
        <f t="shared" si="17"/>
        <v>47962.8</v>
      </c>
      <c r="M316" s="9">
        <f t="shared" si="18"/>
        <v>0</v>
      </c>
      <c r="N316" s="10">
        <f t="shared" si="19"/>
        <v>47962.8</v>
      </c>
      <c r="O316" s="2" t="s">
        <v>33</v>
      </c>
      <c r="P316" s="2" t="s">
        <v>18</v>
      </c>
      <c r="Q316" s="2" t="s">
        <v>34</v>
      </c>
    </row>
    <row r="317" spans="1:17" x14ac:dyDescent="0.25">
      <c r="A317" s="3" t="s">
        <v>588</v>
      </c>
      <c r="B317" s="4">
        <v>45356</v>
      </c>
      <c r="C317" s="4" t="str">
        <f t="shared" si="16"/>
        <v>Mar</v>
      </c>
      <c r="D317" s="3" t="s">
        <v>288</v>
      </c>
      <c r="E317" s="3" t="s">
        <v>47</v>
      </c>
      <c r="F317" s="3" t="s">
        <v>48</v>
      </c>
      <c r="G317" s="3" t="s">
        <v>43</v>
      </c>
      <c r="H317" s="3" t="s">
        <v>127</v>
      </c>
      <c r="I317" s="3">
        <v>4988.1099999999997</v>
      </c>
      <c r="J317" s="3">
        <v>5</v>
      </c>
      <c r="K317" s="3">
        <v>5</v>
      </c>
      <c r="L317" s="9">
        <f t="shared" si="17"/>
        <v>24940.55</v>
      </c>
      <c r="M317" s="9">
        <f t="shared" si="18"/>
        <v>1247.0274999999999</v>
      </c>
      <c r="N317" s="10">
        <f t="shared" si="19"/>
        <v>23693.522499999999</v>
      </c>
      <c r="O317" s="3" t="s">
        <v>26</v>
      </c>
      <c r="P317" s="3" t="s">
        <v>27</v>
      </c>
      <c r="Q317" s="3" t="s">
        <v>34</v>
      </c>
    </row>
    <row r="318" spans="1:17" x14ac:dyDescent="0.25">
      <c r="A318" s="2" t="s">
        <v>589</v>
      </c>
      <c r="B318" s="4">
        <v>45357</v>
      </c>
      <c r="C318" s="4" t="str">
        <f t="shared" si="16"/>
        <v>Mar</v>
      </c>
      <c r="D318" s="2" t="s">
        <v>590</v>
      </c>
      <c r="E318" s="2" t="s">
        <v>76</v>
      </c>
      <c r="F318" s="2" t="s">
        <v>77</v>
      </c>
      <c r="G318" s="2" t="s">
        <v>36</v>
      </c>
      <c r="H318" s="2" t="s">
        <v>78</v>
      </c>
      <c r="I318" s="2">
        <v>81256.19</v>
      </c>
      <c r="J318" s="2">
        <v>2</v>
      </c>
      <c r="K318" s="2">
        <v>0</v>
      </c>
      <c r="L318" s="9">
        <f t="shared" si="17"/>
        <v>162512.38</v>
      </c>
      <c r="M318" s="9">
        <f t="shared" si="18"/>
        <v>0</v>
      </c>
      <c r="N318" s="10">
        <f t="shared" si="19"/>
        <v>162512.38</v>
      </c>
      <c r="O318" s="2" t="s">
        <v>26</v>
      </c>
      <c r="P318" s="2" t="s">
        <v>27</v>
      </c>
      <c r="Q318" s="2" t="s">
        <v>19</v>
      </c>
    </row>
    <row r="319" spans="1:17" x14ac:dyDescent="0.25">
      <c r="A319" s="3" t="s">
        <v>591</v>
      </c>
      <c r="B319" s="4">
        <v>45358</v>
      </c>
      <c r="C319" s="4" t="str">
        <f t="shared" si="16"/>
        <v>Mar</v>
      </c>
      <c r="D319" s="3" t="s">
        <v>555</v>
      </c>
      <c r="E319" s="3" t="s">
        <v>13</v>
      </c>
      <c r="F319" s="3" t="s">
        <v>14</v>
      </c>
      <c r="G319" s="3" t="s">
        <v>43</v>
      </c>
      <c r="H319" s="3" t="s">
        <v>105</v>
      </c>
      <c r="I319" s="3">
        <v>2788.62</v>
      </c>
      <c r="J319" s="3">
        <v>4</v>
      </c>
      <c r="K319" s="3">
        <v>5</v>
      </c>
      <c r="L319" s="9">
        <f t="shared" si="17"/>
        <v>11154.48</v>
      </c>
      <c r="M319" s="9">
        <f t="shared" si="18"/>
        <v>557.72399999999993</v>
      </c>
      <c r="N319" s="10">
        <f t="shared" si="19"/>
        <v>10596.755999999999</v>
      </c>
      <c r="O319" s="3" t="s">
        <v>17</v>
      </c>
      <c r="P319" s="3" t="s">
        <v>52</v>
      </c>
      <c r="Q319" s="3" t="s">
        <v>34</v>
      </c>
    </row>
    <row r="320" spans="1:17" x14ac:dyDescent="0.25">
      <c r="A320" s="2" t="s">
        <v>592</v>
      </c>
      <c r="B320" s="4">
        <v>45359</v>
      </c>
      <c r="C320" s="4" t="str">
        <f t="shared" si="16"/>
        <v>Mar</v>
      </c>
      <c r="D320" s="2" t="s">
        <v>62</v>
      </c>
      <c r="E320" s="2" t="s">
        <v>13</v>
      </c>
      <c r="F320" s="2" t="s">
        <v>14</v>
      </c>
      <c r="G320" s="2" t="s">
        <v>31</v>
      </c>
      <c r="H320" s="2" t="s">
        <v>242</v>
      </c>
      <c r="I320" s="2">
        <v>849.42</v>
      </c>
      <c r="J320" s="2">
        <v>3</v>
      </c>
      <c r="K320" s="2">
        <v>10</v>
      </c>
      <c r="L320" s="9">
        <f t="shared" si="17"/>
        <v>2548.2599999999998</v>
      </c>
      <c r="M320" s="9">
        <f t="shared" si="18"/>
        <v>254.82599999999999</v>
      </c>
      <c r="N320" s="10">
        <f t="shared" si="19"/>
        <v>2293.4339999999997</v>
      </c>
      <c r="O320" s="2" t="s">
        <v>33</v>
      </c>
      <c r="P320" s="2" t="s">
        <v>52</v>
      </c>
      <c r="Q320" s="2" t="s">
        <v>34</v>
      </c>
    </row>
    <row r="321" spans="1:17" x14ac:dyDescent="0.25">
      <c r="A321" s="3" t="s">
        <v>593</v>
      </c>
      <c r="B321" s="4">
        <v>45360</v>
      </c>
      <c r="C321" s="4" t="str">
        <f t="shared" si="16"/>
        <v>Mar</v>
      </c>
      <c r="D321" s="3" t="s">
        <v>200</v>
      </c>
      <c r="E321" s="3" t="s">
        <v>22</v>
      </c>
      <c r="F321" s="3" t="s">
        <v>23</v>
      </c>
      <c r="G321" s="3" t="s">
        <v>24</v>
      </c>
      <c r="H321" s="3" t="s">
        <v>170</v>
      </c>
      <c r="I321" s="3">
        <v>1137.8800000000001</v>
      </c>
      <c r="J321" s="3">
        <v>5</v>
      </c>
      <c r="K321" s="3">
        <v>0</v>
      </c>
      <c r="L321" s="9">
        <f t="shared" si="17"/>
        <v>5689.4000000000005</v>
      </c>
      <c r="M321" s="9">
        <f t="shared" si="18"/>
        <v>0</v>
      </c>
      <c r="N321" s="10">
        <f t="shared" si="19"/>
        <v>5689.4000000000005</v>
      </c>
      <c r="O321" s="3" t="s">
        <v>26</v>
      </c>
      <c r="P321" s="3" t="s">
        <v>52</v>
      </c>
      <c r="Q321" s="3" t="s">
        <v>60</v>
      </c>
    </row>
    <row r="322" spans="1:17" x14ac:dyDescent="0.25">
      <c r="A322" s="2" t="s">
        <v>594</v>
      </c>
      <c r="B322" s="4">
        <v>45361</v>
      </c>
      <c r="C322" s="4" t="str">
        <f t="shared" ref="C322:C385" si="20">TEXT(B322,"mmm")</f>
        <v>Mar</v>
      </c>
      <c r="D322" s="2" t="s">
        <v>435</v>
      </c>
      <c r="E322" s="2" t="s">
        <v>51</v>
      </c>
      <c r="F322" s="2" t="s">
        <v>14</v>
      </c>
      <c r="G322" s="2" t="s">
        <v>110</v>
      </c>
      <c r="H322" s="2" t="s">
        <v>215</v>
      </c>
      <c r="I322" s="2">
        <v>2653.11</v>
      </c>
      <c r="J322" s="2">
        <v>3</v>
      </c>
      <c r="K322" s="2">
        <v>10</v>
      </c>
      <c r="L322" s="9">
        <f t="shared" ref="L322:L385" si="21">J322*I322</f>
        <v>7959.33</v>
      </c>
      <c r="M322" s="9">
        <f t="shared" ref="M322:M385" si="22">L322*K322/100</f>
        <v>795.93299999999999</v>
      </c>
      <c r="N322" s="10">
        <f t="shared" ref="N322:N385" si="23">L322-M322</f>
        <v>7163.3969999999999</v>
      </c>
      <c r="O322" s="2" t="s">
        <v>68</v>
      </c>
      <c r="P322" s="2" t="s">
        <v>27</v>
      </c>
      <c r="Q322" s="2" t="s">
        <v>34</v>
      </c>
    </row>
    <row r="323" spans="1:17" x14ac:dyDescent="0.25">
      <c r="A323" s="3" t="s">
        <v>595</v>
      </c>
      <c r="B323" s="4">
        <v>45362</v>
      </c>
      <c r="C323" s="4" t="str">
        <f t="shared" si="20"/>
        <v>Mar</v>
      </c>
      <c r="D323" s="3" t="s">
        <v>596</v>
      </c>
      <c r="E323" s="3" t="s">
        <v>29</v>
      </c>
      <c r="F323" s="3" t="s">
        <v>30</v>
      </c>
      <c r="G323" s="3" t="s">
        <v>24</v>
      </c>
      <c r="H323" s="3" t="s">
        <v>134</v>
      </c>
      <c r="I323" s="3">
        <v>2521.06</v>
      </c>
      <c r="J323" s="3">
        <v>2</v>
      </c>
      <c r="K323" s="3">
        <v>0</v>
      </c>
      <c r="L323" s="9">
        <f t="shared" si="21"/>
        <v>5042.12</v>
      </c>
      <c r="M323" s="9">
        <f t="shared" si="22"/>
        <v>0</v>
      </c>
      <c r="N323" s="10">
        <f t="shared" si="23"/>
        <v>5042.12</v>
      </c>
      <c r="O323" s="3" t="s">
        <v>68</v>
      </c>
      <c r="P323" s="3" t="s">
        <v>18</v>
      </c>
      <c r="Q323" s="3" t="s">
        <v>40</v>
      </c>
    </row>
    <row r="324" spans="1:17" x14ac:dyDescent="0.25">
      <c r="A324" s="2" t="s">
        <v>597</v>
      </c>
      <c r="B324" s="4">
        <v>45363</v>
      </c>
      <c r="C324" s="4" t="str">
        <f t="shared" si="20"/>
        <v>Mar</v>
      </c>
      <c r="D324" s="2" t="s">
        <v>598</v>
      </c>
      <c r="E324" s="2" t="s">
        <v>13</v>
      </c>
      <c r="F324" s="2" t="s">
        <v>14</v>
      </c>
      <c r="G324" s="2" t="s">
        <v>110</v>
      </c>
      <c r="H324" s="2" t="s">
        <v>67</v>
      </c>
      <c r="I324" s="2">
        <v>4050.62</v>
      </c>
      <c r="J324" s="2">
        <v>5</v>
      </c>
      <c r="K324" s="2">
        <v>0</v>
      </c>
      <c r="L324" s="9">
        <f t="shared" si="21"/>
        <v>20253.099999999999</v>
      </c>
      <c r="M324" s="9">
        <f t="shared" si="22"/>
        <v>0</v>
      </c>
      <c r="N324" s="10">
        <f t="shared" si="23"/>
        <v>20253.099999999999</v>
      </c>
      <c r="O324" s="2" t="s">
        <v>26</v>
      </c>
      <c r="P324" s="2" t="s">
        <v>18</v>
      </c>
      <c r="Q324" s="2" t="s">
        <v>53</v>
      </c>
    </row>
    <row r="325" spans="1:17" x14ac:dyDescent="0.25">
      <c r="A325" s="3" t="s">
        <v>599</v>
      </c>
      <c r="B325" s="4">
        <v>45364</v>
      </c>
      <c r="C325" s="4" t="str">
        <f t="shared" si="20"/>
        <v>Mar</v>
      </c>
      <c r="D325" s="3" t="s">
        <v>21</v>
      </c>
      <c r="E325" s="3" t="s">
        <v>100</v>
      </c>
      <c r="F325" s="3" t="s">
        <v>88</v>
      </c>
      <c r="G325" s="3" t="s">
        <v>110</v>
      </c>
      <c r="H325" s="3" t="s">
        <v>153</v>
      </c>
      <c r="I325" s="3">
        <v>3692.06</v>
      </c>
      <c r="J325" s="3">
        <v>5</v>
      </c>
      <c r="K325" s="3">
        <v>10</v>
      </c>
      <c r="L325" s="9">
        <f t="shared" si="21"/>
        <v>18460.3</v>
      </c>
      <c r="M325" s="9">
        <f t="shared" si="22"/>
        <v>1846.03</v>
      </c>
      <c r="N325" s="10">
        <f t="shared" si="23"/>
        <v>16614.27</v>
      </c>
      <c r="O325" s="3" t="s">
        <v>68</v>
      </c>
      <c r="P325" s="3" t="s">
        <v>18</v>
      </c>
      <c r="Q325" s="3" t="s">
        <v>60</v>
      </c>
    </row>
    <row r="326" spans="1:17" x14ac:dyDescent="0.25">
      <c r="A326" s="2" t="s">
        <v>600</v>
      </c>
      <c r="B326" s="4">
        <v>45365</v>
      </c>
      <c r="C326" s="4" t="str">
        <f t="shared" si="20"/>
        <v>Mar</v>
      </c>
      <c r="D326" s="2" t="s">
        <v>601</v>
      </c>
      <c r="E326" s="2" t="s">
        <v>47</v>
      </c>
      <c r="F326" s="2" t="s">
        <v>48</v>
      </c>
      <c r="G326" s="2" t="s">
        <v>31</v>
      </c>
      <c r="H326" s="2" t="s">
        <v>186</v>
      </c>
      <c r="I326" s="2">
        <v>876.14</v>
      </c>
      <c r="J326" s="2">
        <v>4</v>
      </c>
      <c r="K326" s="2">
        <v>0</v>
      </c>
      <c r="L326" s="9">
        <f t="shared" si="21"/>
        <v>3504.56</v>
      </c>
      <c r="M326" s="9">
        <f t="shared" si="22"/>
        <v>0</v>
      </c>
      <c r="N326" s="10">
        <f t="shared" si="23"/>
        <v>3504.56</v>
      </c>
      <c r="O326" s="2" t="s">
        <v>33</v>
      </c>
      <c r="P326" s="2" t="s">
        <v>27</v>
      </c>
      <c r="Q326" s="2" t="s">
        <v>34</v>
      </c>
    </row>
    <row r="327" spans="1:17" x14ac:dyDescent="0.25">
      <c r="A327" s="3" t="s">
        <v>602</v>
      </c>
      <c r="B327" s="4">
        <v>45366</v>
      </c>
      <c r="C327" s="4" t="str">
        <f t="shared" si="20"/>
        <v>Mar</v>
      </c>
      <c r="D327" s="3" t="s">
        <v>500</v>
      </c>
      <c r="E327" s="3" t="s">
        <v>29</v>
      </c>
      <c r="F327" s="3" t="s">
        <v>30</v>
      </c>
      <c r="G327" s="3" t="s">
        <v>72</v>
      </c>
      <c r="H327" s="3" t="s">
        <v>137</v>
      </c>
      <c r="I327" s="3">
        <v>2078.2199999999998</v>
      </c>
      <c r="J327" s="3">
        <v>5</v>
      </c>
      <c r="K327" s="3">
        <v>0</v>
      </c>
      <c r="L327" s="9">
        <f t="shared" si="21"/>
        <v>10391.099999999999</v>
      </c>
      <c r="M327" s="9">
        <f t="shared" si="22"/>
        <v>0</v>
      </c>
      <c r="N327" s="10">
        <f t="shared" si="23"/>
        <v>10391.099999999999</v>
      </c>
      <c r="O327" s="3" t="s">
        <v>33</v>
      </c>
      <c r="P327" s="3" t="s">
        <v>18</v>
      </c>
      <c r="Q327" s="3" t="s">
        <v>34</v>
      </c>
    </row>
    <row r="328" spans="1:17" x14ac:dyDescent="0.25">
      <c r="A328" s="2" t="s">
        <v>603</v>
      </c>
      <c r="B328" s="4">
        <v>45367</v>
      </c>
      <c r="C328" s="4" t="str">
        <f t="shared" si="20"/>
        <v>Mar</v>
      </c>
      <c r="D328" s="2" t="s">
        <v>326</v>
      </c>
      <c r="E328" s="2" t="s">
        <v>13</v>
      </c>
      <c r="F328" s="2" t="s">
        <v>14</v>
      </c>
      <c r="G328" s="2" t="s">
        <v>15</v>
      </c>
      <c r="H328" s="2" t="s">
        <v>56</v>
      </c>
      <c r="I328" s="2">
        <v>1760.98</v>
      </c>
      <c r="J328" s="2">
        <v>5</v>
      </c>
      <c r="K328" s="2">
        <v>10</v>
      </c>
      <c r="L328" s="9">
        <f t="shared" si="21"/>
        <v>8804.9</v>
      </c>
      <c r="M328" s="9">
        <f t="shared" si="22"/>
        <v>880.49</v>
      </c>
      <c r="N328" s="10">
        <f t="shared" si="23"/>
        <v>7924.41</v>
      </c>
      <c r="O328" s="2" t="s">
        <v>26</v>
      </c>
      <c r="P328" s="2" t="s">
        <v>52</v>
      </c>
      <c r="Q328" s="2" t="s">
        <v>34</v>
      </c>
    </row>
    <row r="329" spans="1:17" x14ac:dyDescent="0.25">
      <c r="A329" s="3" t="s">
        <v>604</v>
      </c>
      <c r="B329" s="4">
        <v>45368</v>
      </c>
      <c r="C329" s="4" t="str">
        <f t="shared" si="20"/>
        <v>Mar</v>
      </c>
      <c r="D329" s="3" t="s">
        <v>605</v>
      </c>
      <c r="E329" s="3" t="s">
        <v>29</v>
      </c>
      <c r="F329" s="3" t="s">
        <v>30</v>
      </c>
      <c r="G329" s="3" t="s">
        <v>36</v>
      </c>
      <c r="H329" s="3" t="s">
        <v>37</v>
      </c>
      <c r="I329" s="3">
        <v>11137.54</v>
      </c>
      <c r="J329" s="3">
        <v>1</v>
      </c>
      <c r="K329" s="3">
        <v>15</v>
      </c>
      <c r="L329" s="9">
        <f t="shared" si="21"/>
        <v>11137.54</v>
      </c>
      <c r="M329" s="9">
        <f t="shared" si="22"/>
        <v>1670.6310000000001</v>
      </c>
      <c r="N329" s="10">
        <f t="shared" si="23"/>
        <v>9466.9090000000015</v>
      </c>
      <c r="O329" s="3" t="s">
        <v>38</v>
      </c>
      <c r="P329" s="3" t="s">
        <v>18</v>
      </c>
      <c r="Q329" s="3" t="s">
        <v>53</v>
      </c>
    </row>
    <row r="330" spans="1:17" x14ac:dyDescent="0.25">
      <c r="A330" s="2" t="s">
        <v>606</v>
      </c>
      <c r="B330" s="4">
        <v>45369</v>
      </c>
      <c r="C330" s="4" t="str">
        <f t="shared" si="20"/>
        <v>Mar</v>
      </c>
      <c r="D330" s="2" t="s">
        <v>80</v>
      </c>
      <c r="E330" s="2" t="s">
        <v>87</v>
      </c>
      <c r="F330" s="2" t="s">
        <v>88</v>
      </c>
      <c r="G330" s="2" t="s">
        <v>43</v>
      </c>
      <c r="H330" s="2" t="s">
        <v>44</v>
      </c>
      <c r="I330" s="2">
        <v>3335.65</v>
      </c>
      <c r="J330" s="2">
        <v>2</v>
      </c>
      <c r="K330" s="2">
        <v>0</v>
      </c>
      <c r="L330" s="9">
        <f t="shared" si="21"/>
        <v>6671.3</v>
      </c>
      <c r="M330" s="9">
        <f t="shared" si="22"/>
        <v>0</v>
      </c>
      <c r="N330" s="10">
        <f t="shared" si="23"/>
        <v>6671.3</v>
      </c>
      <c r="O330" s="2" t="s">
        <v>68</v>
      </c>
      <c r="P330" s="2" t="s">
        <v>18</v>
      </c>
      <c r="Q330" s="2" t="s">
        <v>34</v>
      </c>
    </row>
    <row r="331" spans="1:17" x14ac:dyDescent="0.25">
      <c r="A331" s="3" t="s">
        <v>607</v>
      </c>
      <c r="B331" s="4">
        <v>45370</v>
      </c>
      <c r="C331" s="4" t="str">
        <f t="shared" si="20"/>
        <v>Mar</v>
      </c>
      <c r="D331" s="3" t="s">
        <v>411</v>
      </c>
      <c r="E331" s="3" t="s">
        <v>13</v>
      </c>
      <c r="F331" s="3" t="s">
        <v>14</v>
      </c>
      <c r="G331" s="3" t="s">
        <v>43</v>
      </c>
      <c r="H331" s="3" t="s">
        <v>145</v>
      </c>
      <c r="I331" s="3">
        <v>12558.2</v>
      </c>
      <c r="J331" s="3">
        <v>2</v>
      </c>
      <c r="K331" s="3">
        <v>10</v>
      </c>
      <c r="L331" s="9">
        <f t="shared" si="21"/>
        <v>25116.400000000001</v>
      </c>
      <c r="M331" s="9">
        <f t="shared" si="22"/>
        <v>2511.64</v>
      </c>
      <c r="N331" s="10">
        <f t="shared" si="23"/>
        <v>22604.760000000002</v>
      </c>
      <c r="O331" s="3" t="s">
        <v>33</v>
      </c>
      <c r="P331" s="3" t="s">
        <v>18</v>
      </c>
      <c r="Q331" s="3" t="s">
        <v>34</v>
      </c>
    </row>
    <row r="332" spans="1:17" x14ac:dyDescent="0.25">
      <c r="A332" s="2" t="s">
        <v>608</v>
      </c>
      <c r="B332" s="4">
        <v>45371</v>
      </c>
      <c r="C332" s="4" t="str">
        <f t="shared" si="20"/>
        <v>Mar</v>
      </c>
      <c r="D332" s="2" t="s">
        <v>568</v>
      </c>
      <c r="E332" s="2" t="s">
        <v>76</v>
      </c>
      <c r="F332" s="2" t="s">
        <v>77</v>
      </c>
      <c r="G332" s="2" t="s">
        <v>72</v>
      </c>
      <c r="H332" s="2" t="s">
        <v>73</v>
      </c>
      <c r="I332" s="2">
        <v>360.57</v>
      </c>
      <c r="J332" s="2">
        <v>2</v>
      </c>
      <c r="K332" s="2">
        <v>0</v>
      </c>
      <c r="L332" s="9">
        <f t="shared" si="21"/>
        <v>721.14</v>
      </c>
      <c r="M332" s="9">
        <f t="shared" si="22"/>
        <v>0</v>
      </c>
      <c r="N332" s="10">
        <f t="shared" si="23"/>
        <v>721.14</v>
      </c>
      <c r="O332" s="2" t="s">
        <v>33</v>
      </c>
      <c r="P332" s="2" t="s">
        <v>18</v>
      </c>
      <c r="Q332" s="2" t="s">
        <v>40</v>
      </c>
    </row>
    <row r="333" spans="1:17" x14ac:dyDescent="0.25">
      <c r="A333" s="3" t="s">
        <v>609</v>
      </c>
      <c r="B333" s="4">
        <v>45372</v>
      </c>
      <c r="C333" s="4" t="str">
        <f t="shared" si="20"/>
        <v>Mar</v>
      </c>
      <c r="D333" s="3" t="s">
        <v>610</v>
      </c>
      <c r="E333" s="3" t="s">
        <v>47</v>
      </c>
      <c r="F333" s="3" t="s">
        <v>48</v>
      </c>
      <c r="G333" s="3" t="s">
        <v>36</v>
      </c>
      <c r="H333" s="3" t="s">
        <v>78</v>
      </c>
      <c r="I333" s="3">
        <v>82310.740000000005</v>
      </c>
      <c r="J333" s="3">
        <v>4</v>
      </c>
      <c r="K333" s="3">
        <v>0</v>
      </c>
      <c r="L333" s="9">
        <f t="shared" si="21"/>
        <v>329242.96000000002</v>
      </c>
      <c r="M333" s="9">
        <f t="shared" si="22"/>
        <v>0</v>
      </c>
      <c r="N333" s="10">
        <f t="shared" si="23"/>
        <v>329242.96000000002</v>
      </c>
      <c r="O333" s="3" t="s">
        <v>68</v>
      </c>
      <c r="P333" s="3" t="s">
        <v>52</v>
      </c>
      <c r="Q333" s="3" t="s">
        <v>40</v>
      </c>
    </row>
    <row r="334" spans="1:17" x14ac:dyDescent="0.25">
      <c r="A334" s="2" t="s">
        <v>611</v>
      </c>
      <c r="B334" s="4">
        <v>45373</v>
      </c>
      <c r="C334" s="4" t="str">
        <f t="shared" si="20"/>
        <v>Mar</v>
      </c>
      <c r="D334" s="2" t="s">
        <v>173</v>
      </c>
      <c r="E334" s="2" t="s">
        <v>76</v>
      </c>
      <c r="F334" s="2" t="s">
        <v>77</v>
      </c>
      <c r="G334" s="2" t="s">
        <v>15</v>
      </c>
      <c r="H334" s="2" t="s">
        <v>198</v>
      </c>
      <c r="I334" s="2">
        <v>789.01</v>
      </c>
      <c r="J334" s="2">
        <v>2</v>
      </c>
      <c r="K334" s="2">
        <v>0</v>
      </c>
      <c r="L334" s="9">
        <f t="shared" si="21"/>
        <v>1578.02</v>
      </c>
      <c r="M334" s="9">
        <f t="shared" si="22"/>
        <v>0</v>
      </c>
      <c r="N334" s="10">
        <f t="shared" si="23"/>
        <v>1578.02</v>
      </c>
      <c r="O334" s="2" t="s">
        <v>33</v>
      </c>
      <c r="P334" s="2" t="s">
        <v>18</v>
      </c>
      <c r="Q334" s="2" t="s">
        <v>40</v>
      </c>
    </row>
    <row r="335" spans="1:17" x14ac:dyDescent="0.25">
      <c r="A335" s="3" t="s">
        <v>612</v>
      </c>
      <c r="B335" s="4">
        <v>45374</v>
      </c>
      <c r="C335" s="4" t="str">
        <f t="shared" si="20"/>
        <v>Mar</v>
      </c>
      <c r="D335" s="3" t="s">
        <v>613</v>
      </c>
      <c r="E335" s="3" t="s">
        <v>51</v>
      </c>
      <c r="F335" s="3" t="s">
        <v>14</v>
      </c>
      <c r="G335" s="3" t="s">
        <v>43</v>
      </c>
      <c r="H335" s="3" t="s">
        <v>89</v>
      </c>
      <c r="I335" s="3">
        <v>4699.83</v>
      </c>
      <c r="J335" s="3">
        <v>5</v>
      </c>
      <c r="K335" s="3">
        <v>0</v>
      </c>
      <c r="L335" s="9">
        <f t="shared" si="21"/>
        <v>23499.15</v>
      </c>
      <c r="M335" s="9">
        <f t="shared" si="22"/>
        <v>0</v>
      </c>
      <c r="N335" s="10">
        <f t="shared" si="23"/>
        <v>23499.15</v>
      </c>
      <c r="O335" s="3" t="s">
        <v>38</v>
      </c>
      <c r="P335" s="3" t="s">
        <v>18</v>
      </c>
      <c r="Q335" s="3" t="s">
        <v>53</v>
      </c>
    </row>
    <row r="336" spans="1:17" x14ac:dyDescent="0.25">
      <c r="A336" s="2" t="s">
        <v>614</v>
      </c>
      <c r="B336" s="4">
        <v>45375</v>
      </c>
      <c r="C336" s="4" t="str">
        <f t="shared" si="20"/>
        <v>Mar</v>
      </c>
      <c r="D336" s="2" t="s">
        <v>301</v>
      </c>
      <c r="E336" s="2" t="s">
        <v>29</v>
      </c>
      <c r="F336" s="2" t="s">
        <v>30</v>
      </c>
      <c r="G336" s="2" t="s">
        <v>110</v>
      </c>
      <c r="H336" s="2" t="s">
        <v>67</v>
      </c>
      <c r="I336" s="2">
        <v>4188.2299999999996</v>
      </c>
      <c r="J336" s="2">
        <v>3</v>
      </c>
      <c r="K336" s="2">
        <v>15</v>
      </c>
      <c r="L336" s="9">
        <f t="shared" si="21"/>
        <v>12564.689999999999</v>
      </c>
      <c r="M336" s="9">
        <f t="shared" si="22"/>
        <v>1884.7034999999998</v>
      </c>
      <c r="N336" s="10">
        <f t="shared" si="23"/>
        <v>10679.986499999999</v>
      </c>
      <c r="O336" s="2" t="s">
        <v>33</v>
      </c>
      <c r="P336" s="2" t="s">
        <v>18</v>
      </c>
      <c r="Q336" s="2" t="s">
        <v>34</v>
      </c>
    </row>
    <row r="337" spans="1:17" x14ac:dyDescent="0.25">
      <c r="A337" s="3" t="s">
        <v>615</v>
      </c>
      <c r="B337" s="4">
        <v>45376</v>
      </c>
      <c r="C337" s="4" t="str">
        <f t="shared" si="20"/>
        <v>Mar</v>
      </c>
      <c r="D337" s="3" t="s">
        <v>616</v>
      </c>
      <c r="E337" s="3" t="s">
        <v>76</v>
      </c>
      <c r="F337" s="3" t="s">
        <v>77</v>
      </c>
      <c r="G337" s="3" t="s">
        <v>24</v>
      </c>
      <c r="H337" s="3" t="s">
        <v>92</v>
      </c>
      <c r="I337" s="3">
        <v>1357.72</v>
      </c>
      <c r="J337" s="3">
        <v>2</v>
      </c>
      <c r="K337" s="3">
        <v>0</v>
      </c>
      <c r="L337" s="9">
        <f t="shared" si="21"/>
        <v>2715.44</v>
      </c>
      <c r="M337" s="9">
        <f t="shared" si="22"/>
        <v>0</v>
      </c>
      <c r="N337" s="10">
        <f t="shared" si="23"/>
        <v>2715.44</v>
      </c>
      <c r="O337" s="3" t="s">
        <v>38</v>
      </c>
      <c r="P337" s="3" t="s">
        <v>18</v>
      </c>
      <c r="Q337" s="3" t="s">
        <v>60</v>
      </c>
    </row>
    <row r="338" spans="1:17" x14ac:dyDescent="0.25">
      <c r="A338" s="2" t="s">
        <v>617</v>
      </c>
      <c r="B338" s="4">
        <v>45377</v>
      </c>
      <c r="C338" s="4" t="str">
        <f t="shared" si="20"/>
        <v>Mar</v>
      </c>
      <c r="D338" s="2" t="s">
        <v>618</v>
      </c>
      <c r="E338" s="2" t="s">
        <v>76</v>
      </c>
      <c r="F338" s="2" t="s">
        <v>77</v>
      </c>
      <c r="G338" s="2" t="s">
        <v>43</v>
      </c>
      <c r="H338" s="2" t="s">
        <v>105</v>
      </c>
      <c r="I338" s="2">
        <v>2571.04</v>
      </c>
      <c r="J338" s="2">
        <v>5</v>
      </c>
      <c r="K338" s="2">
        <v>0</v>
      </c>
      <c r="L338" s="9">
        <f t="shared" si="21"/>
        <v>12855.2</v>
      </c>
      <c r="M338" s="9">
        <f t="shared" si="22"/>
        <v>0</v>
      </c>
      <c r="N338" s="10">
        <f t="shared" si="23"/>
        <v>12855.2</v>
      </c>
      <c r="O338" s="2" t="s">
        <v>26</v>
      </c>
      <c r="P338" s="2" t="s">
        <v>18</v>
      </c>
      <c r="Q338" s="2" t="s">
        <v>60</v>
      </c>
    </row>
    <row r="339" spans="1:17" x14ac:dyDescent="0.25">
      <c r="A339" s="3" t="s">
        <v>619</v>
      </c>
      <c r="B339" s="4">
        <v>45378</v>
      </c>
      <c r="C339" s="4" t="str">
        <f t="shared" si="20"/>
        <v>Mar</v>
      </c>
      <c r="D339" s="3" t="s">
        <v>402</v>
      </c>
      <c r="E339" s="3" t="s">
        <v>13</v>
      </c>
      <c r="F339" s="3" t="s">
        <v>14</v>
      </c>
      <c r="G339" s="3" t="s">
        <v>31</v>
      </c>
      <c r="H339" s="3" t="s">
        <v>70</v>
      </c>
      <c r="I339" s="3">
        <v>595.80999999999995</v>
      </c>
      <c r="J339" s="3">
        <v>2</v>
      </c>
      <c r="K339" s="3">
        <v>15</v>
      </c>
      <c r="L339" s="9">
        <f t="shared" si="21"/>
        <v>1191.6199999999999</v>
      </c>
      <c r="M339" s="9">
        <f t="shared" si="22"/>
        <v>178.74299999999999</v>
      </c>
      <c r="N339" s="10">
        <f t="shared" si="23"/>
        <v>1012.877</v>
      </c>
      <c r="O339" s="3" t="s">
        <v>17</v>
      </c>
      <c r="P339" s="3" t="s">
        <v>18</v>
      </c>
      <c r="Q339" s="3" t="s">
        <v>53</v>
      </c>
    </row>
    <row r="340" spans="1:17" x14ac:dyDescent="0.25">
      <c r="A340" s="2" t="s">
        <v>620</v>
      </c>
      <c r="B340" s="4">
        <v>45379</v>
      </c>
      <c r="C340" s="4" t="str">
        <f t="shared" si="20"/>
        <v>Mar</v>
      </c>
      <c r="D340" s="2" t="s">
        <v>621</v>
      </c>
      <c r="E340" s="2" t="s">
        <v>22</v>
      </c>
      <c r="F340" s="2" t="s">
        <v>23</v>
      </c>
      <c r="G340" s="2" t="s">
        <v>15</v>
      </c>
      <c r="H340" s="2" t="s">
        <v>16</v>
      </c>
      <c r="I340" s="2">
        <v>1592.45</v>
      </c>
      <c r="J340" s="2">
        <v>4</v>
      </c>
      <c r="K340" s="2">
        <v>5</v>
      </c>
      <c r="L340" s="9">
        <f t="shared" si="21"/>
        <v>6369.8</v>
      </c>
      <c r="M340" s="9">
        <f t="shared" si="22"/>
        <v>318.49</v>
      </c>
      <c r="N340" s="10">
        <f t="shared" si="23"/>
        <v>6051.31</v>
      </c>
      <c r="O340" s="2" t="s">
        <v>26</v>
      </c>
      <c r="P340" s="2" t="s">
        <v>52</v>
      </c>
      <c r="Q340" s="2" t="s">
        <v>40</v>
      </c>
    </row>
    <row r="341" spans="1:17" x14ac:dyDescent="0.25">
      <c r="A341" s="3" t="s">
        <v>622</v>
      </c>
      <c r="B341" s="4">
        <v>45380</v>
      </c>
      <c r="C341" s="4" t="str">
        <f t="shared" si="20"/>
        <v>Mar</v>
      </c>
      <c r="D341" s="3" t="s">
        <v>485</v>
      </c>
      <c r="E341" s="3" t="s">
        <v>83</v>
      </c>
      <c r="F341" s="3" t="s">
        <v>84</v>
      </c>
      <c r="G341" s="3" t="s">
        <v>15</v>
      </c>
      <c r="H341" s="3" t="s">
        <v>95</v>
      </c>
      <c r="I341" s="3">
        <v>1217.45</v>
      </c>
      <c r="J341" s="3">
        <v>2</v>
      </c>
      <c r="K341" s="3">
        <v>15</v>
      </c>
      <c r="L341" s="9">
        <f t="shared" si="21"/>
        <v>2434.9</v>
      </c>
      <c r="M341" s="9">
        <f t="shared" si="22"/>
        <v>365.23500000000001</v>
      </c>
      <c r="N341" s="10">
        <f t="shared" si="23"/>
        <v>2069.665</v>
      </c>
      <c r="O341" s="3" t="s">
        <v>38</v>
      </c>
      <c r="P341" s="3" t="s">
        <v>18</v>
      </c>
      <c r="Q341" s="3" t="s">
        <v>60</v>
      </c>
    </row>
    <row r="342" spans="1:17" x14ac:dyDescent="0.25">
      <c r="A342" s="2" t="s">
        <v>623</v>
      </c>
      <c r="B342" s="4">
        <v>45381</v>
      </c>
      <c r="C342" s="4" t="str">
        <f t="shared" si="20"/>
        <v>Mar</v>
      </c>
      <c r="D342" s="2" t="s">
        <v>431</v>
      </c>
      <c r="E342" s="2" t="s">
        <v>29</v>
      </c>
      <c r="F342" s="2" t="s">
        <v>30</v>
      </c>
      <c r="G342" s="2" t="s">
        <v>110</v>
      </c>
      <c r="H342" s="2" t="s">
        <v>111</v>
      </c>
      <c r="I342" s="2">
        <v>9837.32</v>
      </c>
      <c r="J342" s="2">
        <v>5</v>
      </c>
      <c r="K342" s="2">
        <v>0</v>
      </c>
      <c r="L342" s="9">
        <f t="shared" si="21"/>
        <v>49186.6</v>
      </c>
      <c r="M342" s="9">
        <f t="shared" si="22"/>
        <v>0</v>
      </c>
      <c r="N342" s="10">
        <f t="shared" si="23"/>
        <v>49186.6</v>
      </c>
      <c r="O342" s="2" t="s">
        <v>68</v>
      </c>
      <c r="P342" s="2" t="s">
        <v>39</v>
      </c>
      <c r="Q342" s="2" t="s">
        <v>60</v>
      </c>
    </row>
    <row r="343" spans="1:17" x14ac:dyDescent="0.25">
      <c r="A343" s="3" t="s">
        <v>624</v>
      </c>
      <c r="B343" s="4">
        <v>45382</v>
      </c>
      <c r="C343" s="4" t="str">
        <f t="shared" si="20"/>
        <v>Mar</v>
      </c>
      <c r="D343" s="3" t="s">
        <v>188</v>
      </c>
      <c r="E343" s="3" t="s">
        <v>51</v>
      </c>
      <c r="F343" s="3" t="s">
        <v>14</v>
      </c>
      <c r="G343" s="3" t="s">
        <v>24</v>
      </c>
      <c r="H343" s="3" t="s">
        <v>92</v>
      </c>
      <c r="I343" s="3">
        <v>1477.01</v>
      </c>
      <c r="J343" s="3">
        <v>4</v>
      </c>
      <c r="K343" s="3">
        <v>0</v>
      </c>
      <c r="L343" s="9">
        <f t="shared" si="21"/>
        <v>5908.04</v>
      </c>
      <c r="M343" s="9">
        <f t="shared" si="22"/>
        <v>0</v>
      </c>
      <c r="N343" s="10">
        <f t="shared" si="23"/>
        <v>5908.04</v>
      </c>
      <c r="O343" s="3" t="s">
        <v>26</v>
      </c>
      <c r="P343" s="3" t="s">
        <v>39</v>
      </c>
      <c r="Q343" s="3" t="s">
        <v>19</v>
      </c>
    </row>
    <row r="344" spans="1:17" x14ac:dyDescent="0.25">
      <c r="A344" s="2" t="s">
        <v>625</v>
      </c>
      <c r="B344" s="4">
        <v>45383</v>
      </c>
      <c r="C344" s="4" t="str">
        <f t="shared" si="20"/>
        <v>Apr</v>
      </c>
      <c r="D344" s="2" t="s">
        <v>314</v>
      </c>
      <c r="E344" s="2" t="s">
        <v>22</v>
      </c>
      <c r="F344" s="2" t="s">
        <v>23</v>
      </c>
      <c r="G344" s="2" t="s">
        <v>36</v>
      </c>
      <c r="H344" s="2" t="s">
        <v>37</v>
      </c>
      <c r="I344" s="2">
        <v>12135.27</v>
      </c>
      <c r="J344" s="2">
        <v>5</v>
      </c>
      <c r="K344" s="2">
        <v>0</v>
      </c>
      <c r="L344" s="9">
        <f t="shared" si="21"/>
        <v>60676.350000000006</v>
      </c>
      <c r="M344" s="9">
        <f t="shared" si="22"/>
        <v>0</v>
      </c>
      <c r="N344" s="10">
        <f t="shared" si="23"/>
        <v>60676.350000000006</v>
      </c>
      <c r="O344" s="2" t="s">
        <v>38</v>
      </c>
      <c r="P344" s="2" t="s">
        <v>52</v>
      </c>
      <c r="Q344" s="2" t="s">
        <v>60</v>
      </c>
    </row>
    <row r="345" spans="1:17" x14ac:dyDescent="0.25">
      <c r="A345" s="3" t="s">
        <v>626</v>
      </c>
      <c r="B345" s="4">
        <v>45384</v>
      </c>
      <c r="C345" s="4" t="str">
        <f t="shared" si="20"/>
        <v>Apr</v>
      </c>
      <c r="D345" s="3" t="s">
        <v>583</v>
      </c>
      <c r="E345" s="3" t="s">
        <v>29</v>
      </c>
      <c r="F345" s="3" t="s">
        <v>30</v>
      </c>
      <c r="G345" s="3" t="s">
        <v>110</v>
      </c>
      <c r="H345" s="3" t="s">
        <v>67</v>
      </c>
      <c r="I345" s="3">
        <v>4151.2700000000004</v>
      </c>
      <c r="J345" s="3">
        <v>2</v>
      </c>
      <c r="K345" s="3">
        <v>0</v>
      </c>
      <c r="L345" s="9">
        <f t="shared" si="21"/>
        <v>8302.5400000000009</v>
      </c>
      <c r="M345" s="9">
        <f t="shared" si="22"/>
        <v>0</v>
      </c>
      <c r="N345" s="10">
        <f t="shared" si="23"/>
        <v>8302.5400000000009</v>
      </c>
      <c r="O345" s="3" t="s">
        <v>17</v>
      </c>
      <c r="P345" s="3" t="s">
        <v>52</v>
      </c>
      <c r="Q345" s="3" t="s">
        <v>19</v>
      </c>
    </row>
    <row r="346" spans="1:17" x14ac:dyDescent="0.25">
      <c r="A346" s="2" t="s">
        <v>627</v>
      </c>
      <c r="B346" s="4">
        <v>45385</v>
      </c>
      <c r="C346" s="4" t="str">
        <f t="shared" si="20"/>
        <v>Apr</v>
      </c>
      <c r="D346" s="2" t="s">
        <v>628</v>
      </c>
      <c r="E346" s="2" t="s">
        <v>22</v>
      </c>
      <c r="F346" s="2" t="s">
        <v>23</v>
      </c>
      <c r="G346" s="2" t="s">
        <v>72</v>
      </c>
      <c r="H346" s="2" t="s">
        <v>137</v>
      </c>
      <c r="I346" s="2">
        <v>2361.69</v>
      </c>
      <c r="J346" s="2">
        <v>3</v>
      </c>
      <c r="K346" s="2">
        <v>10</v>
      </c>
      <c r="L346" s="9">
        <f t="shared" si="21"/>
        <v>7085.07</v>
      </c>
      <c r="M346" s="9">
        <f t="shared" si="22"/>
        <v>708.50699999999995</v>
      </c>
      <c r="N346" s="10">
        <f t="shared" si="23"/>
        <v>6376.5630000000001</v>
      </c>
      <c r="O346" s="2" t="s">
        <v>38</v>
      </c>
      <c r="P346" s="2" t="s">
        <v>18</v>
      </c>
      <c r="Q346" s="2" t="s">
        <v>60</v>
      </c>
    </row>
    <row r="347" spans="1:17" x14ac:dyDescent="0.25">
      <c r="A347" s="3" t="s">
        <v>629</v>
      </c>
      <c r="B347" s="4">
        <v>45386</v>
      </c>
      <c r="C347" s="4" t="str">
        <f t="shared" si="20"/>
        <v>Apr</v>
      </c>
      <c r="D347" s="3" t="s">
        <v>630</v>
      </c>
      <c r="E347" s="3" t="s">
        <v>13</v>
      </c>
      <c r="F347" s="3" t="s">
        <v>14</v>
      </c>
      <c r="G347" s="3" t="s">
        <v>24</v>
      </c>
      <c r="H347" s="3" t="s">
        <v>108</v>
      </c>
      <c r="I347" s="3">
        <v>7844.76</v>
      </c>
      <c r="J347" s="3">
        <v>5</v>
      </c>
      <c r="K347" s="3">
        <v>0</v>
      </c>
      <c r="L347" s="9">
        <f t="shared" si="21"/>
        <v>39223.800000000003</v>
      </c>
      <c r="M347" s="9">
        <f t="shared" si="22"/>
        <v>0</v>
      </c>
      <c r="N347" s="10">
        <f t="shared" si="23"/>
        <v>39223.800000000003</v>
      </c>
      <c r="O347" s="3" t="s">
        <v>33</v>
      </c>
      <c r="P347" s="3" t="s">
        <v>18</v>
      </c>
      <c r="Q347" s="3" t="s">
        <v>60</v>
      </c>
    </row>
    <row r="348" spans="1:17" x14ac:dyDescent="0.25">
      <c r="A348" s="2" t="s">
        <v>631</v>
      </c>
      <c r="B348" s="4">
        <v>45387</v>
      </c>
      <c r="C348" s="4" t="str">
        <f t="shared" si="20"/>
        <v>Apr</v>
      </c>
      <c r="D348" s="2" t="s">
        <v>632</v>
      </c>
      <c r="E348" s="2" t="s">
        <v>13</v>
      </c>
      <c r="F348" s="2" t="s">
        <v>14</v>
      </c>
      <c r="G348" s="2" t="s">
        <v>15</v>
      </c>
      <c r="H348" s="2" t="s">
        <v>95</v>
      </c>
      <c r="I348" s="2">
        <v>1301</v>
      </c>
      <c r="J348" s="2">
        <v>3</v>
      </c>
      <c r="K348" s="2">
        <v>0</v>
      </c>
      <c r="L348" s="9">
        <f t="shared" si="21"/>
        <v>3903</v>
      </c>
      <c r="M348" s="9">
        <f t="shared" si="22"/>
        <v>0</v>
      </c>
      <c r="N348" s="10">
        <f t="shared" si="23"/>
        <v>3903</v>
      </c>
      <c r="O348" s="2" t="s">
        <v>38</v>
      </c>
      <c r="P348" s="2" t="s">
        <v>39</v>
      </c>
      <c r="Q348" s="2" t="s">
        <v>34</v>
      </c>
    </row>
    <row r="349" spans="1:17" x14ac:dyDescent="0.25">
      <c r="A349" s="3" t="s">
        <v>633</v>
      </c>
      <c r="B349" s="4">
        <v>45388</v>
      </c>
      <c r="C349" s="4" t="str">
        <f t="shared" si="20"/>
        <v>Apr</v>
      </c>
      <c r="D349" s="3" t="s">
        <v>634</v>
      </c>
      <c r="E349" s="3" t="s">
        <v>22</v>
      </c>
      <c r="F349" s="3" t="s">
        <v>23</v>
      </c>
      <c r="G349" s="3" t="s">
        <v>72</v>
      </c>
      <c r="H349" s="3" t="s">
        <v>102</v>
      </c>
      <c r="I349" s="3">
        <v>602.47</v>
      </c>
      <c r="J349" s="3">
        <v>4</v>
      </c>
      <c r="K349" s="3">
        <v>10</v>
      </c>
      <c r="L349" s="9">
        <f t="shared" si="21"/>
        <v>2409.88</v>
      </c>
      <c r="M349" s="9">
        <f t="shared" si="22"/>
        <v>240.98800000000003</v>
      </c>
      <c r="N349" s="10">
        <f t="shared" si="23"/>
        <v>2168.8920000000003</v>
      </c>
      <c r="O349" s="3" t="s">
        <v>38</v>
      </c>
      <c r="P349" s="3" t="s">
        <v>27</v>
      </c>
      <c r="Q349" s="3" t="s">
        <v>60</v>
      </c>
    </row>
    <row r="350" spans="1:17" x14ac:dyDescent="0.25">
      <c r="A350" s="2" t="s">
        <v>635</v>
      </c>
      <c r="B350" s="4">
        <v>45389</v>
      </c>
      <c r="C350" s="4" t="str">
        <f t="shared" si="20"/>
        <v>Apr</v>
      </c>
      <c r="D350" s="2" t="s">
        <v>12</v>
      </c>
      <c r="E350" s="2" t="s">
        <v>51</v>
      </c>
      <c r="F350" s="2" t="s">
        <v>14</v>
      </c>
      <c r="G350" s="2" t="s">
        <v>43</v>
      </c>
      <c r="H350" s="2" t="s">
        <v>127</v>
      </c>
      <c r="I350" s="2">
        <v>5954.78</v>
      </c>
      <c r="J350" s="2">
        <v>4</v>
      </c>
      <c r="K350" s="2">
        <v>0</v>
      </c>
      <c r="L350" s="9">
        <f t="shared" si="21"/>
        <v>23819.119999999999</v>
      </c>
      <c r="M350" s="9">
        <f t="shared" si="22"/>
        <v>0</v>
      </c>
      <c r="N350" s="10">
        <f t="shared" si="23"/>
        <v>23819.119999999999</v>
      </c>
      <c r="O350" s="2" t="s">
        <v>17</v>
      </c>
      <c r="P350" s="2" t="s">
        <v>39</v>
      </c>
      <c r="Q350" s="2" t="s">
        <v>34</v>
      </c>
    </row>
    <row r="351" spans="1:17" x14ac:dyDescent="0.25">
      <c r="A351" s="3" t="s">
        <v>636</v>
      </c>
      <c r="B351" s="4">
        <v>45390</v>
      </c>
      <c r="C351" s="4" t="str">
        <f t="shared" si="20"/>
        <v>Apr</v>
      </c>
      <c r="D351" s="3" t="s">
        <v>637</v>
      </c>
      <c r="E351" s="3" t="s">
        <v>22</v>
      </c>
      <c r="F351" s="3" t="s">
        <v>23</v>
      </c>
      <c r="G351" s="3" t="s">
        <v>31</v>
      </c>
      <c r="H351" s="3" t="s">
        <v>242</v>
      </c>
      <c r="I351" s="3">
        <v>882.61</v>
      </c>
      <c r="J351" s="3">
        <v>5</v>
      </c>
      <c r="K351" s="3">
        <v>0</v>
      </c>
      <c r="L351" s="9">
        <f t="shared" si="21"/>
        <v>4413.05</v>
      </c>
      <c r="M351" s="9">
        <f t="shared" si="22"/>
        <v>0</v>
      </c>
      <c r="N351" s="10">
        <f t="shared" si="23"/>
        <v>4413.05</v>
      </c>
      <c r="O351" s="3" t="s">
        <v>68</v>
      </c>
      <c r="P351" s="3" t="s">
        <v>18</v>
      </c>
      <c r="Q351" s="3" t="s">
        <v>53</v>
      </c>
    </row>
    <row r="352" spans="1:17" x14ac:dyDescent="0.25">
      <c r="A352" s="2" t="s">
        <v>638</v>
      </c>
      <c r="B352" s="4">
        <v>45391</v>
      </c>
      <c r="C352" s="4" t="str">
        <f t="shared" si="20"/>
        <v>Apr</v>
      </c>
      <c r="D352" s="2" t="s">
        <v>349</v>
      </c>
      <c r="E352" s="2" t="s">
        <v>13</v>
      </c>
      <c r="F352" s="2" t="s">
        <v>14</v>
      </c>
      <c r="G352" s="2" t="s">
        <v>43</v>
      </c>
      <c r="H352" s="2" t="s">
        <v>44</v>
      </c>
      <c r="I352" s="2">
        <v>3792.62</v>
      </c>
      <c r="J352" s="2">
        <v>2</v>
      </c>
      <c r="K352" s="2">
        <v>10</v>
      </c>
      <c r="L352" s="9">
        <f t="shared" si="21"/>
        <v>7585.24</v>
      </c>
      <c r="M352" s="9">
        <f t="shared" si="22"/>
        <v>758.52399999999989</v>
      </c>
      <c r="N352" s="10">
        <f t="shared" si="23"/>
        <v>6826.7160000000003</v>
      </c>
      <c r="O352" s="2" t="s">
        <v>38</v>
      </c>
      <c r="P352" s="2" t="s">
        <v>39</v>
      </c>
      <c r="Q352" s="2" t="s">
        <v>60</v>
      </c>
    </row>
    <row r="353" spans="1:17" x14ac:dyDescent="0.25">
      <c r="A353" s="3" t="s">
        <v>639</v>
      </c>
      <c r="B353" s="4">
        <v>45392</v>
      </c>
      <c r="C353" s="4" t="str">
        <f t="shared" si="20"/>
        <v>Apr</v>
      </c>
      <c r="D353" s="3" t="s">
        <v>143</v>
      </c>
      <c r="E353" s="3" t="s">
        <v>22</v>
      </c>
      <c r="F353" s="3" t="s">
        <v>23</v>
      </c>
      <c r="G353" s="3" t="s">
        <v>15</v>
      </c>
      <c r="H353" s="3" t="s">
        <v>198</v>
      </c>
      <c r="I353" s="3">
        <v>758.71</v>
      </c>
      <c r="J353" s="3">
        <v>4</v>
      </c>
      <c r="K353" s="3">
        <v>10</v>
      </c>
      <c r="L353" s="9">
        <f t="shared" si="21"/>
        <v>3034.84</v>
      </c>
      <c r="M353" s="9">
        <f t="shared" si="22"/>
        <v>303.48400000000004</v>
      </c>
      <c r="N353" s="10">
        <f t="shared" si="23"/>
        <v>2731.3560000000002</v>
      </c>
      <c r="O353" s="3" t="s">
        <v>33</v>
      </c>
      <c r="P353" s="3" t="s">
        <v>18</v>
      </c>
      <c r="Q353" s="3" t="s">
        <v>60</v>
      </c>
    </row>
    <row r="354" spans="1:17" x14ac:dyDescent="0.25">
      <c r="A354" s="2" t="s">
        <v>640</v>
      </c>
      <c r="B354" s="4">
        <v>45393</v>
      </c>
      <c r="C354" s="4" t="str">
        <f t="shared" si="20"/>
        <v>Apr</v>
      </c>
      <c r="D354" s="2" t="s">
        <v>641</v>
      </c>
      <c r="E354" s="2" t="s">
        <v>87</v>
      </c>
      <c r="F354" s="2" t="s">
        <v>88</v>
      </c>
      <c r="G354" s="2" t="s">
        <v>24</v>
      </c>
      <c r="H354" s="2" t="s">
        <v>108</v>
      </c>
      <c r="I354" s="2">
        <v>8398.34</v>
      </c>
      <c r="J354" s="2">
        <v>1</v>
      </c>
      <c r="K354" s="2">
        <v>0</v>
      </c>
      <c r="L354" s="9">
        <f t="shared" si="21"/>
        <v>8398.34</v>
      </c>
      <c r="M354" s="9">
        <f t="shared" si="22"/>
        <v>0</v>
      </c>
      <c r="N354" s="10">
        <f t="shared" si="23"/>
        <v>8398.34</v>
      </c>
      <c r="O354" s="2" t="s">
        <v>68</v>
      </c>
      <c r="P354" s="2" t="s">
        <v>18</v>
      </c>
      <c r="Q354" s="2" t="s">
        <v>40</v>
      </c>
    </row>
    <row r="355" spans="1:17" x14ac:dyDescent="0.25">
      <c r="A355" s="3" t="s">
        <v>642</v>
      </c>
      <c r="B355" s="4">
        <v>45394</v>
      </c>
      <c r="C355" s="4" t="str">
        <f t="shared" si="20"/>
        <v>Apr</v>
      </c>
      <c r="D355" s="3" t="s">
        <v>643</v>
      </c>
      <c r="E355" s="3" t="s">
        <v>51</v>
      </c>
      <c r="F355" s="3" t="s">
        <v>14</v>
      </c>
      <c r="G355" s="3" t="s">
        <v>15</v>
      </c>
      <c r="H355" s="3" t="s">
        <v>163</v>
      </c>
      <c r="I355" s="3">
        <v>2588.85</v>
      </c>
      <c r="J355" s="3">
        <v>3</v>
      </c>
      <c r="K355" s="3">
        <v>15</v>
      </c>
      <c r="L355" s="9">
        <f t="shared" si="21"/>
        <v>7766.5499999999993</v>
      </c>
      <c r="M355" s="9">
        <f t="shared" si="22"/>
        <v>1164.9824999999998</v>
      </c>
      <c r="N355" s="10">
        <f t="shared" si="23"/>
        <v>6601.5674999999992</v>
      </c>
      <c r="O355" s="3" t="s">
        <v>33</v>
      </c>
      <c r="P355" s="3" t="s">
        <v>52</v>
      </c>
      <c r="Q355" s="3" t="s">
        <v>40</v>
      </c>
    </row>
    <row r="356" spans="1:17" x14ac:dyDescent="0.25">
      <c r="A356" s="2" t="s">
        <v>644</v>
      </c>
      <c r="B356" s="4">
        <v>45395</v>
      </c>
      <c r="C356" s="4" t="str">
        <f t="shared" si="20"/>
        <v>Apr</v>
      </c>
      <c r="D356" s="2" t="s">
        <v>645</v>
      </c>
      <c r="E356" s="2" t="s">
        <v>100</v>
      </c>
      <c r="F356" s="2" t="s">
        <v>88</v>
      </c>
      <c r="G356" s="2" t="s">
        <v>15</v>
      </c>
      <c r="H356" s="2" t="s">
        <v>163</v>
      </c>
      <c r="I356" s="2">
        <v>2550.5700000000002</v>
      </c>
      <c r="J356" s="2">
        <v>1</v>
      </c>
      <c r="K356" s="2">
        <v>15</v>
      </c>
      <c r="L356" s="9">
        <f t="shared" si="21"/>
        <v>2550.5700000000002</v>
      </c>
      <c r="M356" s="9">
        <f t="shared" si="22"/>
        <v>382.58550000000002</v>
      </c>
      <c r="N356" s="10">
        <f t="shared" si="23"/>
        <v>2167.9845</v>
      </c>
      <c r="O356" s="2" t="s">
        <v>38</v>
      </c>
      <c r="P356" s="2" t="s">
        <v>52</v>
      </c>
      <c r="Q356" s="2" t="s">
        <v>34</v>
      </c>
    </row>
    <row r="357" spans="1:17" x14ac:dyDescent="0.25">
      <c r="A357" s="3" t="s">
        <v>646</v>
      </c>
      <c r="B357" s="4">
        <v>45396</v>
      </c>
      <c r="C357" s="4" t="str">
        <f t="shared" si="20"/>
        <v>Apr</v>
      </c>
      <c r="D357" s="3" t="s">
        <v>647</v>
      </c>
      <c r="E357" s="3" t="s">
        <v>47</v>
      </c>
      <c r="F357" s="3" t="s">
        <v>48</v>
      </c>
      <c r="G357" s="3" t="s">
        <v>43</v>
      </c>
      <c r="H357" s="3" t="s">
        <v>145</v>
      </c>
      <c r="I357" s="3">
        <v>12843.81</v>
      </c>
      <c r="J357" s="3">
        <v>4</v>
      </c>
      <c r="K357" s="3">
        <v>15</v>
      </c>
      <c r="L357" s="9">
        <f t="shared" si="21"/>
        <v>51375.24</v>
      </c>
      <c r="M357" s="9">
        <f t="shared" si="22"/>
        <v>7706.2860000000001</v>
      </c>
      <c r="N357" s="10">
        <f t="shared" si="23"/>
        <v>43668.953999999998</v>
      </c>
      <c r="O357" s="3" t="s">
        <v>26</v>
      </c>
      <c r="P357" s="3" t="s">
        <v>18</v>
      </c>
      <c r="Q357" s="3" t="s">
        <v>34</v>
      </c>
    </row>
    <row r="358" spans="1:17" x14ac:dyDescent="0.25">
      <c r="A358" s="2" t="s">
        <v>648</v>
      </c>
      <c r="B358" s="4">
        <v>45397</v>
      </c>
      <c r="C358" s="4" t="str">
        <f t="shared" si="20"/>
        <v>Apr</v>
      </c>
      <c r="D358" s="2" t="s">
        <v>228</v>
      </c>
      <c r="E358" s="2" t="s">
        <v>65</v>
      </c>
      <c r="F358" s="2" t="s">
        <v>66</v>
      </c>
      <c r="G358" s="2" t="s">
        <v>110</v>
      </c>
      <c r="H358" s="2" t="s">
        <v>207</v>
      </c>
      <c r="I358" s="2">
        <v>7662.49</v>
      </c>
      <c r="J358" s="2">
        <v>3</v>
      </c>
      <c r="K358" s="2">
        <v>0</v>
      </c>
      <c r="L358" s="9">
        <f t="shared" si="21"/>
        <v>22987.47</v>
      </c>
      <c r="M358" s="9">
        <f t="shared" si="22"/>
        <v>0</v>
      </c>
      <c r="N358" s="10">
        <f t="shared" si="23"/>
        <v>22987.47</v>
      </c>
      <c r="O358" s="2" t="s">
        <v>17</v>
      </c>
      <c r="P358" s="2" t="s">
        <v>52</v>
      </c>
      <c r="Q358" s="2" t="s">
        <v>34</v>
      </c>
    </row>
    <row r="359" spans="1:17" x14ac:dyDescent="0.25">
      <c r="A359" s="3" t="s">
        <v>649</v>
      </c>
      <c r="B359" s="4">
        <v>45398</v>
      </c>
      <c r="C359" s="4" t="str">
        <f t="shared" si="20"/>
        <v>Apr</v>
      </c>
      <c r="D359" s="3" t="s">
        <v>621</v>
      </c>
      <c r="E359" s="3" t="s">
        <v>76</v>
      </c>
      <c r="F359" s="3" t="s">
        <v>77</v>
      </c>
      <c r="G359" s="3" t="s">
        <v>36</v>
      </c>
      <c r="H359" s="3" t="s">
        <v>338</v>
      </c>
      <c r="I359" s="3">
        <v>71348.69</v>
      </c>
      <c r="J359" s="3">
        <v>3</v>
      </c>
      <c r="K359" s="3">
        <v>0</v>
      </c>
      <c r="L359" s="9">
        <f t="shared" si="21"/>
        <v>214046.07</v>
      </c>
      <c r="M359" s="9">
        <f t="shared" si="22"/>
        <v>0</v>
      </c>
      <c r="N359" s="10">
        <f t="shared" si="23"/>
        <v>214046.07</v>
      </c>
      <c r="O359" s="3" t="s">
        <v>38</v>
      </c>
      <c r="P359" s="3" t="s">
        <v>27</v>
      </c>
      <c r="Q359" s="3" t="s">
        <v>34</v>
      </c>
    </row>
    <row r="360" spans="1:17" x14ac:dyDescent="0.25">
      <c r="A360" s="2" t="s">
        <v>650</v>
      </c>
      <c r="B360" s="4">
        <v>45399</v>
      </c>
      <c r="C360" s="4" t="str">
        <f t="shared" si="20"/>
        <v>Apr</v>
      </c>
      <c r="D360" s="2" t="s">
        <v>651</v>
      </c>
      <c r="E360" s="2" t="s">
        <v>51</v>
      </c>
      <c r="F360" s="2" t="s">
        <v>14</v>
      </c>
      <c r="G360" s="2" t="s">
        <v>36</v>
      </c>
      <c r="H360" s="2" t="s">
        <v>113</v>
      </c>
      <c r="I360" s="2">
        <v>117698.36</v>
      </c>
      <c r="J360" s="2">
        <v>3</v>
      </c>
      <c r="K360" s="2">
        <v>15</v>
      </c>
      <c r="L360" s="9">
        <f t="shared" si="21"/>
        <v>353095.08</v>
      </c>
      <c r="M360" s="9">
        <f t="shared" si="22"/>
        <v>52964.262000000002</v>
      </c>
      <c r="N360" s="10">
        <f t="shared" si="23"/>
        <v>300130.81800000003</v>
      </c>
      <c r="O360" s="2" t="s">
        <v>26</v>
      </c>
      <c r="P360" s="2" t="s">
        <v>27</v>
      </c>
      <c r="Q360" s="2" t="s">
        <v>40</v>
      </c>
    </row>
    <row r="361" spans="1:17" x14ac:dyDescent="0.25">
      <c r="A361" s="3" t="s">
        <v>652</v>
      </c>
      <c r="B361" s="4">
        <v>45400</v>
      </c>
      <c r="C361" s="4" t="str">
        <f t="shared" si="20"/>
        <v>Apr</v>
      </c>
      <c r="D361" s="3" t="s">
        <v>653</v>
      </c>
      <c r="E361" s="3" t="s">
        <v>47</v>
      </c>
      <c r="F361" s="3" t="s">
        <v>48</v>
      </c>
      <c r="G361" s="3" t="s">
        <v>43</v>
      </c>
      <c r="H361" s="3" t="s">
        <v>145</v>
      </c>
      <c r="I361" s="3">
        <v>11731.86</v>
      </c>
      <c r="J361" s="3">
        <v>1</v>
      </c>
      <c r="K361" s="3">
        <v>0</v>
      </c>
      <c r="L361" s="9">
        <f t="shared" si="21"/>
        <v>11731.86</v>
      </c>
      <c r="M361" s="9">
        <f t="shared" si="22"/>
        <v>0</v>
      </c>
      <c r="N361" s="10">
        <f t="shared" si="23"/>
        <v>11731.86</v>
      </c>
      <c r="O361" s="3" t="s">
        <v>17</v>
      </c>
      <c r="P361" s="3" t="s">
        <v>39</v>
      </c>
      <c r="Q361" s="3" t="s">
        <v>53</v>
      </c>
    </row>
    <row r="362" spans="1:17" x14ac:dyDescent="0.25">
      <c r="A362" s="2" t="s">
        <v>654</v>
      </c>
      <c r="B362" s="4">
        <v>45401</v>
      </c>
      <c r="C362" s="4" t="str">
        <f t="shared" si="20"/>
        <v>Apr</v>
      </c>
      <c r="D362" s="2" t="s">
        <v>395</v>
      </c>
      <c r="E362" s="2" t="s">
        <v>51</v>
      </c>
      <c r="F362" s="2" t="s">
        <v>14</v>
      </c>
      <c r="G362" s="2" t="s">
        <v>15</v>
      </c>
      <c r="H362" s="2" t="s">
        <v>56</v>
      </c>
      <c r="I362" s="2">
        <v>1849.79</v>
      </c>
      <c r="J362" s="2">
        <v>4</v>
      </c>
      <c r="K362" s="2">
        <v>0</v>
      </c>
      <c r="L362" s="9">
        <f t="shared" si="21"/>
        <v>7399.16</v>
      </c>
      <c r="M362" s="9">
        <f t="shared" si="22"/>
        <v>0</v>
      </c>
      <c r="N362" s="10">
        <f t="shared" si="23"/>
        <v>7399.16</v>
      </c>
      <c r="O362" s="2" t="s">
        <v>38</v>
      </c>
      <c r="P362" s="2" t="s">
        <v>52</v>
      </c>
      <c r="Q362" s="2" t="s">
        <v>34</v>
      </c>
    </row>
    <row r="363" spans="1:17" x14ac:dyDescent="0.25">
      <c r="A363" s="3" t="s">
        <v>655</v>
      </c>
      <c r="B363" s="4">
        <v>45402</v>
      </c>
      <c r="C363" s="4" t="str">
        <f t="shared" si="20"/>
        <v>Apr</v>
      </c>
      <c r="D363" s="3" t="s">
        <v>19</v>
      </c>
      <c r="E363" s="3" t="s">
        <v>100</v>
      </c>
      <c r="F363" s="3" t="s">
        <v>88</v>
      </c>
      <c r="G363" s="3" t="s">
        <v>31</v>
      </c>
      <c r="H363" s="3" t="s">
        <v>32</v>
      </c>
      <c r="I363" s="3">
        <v>2485.39</v>
      </c>
      <c r="J363" s="3">
        <v>3</v>
      </c>
      <c r="K363" s="3">
        <v>15</v>
      </c>
      <c r="L363" s="9">
        <f t="shared" si="21"/>
        <v>7456.17</v>
      </c>
      <c r="M363" s="9">
        <f t="shared" si="22"/>
        <v>1118.4255000000001</v>
      </c>
      <c r="N363" s="10">
        <f t="shared" si="23"/>
        <v>6337.7444999999998</v>
      </c>
      <c r="O363" s="3" t="s">
        <v>26</v>
      </c>
      <c r="P363" s="3" t="s">
        <v>27</v>
      </c>
      <c r="Q363" s="3" t="s">
        <v>34</v>
      </c>
    </row>
    <row r="364" spans="1:17" x14ac:dyDescent="0.25">
      <c r="A364" s="2" t="s">
        <v>656</v>
      </c>
      <c r="B364" s="4">
        <v>45403</v>
      </c>
      <c r="C364" s="4" t="str">
        <f t="shared" si="20"/>
        <v>Apr</v>
      </c>
      <c r="D364" s="2" t="s">
        <v>547</v>
      </c>
      <c r="E364" s="2" t="s">
        <v>87</v>
      </c>
      <c r="F364" s="2" t="s">
        <v>88</v>
      </c>
      <c r="G364" s="2" t="s">
        <v>24</v>
      </c>
      <c r="H364" s="2" t="s">
        <v>170</v>
      </c>
      <c r="I364" s="2">
        <v>1289.1400000000001</v>
      </c>
      <c r="J364" s="2">
        <v>4</v>
      </c>
      <c r="K364" s="2">
        <v>0</v>
      </c>
      <c r="L364" s="9">
        <f t="shared" si="21"/>
        <v>5156.5600000000004</v>
      </c>
      <c r="M364" s="9">
        <f t="shared" si="22"/>
        <v>0</v>
      </c>
      <c r="N364" s="10">
        <f t="shared" si="23"/>
        <v>5156.5600000000004</v>
      </c>
      <c r="O364" s="2" t="s">
        <v>38</v>
      </c>
      <c r="P364" s="2" t="s">
        <v>18</v>
      </c>
      <c r="Q364" s="2" t="s">
        <v>19</v>
      </c>
    </row>
    <row r="365" spans="1:17" x14ac:dyDescent="0.25">
      <c r="A365" s="3" t="s">
        <v>657</v>
      </c>
      <c r="B365" s="4">
        <v>45404</v>
      </c>
      <c r="C365" s="4" t="str">
        <f t="shared" si="20"/>
        <v>Apr</v>
      </c>
      <c r="D365" s="3" t="s">
        <v>263</v>
      </c>
      <c r="E365" s="3" t="s">
        <v>76</v>
      </c>
      <c r="F365" s="3" t="s">
        <v>77</v>
      </c>
      <c r="G365" s="3" t="s">
        <v>36</v>
      </c>
      <c r="H365" s="3" t="s">
        <v>121</v>
      </c>
      <c r="I365" s="3">
        <v>96587.92</v>
      </c>
      <c r="J365" s="3">
        <v>5</v>
      </c>
      <c r="K365" s="3">
        <v>0</v>
      </c>
      <c r="L365" s="9">
        <f t="shared" si="21"/>
        <v>482939.6</v>
      </c>
      <c r="M365" s="9">
        <f t="shared" si="22"/>
        <v>0</v>
      </c>
      <c r="N365" s="10">
        <f t="shared" si="23"/>
        <v>482939.6</v>
      </c>
      <c r="O365" s="3" t="s">
        <v>33</v>
      </c>
      <c r="P365" s="3" t="s">
        <v>18</v>
      </c>
      <c r="Q365" s="3" t="s">
        <v>19</v>
      </c>
    </row>
    <row r="366" spans="1:17" x14ac:dyDescent="0.25">
      <c r="A366" s="2" t="s">
        <v>658</v>
      </c>
      <c r="B366" s="4">
        <v>45405</v>
      </c>
      <c r="C366" s="4" t="str">
        <f t="shared" si="20"/>
        <v>Apr</v>
      </c>
      <c r="D366" s="2" t="s">
        <v>446</v>
      </c>
      <c r="E366" s="2" t="s">
        <v>83</v>
      </c>
      <c r="F366" s="2" t="s">
        <v>84</v>
      </c>
      <c r="G366" s="2" t="s">
        <v>31</v>
      </c>
      <c r="H366" s="2" t="s">
        <v>70</v>
      </c>
      <c r="I366" s="2">
        <v>546.49</v>
      </c>
      <c r="J366" s="2">
        <v>2</v>
      </c>
      <c r="K366" s="2">
        <v>10</v>
      </c>
      <c r="L366" s="9">
        <f t="shared" si="21"/>
        <v>1092.98</v>
      </c>
      <c r="M366" s="9">
        <f t="shared" si="22"/>
        <v>109.29799999999999</v>
      </c>
      <c r="N366" s="10">
        <f t="shared" si="23"/>
        <v>983.68200000000002</v>
      </c>
      <c r="O366" s="2" t="s">
        <v>26</v>
      </c>
      <c r="P366" s="2" t="s">
        <v>18</v>
      </c>
      <c r="Q366" s="2" t="s">
        <v>60</v>
      </c>
    </row>
    <row r="367" spans="1:17" x14ac:dyDescent="0.25">
      <c r="A367" s="3" t="s">
        <v>659</v>
      </c>
      <c r="B367" s="4">
        <v>45406</v>
      </c>
      <c r="C367" s="4" t="str">
        <f t="shared" si="20"/>
        <v>Apr</v>
      </c>
      <c r="D367" s="3" t="s">
        <v>660</v>
      </c>
      <c r="E367" s="3" t="s">
        <v>87</v>
      </c>
      <c r="F367" s="3" t="s">
        <v>88</v>
      </c>
      <c r="G367" s="3" t="s">
        <v>72</v>
      </c>
      <c r="H367" s="3" t="s">
        <v>102</v>
      </c>
      <c r="I367" s="3">
        <v>686.26</v>
      </c>
      <c r="J367" s="3">
        <v>4</v>
      </c>
      <c r="K367" s="3">
        <v>0</v>
      </c>
      <c r="L367" s="9">
        <f t="shared" si="21"/>
        <v>2745.04</v>
      </c>
      <c r="M367" s="9">
        <f t="shared" si="22"/>
        <v>0</v>
      </c>
      <c r="N367" s="10">
        <f t="shared" si="23"/>
        <v>2745.04</v>
      </c>
      <c r="O367" s="3" t="s">
        <v>26</v>
      </c>
      <c r="P367" s="3" t="s">
        <v>18</v>
      </c>
      <c r="Q367" s="3" t="s">
        <v>40</v>
      </c>
    </row>
    <row r="368" spans="1:17" x14ac:dyDescent="0.25">
      <c r="A368" s="2" t="s">
        <v>661</v>
      </c>
      <c r="B368" s="4">
        <v>45407</v>
      </c>
      <c r="C368" s="4" t="str">
        <f t="shared" si="20"/>
        <v>Apr</v>
      </c>
      <c r="D368" s="2" t="s">
        <v>185</v>
      </c>
      <c r="E368" s="2" t="s">
        <v>51</v>
      </c>
      <c r="F368" s="2" t="s">
        <v>14</v>
      </c>
      <c r="G368" s="2" t="s">
        <v>72</v>
      </c>
      <c r="H368" s="2" t="s">
        <v>102</v>
      </c>
      <c r="I368" s="2">
        <v>659.92</v>
      </c>
      <c r="J368" s="2">
        <v>2</v>
      </c>
      <c r="K368" s="2">
        <v>5</v>
      </c>
      <c r="L368" s="9">
        <f t="shared" si="21"/>
        <v>1319.84</v>
      </c>
      <c r="M368" s="9">
        <f t="shared" si="22"/>
        <v>65.992000000000004</v>
      </c>
      <c r="N368" s="10">
        <f t="shared" si="23"/>
        <v>1253.848</v>
      </c>
      <c r="O368" s="2" t="s">
        <v>68</v>
      </c>
      <c r="P368" s="2" t="s">
        <v>18</v>
      </c>
      <c r="Q368" s="2" t="s">
        <v>19</v>
      </c>
    </row>
    <row r="369" spans="1:17" x14ac:dyDescent="0.25">
      <c r="A369" s="3" t="s">
        <v>662</v>
      </c>
      <c r="B369" s="4">
        <v>45408</v>
      </c>
      <c r="C369" s="4" t="str">
        <f t="shared" si="20"/>
        <v>Apr</v>
      </c>
      <c r="D369" s="3" t="s">
        <v>663</v>
      </c>
      <c r="E369" s="3" t="s">
        <v>65</v>
      </c>
      <c r="F369" s="3" t="s">
        <v>66</v>
      </c>
      <c r="G369" s="3" t="s">
        <v>43</v>
      </c>
      <c r="H369" s="3" t="s">
        <v>145</v>
      </c>
      <c r="I369" s="3">
        <v>11719.96</v>
      </c>
      <c r="J369" s="3">
        <v>1</v>
      </c>
      <c r="K369" s="3">
        <v>0</v>
      </c>
      <c r="L369" s="9">
        <f t="shared" si="21"/>
        <v>11719.96</v>
      </c>
      <c r="M369" s="9">
        <f t="shared" si="22"/>
        <v>0</v>
      </c>
      <c r="N369" s="10">
        <f t="shared" si="23"/>
        <v>11719.96</v>
      </c>
      <c r="O369" s="3" t="s">
        <v>26</v>
      </c>
      <c r="P369" s="3" t="s">
        <v>27</v>
      </c>
      <c r="Q369" s="3" t="s">
        <v>34</v>
      </c>
    </row>
    <row r="370" spans="1:17" x14ac:dyDescent="0.25">
      <c r="A370" s="2" t="s">
        <v>664</v>
      </c>
      <c r="B370" s="4">
        <v>45409</v>
      </c>
      <c r="C370" s="4" t="str">
        <f t="shared" si="20"/>
        <v>Apr</v>
      </c>
      <c r="D370" s="2" t="s">
        <v>665</v>
      </c>
      <c r="E370" s="2" t="s">
        <v>51</v>
      </c>
      <c r="F370" s="2" t="s">
        <v>14</v>
      </c>
      <c r="G370" s="2" t="s">
        <v>36</v>
      </c>
      <c r="H370" s="2" t="s">
        <v>121</v>
      </c>
      <c r="I370" s="2">
        <v>85578.35</v>
      </c>
      <c r="J370" s="2">
        <v>2</v>
      </c>
      <c r="K370" s="2">
        <v>0</v>
      </c>
      <c r="L370" s="9">
        <f t="shared" si="21"/>
        <v>171156.7</v>
      </c>
      <c r="M370" s="9">
        <f t="shared" si="22"/>
        <v>0</v>
      </c>
      <c r="N370" s="10">
        <f t="shared" si="23"/>
        <v>171156.7</v>
      </c>
      <c r="O370" s="2" t="s">
        <v>38</v>
      </c>
      <c r="P370" s="2" t="s">
        <v>18</v>
      </c>
      <c r="Q370" s="2" t="s">
        <v>53</v>
      </c>
    </row>
    <row r="371" spans="1:17" x14ac:dyDescent="0.25">
      <c r="A371" s="3" t="s">
        <v>666</v>
      </c>
      <c r="B371" s="4">
        <v>45410</v>
      </c>
      <c r="C371" s="4" t="str">
        <f t="shared" si="20"/>
        <v>Apr</v>
      </c>
      <c r="D371" s="3" t="s">
        <v>334</v>
      </c>
      <c r="E371" s="3" t="s">
        <v>29</v>
      </c>
      <c r="F371" s="3" t="s">
        <v>30</v>
      </c>
      <c r="G371" s="3" t="s">
        <v>31</v>
      </c>
      <c r="H371" s="3" t="s">
        <v>186</v>
      </c>
      <c r="I371" s="3">
        <v>730.45</v>
      </c>
      <c r="J371" s="3">
        <v>1</v>
      </c>
      <c r="K371" s="3">
        <v>10</v>
      </c>
      <c r="L371" s="9">
        <f t="shared" si="21"/>
        <v>730.45</v>
      </c>
      <c r="M371" s="9">
        <f t="shared" si="22"/>
        <v>73.045000000000002</v>
      </c>
      <c r="N371" s="10">
        <f t="shared" si="23"/>
        <v>657.40500000000009</v>
      </c>
      <c r="O371" s="3" t="s">
        <v>38</v>
      </c>
      <c r="P371" s="3" t="s">
        <v>18</v>
      </c>
      <c r="Q371" s="3" t="s">
        <v>19</v>
      </c>
    </row>
    <row r="372" spans="1:17" x14ac:dyDescent="0.25">
      <c r="A372" s="2" t="s">
        <v>667</v>
      </c>
      <c r="B372" s="4">
        <v>45411</v>
      </c>
      <c r="C372" s="4" t="str">
        <f t="shared" si="20"/>
        <v>Apr</v>
      </c>
      <c r="D372" s="2" t="s">
        <v>668</v>
      </c>
      <c r="E372" s="2" t="s">
        <v>65</v>
      </c>
      <c r="F372" s="2" t="s">
        <v>66</v>
      </c>
      <c r="G372" s="2" t="s">
        <v>15</v>
      </c>
      <c r="H372" s="2" t="s">
        <v>163</v>
      </c>
      <c r="I372" s="2">
        <v>2421.37</v>
      </c>
      <c r="J372" s="2">
        <v>4</v>
      </c>
      <c r="K372" s="2">
        <v>0</v>
      </c>
      <c r="L372" s="9">
        <f t="shared" si="21"/>
        <v>9685.48</v>
      </c>
      <c r="M372" s="9">
        <f t="shared" si="22"/>
        <v>0</v>
      </c>
      <c r="N372" s="10">
        <f t="shared" si="23"/>
        <v>9685.48</v>
      </c>
      <c r="O372" s="2" t="s">
        <v>26</v>
      </c>
      <c r="P372" s="2" t="s">
        <v>18</v>
      </c>
      <c r="Q372" s="2" t="s">
        <v>60</v>
      </c>
    </row>
    <row r="373" spans="1:17" x14ac:dyDescent="0.25">
      <c r="A373" s="3" t="s">
        <v>669</v>
      </c>
      <c r="B373" s="4">
        <v>45412</v>
      </c>
      <c r="C373" s="4" t="str">
        <f t="shared" si="20"/>
        <v>Apr</v>
      </c>
      <c r="D373" s="3" t="s">
        <v>670</v>
      </c>
      <c r="E373" s="3" t="s">
        <v>100</v>
      </c>
      <c r="F373" s="3" t="s">
        <v>88</v>
      </c>
      <c r="G373" s="3" t="s">
        <v>24</v>
      </c>
      <c r="H373" s="3" t="s">
        <v>170</v>
      </c>
      <c r="I373" s="3">
        <v>1085.26</v>
      </c>
      <c r="J373" s="3">
        <v>5</v>
      </c>
      <c r="K373" s="3">
        <v>5</v>
      </c>
      <c r="L373" s="9">
        <f t="shared" si="21"/>
        <v>5426.3</v>
      </c>
      <c r="M373" s="9">
        <f t="shared" si="22"/>
        <v>271.315</v>
      </c>
      <c r="N373" s="10">
        <f t="shared" si="23"/>
        <v>5154.9850000000006</v>
      </c>
      <c r="O373" s="3" t="s">
        <v>68</v>
      </c>
      <c r="P373" s="3" t="s">
        <v>18</v>
      </c>
      <c r="Q373" s="3" t="s">
        <v>40</v>
      </c>
    </row>
    <row r="374" spans="1:17" x14ac:dyDescent="0.25">
      <c r="A374" s="2" t="s">
        <v>671</v>
      </c>
      <c r="B374" s="4">
        <v>45413</v>
      </c>
      <c r="C374" s="4" t="str">
        <f t="shared" si="20"/>
        <v>May</v>
      </c>
      <c r="D374" s="2" t="s">
        <v>118</v>
      </c>
      <c r="E374" s="2" t="s">
        <v>83</v>
      </c>
      <c r="F374" s="2" t="s">
        <v>84</v>
      </c>
      <c r="G374" s="2" t="s">
        <v>110</v>
      </c>
      <c r="H374" s="2" t="s">
        <v>207</v>
      </c>
      <c r="I374" s="2">
        <v>8659.67</v>
      </c>
      <c r="J374" s="2">
        <v>1</v>
      </c>
      <c r="K374" s="2">
        <v>0</v>
      </c>
      <c r="L374" s="9">
        <f t="shared" si="21"/>
        <v>8659.67</v>
      </c>
      <c r="M374" s="9">
        <f t="shared" si="22"/>
        <v>0</v>
      </c>
      <c r="N374" s="10">
        <f t="shared" si="23"/>
        <v>8659.67</v>
      </c>
      <c r="O374" s="2" t="s">
        <v>68</v>
      </c>
      <c r="P374" s="2" t="s">
        <v>27</v>
      </c>
      <c r="Q374" s="2" t="s">
        <v>40</v>
      </c>
    </row>
    <row r="375" spans="1:17" x14ac:dyDescent="0.25">
      <c r="A375" s="3" t="s">
        <v>672</v>
      </c>
      <c r="B375" s="4">
        <v>45414</v>
      </c>
      <c r="C375" s="4" t="str">
        <f t="shared" si="20"/>
        <v>May</v>
      </c>
      <c r="D375" s="3" t="s">
        <v>406</v>
      </c>
      <c r="E375" s="3" t="s">
        <v>65</v>
      </c>
      <c r="F375" s="3" t="s">
        <v>66</v>
      </c>
      <c r="G375" s="3" t="s">
        <v>43</v>
      </c>
      <c r="H375" s="3" t="s">
        <v>145</v>
      </c>
      <c r="I375" s="3">
        <v>11096.63</v>
      </c>
      <c r="J375" s="3">
        <v>3</v>
      </c>
      <c r="K375" s="3">
        <v>0</v>
      </c>
      <c r="L375" s="9">
        <f t="shared" si="21"/>
        <v>33289.89</v>
      </c>
      <c r="M375" s="9">
        <f t="shared" si="22"/>
        <v>0</v>
      </c>
      <c r="N375" s="10">
        <f t="shared" si="23"/>
        <v>33289.89</v>
      </c>
      <c r="O375" s="3" t="s">
        <v>26</v>
      </c>
      <c r="P375" s="3" t="s">
        <v>18</v>
      </c>
      <c r="Q375" s="3" t="s">
        <v>40</v>
      </c>
    </row>
    <row r="376" spans="1:17" x14ac:dyDescent="0.25">
      <c r="A376" s="2" t="s">
        <v>673</v>
      </c>
      <c r="B376" s="4">
        <v>45415</v>
      </c>
      <c r="C376" s="4" t="str">
        <f t="shared" si="20"/>
        <v>May</v>
      </c>
      <c r="D376" s="2" t="s">
        <v>674</v>
      </c>
      <c r="E376" s="2" t="s">
        <v>22</v>
      </c>
      <c r="F376" s="2" t="s">
        <v>23</v>
      </c>
      <c r="G376" s="2" t="s">
        <v>15</v>
      </c>
      <c r="H376" s="2" t="s">
        <v>56</v>
      </c>
      <c r="I376" s="2">
        <v>1717.19</v>
      </c>
      <c r="J376" s="2">
        <v>5</v>
      </c>
      <c r="K376" s="2">
        <v>10</v>
      </c>
      <c r="L376" s="9">
        <f t="shared" si="21"/>
        <v>8585.9500000000007</v>
      </c>
      <c r="M376" s="9">
        <f t="shared" si="22"/>
        <v>858.59500000000003</v>
      </c>
      <c r="N376" s="10">
        <f t="shared" si="23"/>
        <v>7727.3550000000005</v>
      </c>
      <c r="O376" s="2" t="s">
        <v>26</v>
      </c>
      <c r="P376" s="2" t="s">
        <v>18</v>
      </c>
      <c r="Q376" s="2" t="s">
        <v>40</v>
      </c>
    </row>
    <row r="377" spans="1:17" x14ac:dyDescent="0.25">
      <c r="A377" s="3" t="s">
        <v>675</v>
      </c>
      <c r="B377" s="4">
        <v>45416</v>
      </c>
      <c r="C377" s="4" t="str">
        <f t="shared" si="20"/>
        <v>May</v>
      </c>
      <c r="D377" s="3" t="s">
        <v>205</v>
      </c>
      <c r="E377" s="3" t="s">
        <v>22</v>
      </c>
      <c r="F377" s="3" t="s">
        <v>23</v>
      </c>
      <c r="G377" s="3" t="s">
        <v>31</v>
      </c>
      <c r="H377" s="3" t="s">
        <v>32</v>
      </c>
      <c r="I377" s="3">
        <v>2642.38</v>
      </c>
      <c r="J377" s="3">
        <v>4</v>
      </c>
      <c r="K377" s="3">
        <v>10</v>
      </c>
      <c r="L377" s="9">
        <f t="shared" si="21"/>
        <v>10569.52</v>
      </c>
      <c r="M377" s="9">
        <f t="shared" si="22"/>
        <v>1056.9520000000002</v>
      </c>
      <c r="N377" s="10">
        <f t="shared" si="23"/>
        <v>9512.5679999999993</v>
      </c>
      <c r="O377" s="3" t="s">
        <v>17</v>
      </c>
      <c r="P377" s="3" t="s">
        <v>18</v>
      </c>
      <c r="Q377" s="3" t="s">
        <v>34</v>
      </c>
    </row>
    <row r="378" spans="1:17" x14ac:dyDescent="0.25">
      <c r="A378" s="2" t="s">
        <v>676</v>
      </c>
      <c r="B378" s="4">
        <v>45417</v>
      </c>
      <c r="C378" s="4" t="str">
        <f t="shared" si="20"/>
        <v>May</v>
      </c>
      <c r="D378" s="2" t="s">
        <v>323</v>
      </c>
      <c r="E378" s="2" t="s">
        <v>65</v>
      </c>
      <c r="F378" s="2" t="s">
        <v>66</v>
      </c>
      <c r="G378" s="2" t="s">
        <v>31</v>
      </c>
      <c r="H378" s="2" t="s">
        <v>186</v>
      </c>
      <c r="I378" s="2">
        <v>726.3</v>
      </c>
      <c r="J378" s="2">
        <v>4</v>
      </c>
      <c r="K378" s="2">
        <v>0</v>
      </c>
      <c r="L378" s="9">
        <f t="shared" si="21"/>
        <v>2905.2</v>
      </c>
      <c r="M378" s="9">
        <f t="shared" si="22"/>
        <v>0</v>
      </c>
      <c r="N378" s="10">
        <f t="shared" si="23"/>
        <v>2905.2</v>
      </c>
      <c r="O378" s="2" t="s">
        <v>33</v>
      </c>
      <c r="P378" s="2" t="s">
        <v>18</v>
      </c>
      <c r="Q378" s="2" t="s">
        <v>53</v>
      </c>
    </row>
    <row r="379" spans="1:17" x14ac:dyDescent="0.25">
      <c r="A379" s="3" t="s">
        <v>677</v>
      </c>
      <c r="B379" s="4">
        <v>45418</v>
      </c>
      <c r="C379" s="4" t="str">
        <f t="shared" si="20"/>
        <v>May</v>
      </c>
      <c r="D379" s="3" t="s">
        <v>574</v>
      </c>
      <c r="E379" s="3" t="s">
        <v>22</v>
      </c>
      <c r="F379" s="3" t="s">
        <v>23</v>
      </c>
      <c r="G379" s="3" t="s">
        <v>36</v>
      </c>
      <c r="H379" s="3" t="s">
        <v>113</v>
      </c>
      <c r="I379" s="3">
        <v>124056.53</v>
      </c>
      <c r="J379" s="3">
        <v>2</v>
      </c>
      <c r="K379" s="3">
        <v>0</v>
      </c>
      <c r="L379" s="9">
        <f t="shared" si="21"/>
        <v>248113.06</v>
      </c>
      <c r="M379" s="9">
        <f t="shared" si="22"/>
        <v>0</v>
      </c>
      <c r="N379" s="10">
        <f t="shared" si="23"/>
        <v>248113.06</v>
      </c>
      <c r="O379" s="3" t="s">
        <v>17</v>
      </c>
      <c r="P379" s="3" t="s">
        <v>18</v>
      </c>
      <c r="Q379" s="3" t="s">
        <v>40</v>
      </c>
    </row>
    <row r="380" spans="1:17" x14ac:dyDescent="0.25">
      <c r="A380" s="2" t="s">
        <v>678</v>
      </c>
      <c r="B380" s="4">
        <v>45419</v>
      </c>
      <c r="C380" s="4" t="str">
        <f t="shared" si="20"/>
        <v>May</v>
      </c>
      <c r="D380" s="2" t="s">
        <v>246</v>
      </c>
      <c r="E380" s="2" t="s">
        <v>76</v>
      </c>
      <c r="F380" s="2" t="s">
        <v>77</v>
      </c>
      <c r="G380" s="2" t="s">
        <v>31</v>
      </c>
      <c r="H380" s="2" t="s">
        <v>116</v>
      </c>
      <c r="I380" s="2">
        <v>1191.43</v>
      </c>
      <c r="J380" s="2">
        <v>1</v>
      </c>
      <c r="K380" s="2">
        <v>0</v>
      </c>
      <c r="L380" s="9">
        <f t="shared" si="21"/>
        <v>1191.43</v>
      </c>
      <c r="M380" s="9">
        <f t="shared" si="22"/>
        <v>0</v>
      </c>
      <c r="N380" s="10">
        <f t="shared" si="23"/>
        <v>1191.43</v>
      </c>
      <c r="O380" s="2" t="s">
        <v>68</v>
      </c>
      <c r="P380" s="2" t="s">
        <v>39</v>
      </c>
      <c r="Q380" s="2" t="s">
        <v>34</v>
      </c>
    </row>
    <row r="381" spans="1:17" x14ac:dyDescent="0.25">
      <c r="A381" s="3" t="s">
        <v>679</v>
      </c>
      <c r="B381" s="4">
        <v>45420</v>
      </c>
      <c r="C381" s="4" t="str">
        <f t="shared" si="20"/>
        <v>May</v>
      </c>
      <c r="D381" s="3" t="s">
        <v>680</v>
      </c>
      <c r="E381" s="3" t="s">
        <v>65</v>
      </c>
      <c r="F381" s="3" t="s">
        <v>66</v>
      </c>
      <c r="G381" s="3" t="s">
        <v>15</v>
      </c>
      <c r="H381" s="3" t="s">
        <v>198</v>
      </c>
      <c r="I381" s="3">
        <v>735.2</v>
      </c>
      <c r="J381" s="3">
        <v>1</v>
      </c>
      <c r="K381" s="3">
        <v>0</v>
      </c>
      <c r="L381" s="9">
        <f t="shared" si="21"/>
        <v>735.2</v>
      </c>
      <c r="M381" s="9">
        <f t="shared" si="22"/>
        <v>0</v>
      </c>
      <c r="N381" s="10">
        <f t="shared" si="23"/>
        <v>735.2</v>
      </c>
      <c r="O381" s="3" t="s">
        <v>26</v>
      </c>
      <c r="P381" s="3" t="s">
        <v>27</v>
      </c>
      <c r="Q381" s="3" t="s">
        <v>53</v>
      </c>
    </row>
    <row r="382" spans="1:17" x14ac:dyDescent="0.25">
      <c r="A382" s="2" t="s">
        <v>681</v>
      </c>
      <c r="B382" s="4">
        <v>45421</v>
      </c>
      <c r="C382" s="4" t="str">
        <f t="shared" si="20"/>
        <v>May</v>
      </c>
      <c r="D382" s="2" t="s">
        <v>532</v>
      </c>
      <c r="E382" s="2" t="s">
        <v>29</v>
      </c>
      <c r="F382" s="2" t="s">
        <v>30</v>
      </c>
      <c r="G382" s="2" t="s">
        <v>31</v>
      </c>
      <c r="H382" s="2" t="s">
        <v>32</v>
      </c>
      <c r="I382" s="2">
        <v>2436.31</v>
      </c>
      <c r="J382" s="2">
        <v>3</v>
      </c>
      <c r="K382" s="2">
        <v>5</v>
      </c>
      <c r="L382" s="9">
        <f t="shared" si="21"/>
        <v>7308.93</v>
      </c>
      <c r="M382" s="9">
        <f t="shared" si="22"/>
        <v>365.44650000000001</v>
      </c>
      <c r="N382" s="10">
        <f t="shared" si="23"/>
        <v>6943.4835000000003</v>
      </c>
      <c r="O382" s="2" t="s">
        <v>68</v>
      </c>
      <c r="P382" s="2" t="s">
        <v>18</v>
      </c>
      <c r="Q382" s="2" t="s">
        <v>60</v>
      </c>
    </row>
    <row r="383" spans="1:17" x14ac:dyDescent="0.25">
      <c r="A383" s="3" t="s">
        <v>682</v>
      </c>
      <c r="B383" s="4">
        <v>45422</v>
      </c>
      <c r="C383" s="4" t="str">
        <f t="shared" si="20"/>
        <v>May</v>
      </c>
      <c r="D383" s="3" t="s">
        <v>683</v>
      </c>
      <c r="E383" s="3" t="s">
        <v>76</v>
      </c>
      <c r="F383" s="3" t="s">
        <v>77</v>
      </c>
      <c r="G383" s="3" t="s">
        <v>72</v>
      </c>
      <c r="H383" s="3" t="s">
        <v>129</v>
      </c>
      <c r="I383" s="3">
        <v>1853.58</v>
      </c>
      <c r="J383" s="3">
        <v>2</v>
      </c>
      <c r="K383" s="3">
        <v>0</v>
      </c>
      <c r="L383" s="9">
        <f t="shared" si="21"/>
        <v>3707.16</v>
      </c>
      <c r="M383" s="9">
        <f t="shared" si="22"/>
        <v>0</v>
      </c>
      <c r="N383" s="10">
        <f t="shared" si="23"/>
        <v>3707.16</v>
      </c>
      <c r="O383" s="3" t="s">
        <v>26</v>
      </c>
      <c r="P383" s="3" t="s">
        <v>27</v>
      </c>
      <c r="Q383" s="3" t="s">
        <v>40</v>
      </c>
    </row>
    <row r="384" spans="1:17" x14ac:dyDescent="0.25">
      <c r="A384" s="2" t="s">
        <v>684</v>
      </c>
      <c r="B384" s="4">
        <v>45423</v>
      </c>
      <c r="C384" s="4" t="str">
        <f t="shared" si="20"/>
        <v>May</v>
      </c>
      <c r="D384" s="2" t="s">
        <v>139</v>
      </c>
      <c r="E384" s="2" t="s">
        <v>29</v>
      </c>
      <c r="F384" s="2" t="s">
        <v>30</v>
      </c>
      <c r="G384" s="2" t="s">
        <v>43</v>
      </c>
      <c r="H384" s="2" t="s">
        <v>89</v>
      </c>
      <c r="I384" s="2">
        <v>4660.55</v>
      </c>
      <c r="J384" s="2">
        <v>2</v>
      </c>
      <c r="K384" s="2">
        <v>10</v>
      </c>
      <c r="L384" s="9">
        <f t="shared" si="21"/>
        <v>9321.1</v>
      </c>
      <c r="M384" s="9">
        <f t="shared" si="22"/>
        <v>932.11</v>
      </c>
      <c r="N384" s="10">
        <f t="shared" si="23"/>
        <v>8388.99</v>
      </c>
      <c r="O384" s="2" t="s">
        <v>33</v>
      </c>
      <c r="P384" s="2" t="s">
        <v>39</v>
      </c>
      <c r="Q384" s="2" t="s">
        <v>34</v>
      </c>
    </row>
    <row r="385" spans="1:17" x14ac:dyDescent="0.25">
      <c r="A385" s="3" t="s">
        <v>685</v>
      </c>
      <c r="B385" s="4">
        <v>45424</v>
      </c>
      <c r="C385" s="4" t="str">
        <f t="shared" si="20"/>
        <v>May</v>
      </c>
      <c r="D385" s="3" t="s">
        <v>574</v>
      </c>
      <c r="E385" s="3" t="s">
        <v>100</v>
      </c>
      <c r="F385" s="3" t="s">
        <v>88</v>
      </c>
      <c r="G385" s="3" t="s">
        <v>43</v>
      </c>
      <c r="H385" s="3" t="s">
        <v>145</v>
      </c>
      <c r="I385" s="3">
        <v>11071.05</v>
      </c>
      <c r="J385" s="3">
        <v>4</v>
      </c>
      <c r="K385" s="3">
        <v>15</v>
      </c>
      <c r="L385" s="9">
        <f t="shared" si="21"/>
        <v>44284.2</v>
      </c>
      <c r="M385" s="9">
        <f t="shared" si="22"/>
        <v>6642.63</v>
      </c>
      <c r="N385" s="10">
        <f t="shared" si="23"/>
        <v>37641.57</v>
      </c>
      <c r="O385" s="3" t="s">
        <v>68</v>
      </c>
      <c r="P385" s="3" t="s">
        <v>18</v>
      </c>
      <c r="Q385" s="3" t="s">
        <v>34</v>
      </c>
    </row>
    <row r="386" spans="1:17" x14ac:dyDescent="0.25">
      <c r="A386" s="2" t="s">
        <v>686</v>
      </c>
      <c r="B386" s="4">
        <v>45425</v>
      </c>
      <c r="C386" s="4" t="str">
        <f t="shared" ref="C386:C449" si="24">TEXT(B386,"mmm")</f>
        <v>May</v>
      </c>
      <c r="D386" s="2" t="s">
        <v>687</v>
      </c>
      <c r="E386" s="2" t="s">
        <v>83</v>
      </c>
      <c r="F386" s="2" t="s">
        <v>84</v>
      </c>
      <c r="G386" s="2" t="s">
        <v>72</v>
      </c>
      <c r="H386" s="2" t="s">
        <v>73</v>
      </c>
      <c r="I386" s="2">
        <v>365.66</v>
      </c>
      <c r="J386" s="2">
        <v>2</v>
      </c>
      <c r="K386" s="2">
        <v>15</v>
      </c>
      <c r="L386" s="9">
        <f t="shared" ref="L386:L449" si="25">J386*I386</f>
        <v>731.32</v>
      </c>
      <c r="M386" s="9">
        <f t="shared" ref="M386:M449" si="26">L386*K386/100</f>
        <v>109.69800000000001</v>
      </c>
      <c r="N386" s="10">
        <f t="shared" ref="N386:N449" si="27">L386-M386</f>
        <v>621.62200000000007</v>
      </c>
      <c r="O386" s="2" t="s">
        <v>38</v>
      </c>
      <c r="P386" s="2" t="s">
        <v>52</v>
      </c>
      <c r="Q386" s="2" t="s">
        <v>19</v>
      </c>
    </row>
    <row r="387" spans="1:17" x14ac:dyDescent="0.25">
      <c r="A387" s="3" t="s">
        <v>688</v>
      </c>
      <c r="B387" s="4">
        <v>45426</v>
      </c>
      <c r="C387" s="4" t="str">
        <f t="shared" si="24"/>
        <v>May</v>
      </c>
      <c r="D387" s="3" t="s">
        <v>583</v>
      </c>
      <c r="E387" s="3" t="s">
        <v>22</v>
      </c>
      <c r="F387" s="3" t="s">
        <v>23</v>
      </c>
      <c r="G387" s="3" t="s">
        <v>43</v>
      </c>
      <c r="H387" s="3" t="s">
        <v>127</v>
      </c>
      <c r="I387" s="3">
        <v>5480.12</v>
      </c>
      <c r="J387" s="3">
        <v>4</v>
      </c>
      <c r="K387" s="3">
        <v>0</v>
      </c>
      <c r="L387" s="9">
        <f t="shared" si="25"/>
        <v>21920.48</v>
      </c>
      <c r="M387" s="9">
        <f t="shared" si="26"/>
        <v>0</v>
      </c>
      <c r="N387" s="10">
        <f t="shared" si="27"/>
        <v>21920.48</v>
      </c>
      <c r="O387" s="3" t="s">
        <v>17</v>
      </c>
      <c r="P387" s="3" t="s">
        <v>52</v>
      </c>
      <c r="Q387" s="3" t="s">
        <v>40</v>
      </c>
    </row>
    <row r="388" spans="1:17" x14ac:dyDescent="0.25">
      <c r="A388" s="2" t="s">
        <v>689</v>
      </c>
      <c r="B388" s="4">
        <v>45427</v>
      </c>
      <c r="C388" s="4" t="str">
        <f t="shared" si="24"/>
        <v>May</v>
      </c>
      <c r="D388" s="2" t="s">
        <v>347</v>
      </c>
      <c r="E388" s="2" t="s">
        <v>83</v>
      </c>
      <c r="F388" s="2" t="s">
        <v>84</v>
      </c>
      <c r="G388" s="2" t="s">
        <v>72</v>
      </c>
      <c r="H388" s="2" t="s">
        <v>129</v>
      </c>
      <c r="I388" s="2">
        <v>1926.67</v>
      </c>
      <c r="J388" s="2">
        <v>2</v>
      </c>
      <c r="K388" s="2">
        <v>0</v>
      </c>
      <c r="L388" s="9">
        <f t="shared" si="25"/>
        <v>3853.34</v>
      </c>
      <c r="M388" s="9">
        <f t="shared" si="26"/>
        <v>0</v>
      </c>
      <c r="N388" s="10">
        <f t="shared" si="27"/>
        <v>3853.34</v>
      </c>
      <c r="O388" s="2" t="s">
        <v>33</v>
      </c>
      <c r="P388" s="2" t="s">
        <v>18</v>
      </c>
      <c r="Q388" s="2" t="s">
        <v>53</v>
      </c>
    </row>
    <row r="389" spans="1:17" x14ac:dyDescent="0.25">
      <c r="A389" s="3" t="s">
        <v>690</v>
      </c>
      <c r="B389" s="4">
        <v>45428</v>
      </c>
      <c r="C389" s="4" t="str">
        <f t="shared" si="24"/>
        <v>May</v>
      </c>
      <c r="D389" s="3" t="s">
        <v>474</v>
      </c>
      <c r="E389" s="3" t="s">
        <v>83</v>
      </c>
      <c r="F389" s="3" t="s">
        <v>84</v>
      </c>
      <c r="G389" s="3" t="s">
        <v>24</v>
      </c>
      <c r="H389" s="3" t="s">
        <v>59</v>
      </c>
      <c r="I389" s="3">
        <v>5143.32</v>
      </c>
      <c r="J389" s="3">
        <v>4</v>
      </c>
      <c r="K389" s="3">
        <v>10</v>
      </c>
      <c r="L389" s="9">
        <f t="shared" si="25"/>
        <v>20573.28</v>
      </c>
      <c r="M389" s="9">
        <f t="shared" si="26"/>
        <v>2057.328</v>
      </c>
      <c r="N389" s="10">
        <f t="shared" si="27"/>
        <v>18515.951999999997</v>
      </c>
      <c r="O389" s="3" t="s">
        <v>68</v>
      </c>
      <c r="P389" s="3" t="s">
        <v>18</v>
      </c>
      <c r="Q389" s="3" t="s">
        <v>60</v>
      </c>
    </row>
    <row r="390" spans="1:17" x14ac:dyDescent="0.25">
      <c r="A390" s="2" t="s">
        <v>691</v>
      </c>
      <c r="B390" s="4">
        <v>45429</v>
      </c>
      <c r="C390" s="4" t="str">
        <f t="shared" si="24"/>
        <v>May</v>
      </c>
      <c r="D390" s="2" t="s">
        <v>263</v>
      </c>
      <c r="E390" s="2" t="s">
        <v>76</v>
      </c>
      <c r="F390" s="2" t="s">
        <v>77</v>
      </c>
      <c r="G390" s="2" t="s">
        <v>43</v>
      </c>
      <c r="H390" s="2" t="s">
        <v>105</v>
      </c>
      <c r="I390" s="2">
        <v>2586.48</v>
      </c>
      <c r="J390" s="2">
        <v>4</v>
      </c>
      <c r="K390" s="2">
        <v>5</v>
      </c>
      <c r="L390" s="9">
        <f t="shared" si="25"/>
        <v>10345.92</v>
      </c>
      <c r="M390" s="9">
        <f t="shared" si="26"/>
        <v>517.29599999999994</v>
      </c>
      <c r="N390" s="10">
        <f t="shared" si="27"/>
        <v>9828.6239999999998</v>
      </c>
      <c r="O390" s="2" t="s">
        <v>68</v>
      </c>
      <c r="P390" s="2" t="s">
        <v>18</v>
      </c>
      <c r="Q390" s="2" t="s">
        <v>60</v>
      </c>
    </row>
    <row r="391" spans="1:17" x14ac:dyDescent="0.25">
      <c r="A391" s="3" t="s">
        <v>692</v>
      </c>
      <c r="B391" s="4">
        <v>45430</v>
      </c>
      <c r="C391" s="4" t="str">
        <f t="shared" si="24"/>
        <v>May</v>
      </c>
      <c r="D391" s="3" t="s">
        <v>431</v>
      </c>
      <c r="E391" s="3" t="s">
        <v>83</v>
      </c>
      <c r="F391" s="3" t="s">
        <v>84</v>
      </c>
      <c r="G391" s="3" t="s">
        <v>36</v>
      </c>
      <c r="H391" s="3" t="s">
        <v>78</v>
      </c>
      <c r="I391" s="3">
        <v>89960.320000000007</v>
      </c>
      <c r="J391" s="3">
        <v>5</v>
      </c>
      <c r="K391" s="3">
        <v>0</v>
      </c>
      <c r="L391" s="9">
        <f t="shared" si="25"/>
        <v>449801.60000000003</v>
      </c>
      <c r="M391" s="9">
        <f t="shared" si="26"/>
        <v>0</v>
      </c>
      <c r="N391" s="10">
        <f t="shared" si="27"/>
        <v>449801.60000000003</v>
      </c>
      <c r="O391" s="3" t="s">
        <v>38</v>
      </c>
      <c r="P391" s="3" t="s">
        <v>52</v>
      </c>
      <c r="Q391" s="3" t="s">
        <v>19</v>
      </c>
    </row>
    <row r="392" spans="1:17" x14ac:dyDescent="0.25">
      <c r="A392" s="2" t="s">
        <v>693</v>
      </c>
      <c r="B392" s="4">
        <v>45431</v>
      </c>
      <c r="C392" s="4" t="str">
        <f t="shared" si="24"/>
        <v>May</v>
      </c>
      <c r="D392" s="2" t="s">
        <v>97</v>
      </c>
      <c r="E392" s="2" t="s">
        <v>76</v>
      </c>
      <c r="F392" s="2" t="s">
        <v>77</v>
      </c>
      <c r="G392" s="2" t="s">
        <v>31</v>
      </c>
      <c r="H392" s="2" t="s">
        <v>116</v>
      </c>
      <c r="I392" s="2">
        <v>1278.07</v>
      </c>
      <c r="J392" s="2">
        <v>2</v>
      </c>
      <c r="K392" s="2">
        <v>10</v>
      </c>
      <c r="L392" s="9">
        <f t="shared" si="25"/>
        <v>2556.14</v>
      </c>
      <c r="M392" s="9">
        <f t="shared" si="26"/>
        <v>255.61399999999998</v>
      </c>
      <c r="N392" s="10">
        <f t="shared" si="27"/>
        <v>2300.5259999999998</v>
      </c>
      <c r="O392" s="2" t="s">
        <v>38</v>
      </c>
      <c r="P392" s="2" t="s">
        <v>52</v>
      </c>
      <c r="Q392" s="2" t="s">
        <v>19</v>
      </c>
    </row>
    <row r="393" spans="1:17" x14ac:dyDescent="0.25">
      <c r="A393" s="3" t="s">
        <v>694</v>
      </c>
      <c r="B393" s="4">
        <v>45432</v>
      </c>
      <c r="C393" s="4" t="str">
        <f t="shared" si="24"/>
        <v>May</v>
      </c>
      <c r="D393" s="3" t="s">
        <v>353</v>
      </c>
      <c r="E393" s="3" t="s">
        <v>87</v>
      </c>
      <c r="F393" s="3" t="s">
        <v>88</v>
      </c>
      <c r="G393" s="3" t="s">
        <v>15</v>
      </c>
      <c r="H393" s="3" t="s">
        <v>95</v>
      </c>
      <c r="I393" s="3">
        <v>1107.3699999999999</v>
      </c>
      <c r="J393" s="3">
        <v>2</v>
      </c>
      <c r="K393" s="3">
        <v>10</v>
      </c>
      <c r="L393" s="9">
        <f t="shared" si="25"/>
        <v>2214.7399999999998</v>
      </c>
      <c r="M393" s="9">
        <f t="shared" si="26"/>
        <v>221.47399999999999</v>
      </c>
      <c r="N393" s="10">
        <f t="shared" si="27"/>
        <v>1993.2659999999998</v>
      </c>
      <c r="O393" s="3" t="s">
        <v>38</v>
      </c>
      <c r="P393" s="3" t="s">
        <v>18</v>
      </c>
      <c r="Q393" s="3" t="s">
        <v>34</v>
      </c>
    </row>
    <row r="394" spans="1:17" x14ac:dyDescent="0.25">
      <c r="A394" s="2" t="s">
        <v>695</v>
      </c>
      <c r="B394" s="4">
        <v>45433</v>
      </c>
      <c r="C394" s="4" t="str">
        <f t="shared" si="24"/>
        <v>May</v>
      </c>
      <c r="D394" s="2" t="s">
        <v>668</v>
      </c>
      <c r="E394" s="2" t="s">
        <v>22</v>
      </c>
      <c r="F394" s="2" t="s">
        <v>23</v>
      </c>
      <c r="G394" s="2" t="s">
        <v>36</v>
      </c>
      <c r="H394" s="2" t="s">
        <v>49</v>
      </c>
      <c r="I394" s="2">
        <v>149772.66</v>
      </c>
      <c r="J394" s="2">
        <v>4</v>
      </c>
      <c r="K394" s="2">
        <v>0</v>
      </c>
      <c r="L394" s="9">
        <f t="shared" si="25"/>
        <v>599090.64</v>
      </c>
      <c r="M394" s="9">
        <f t="shared" si="26"/>
        <v>0</v>
      </c>
      <c r="N394" s="10">
        <f t="shared" si="27"/>
        <v>599090.64</v>
      </c>
      <c r="O394" s="2" t="s">
        <v>38</v>
      </c>
      <c r="P394" s="2" t="s">
        <v>52</v>
      </c>
      <c r="Q394" s="2" t="s">
        <v>53</v>
      </c>
    </row>
    <row r="395" spans="1:17" x14ac:dyDescent="0.25">
      <c r="A395" s="3" t="s">
        <v>696</v>
      </c>
      <c r="B395" s="4">
        <v>45434</v>
      </c>
      <c r="C395" s="4" t="str">
        <f t="shared" si="24"/>
        <v>May</v>
      </c>
      <c r="D395" s="3" t="s">
        <v>139</v>
      </c>
      <c r="E395" s="3" t="s">
        <v>51</v>
      </c>
      <c r="F395" s="3" t="s">
        <v>14</v>
      </c>
      <c r="G395" s="3" t="s">
        <v>43</v>
      </c>
      <c r="H395" s="3" t="s">
        <v>127</v>
      </c>
      <c r="I395" s="3">
        <v>5738.47</v>
      </c>
      <c r="J395" s="3">
        <v>1</v>
      </c>
      <c r="K395" s="3">
        <v>0</v>
      </c>
      <c r="L395" s="9">
        <f t="shared" si="25"/>
        <v>5738.47</v>
      </c>
      <c r="M395" s="9">
        <f t="shared" si="26"/>
        <v>0</v>
      </c>
      <c r="N395" s="10">
        <f t="shared" si="27"/>
        <v>5738.47</v>
      </c>
      <c r="O395" s="3" t="s">
        <v>68</v>
      </c>
      <c r="P395" s="3" t="s">
        <v>27</v>
      </c>
      <c r="Q395" s="3" t="s">
        <v>19</v>
      </c>
    </row>
    <row r="396" spans="1:17" x14ac:dyDescent="0.25">
      <c r="A396" s="2" t="s">
        <v>697</v>
      </c>
      <c r="B396" s="4">
        <v>45435</v>
      </c>
      <c r="C396" s="4" t="str">
        <f t="shared" si="24"/>
        <v>May</v>
      </c>
      <c r="D396" s="2" t="s">
        <v>698</v>
      </c>
      <c r="E396" s="2" t="s">
        <v>29</v>
      </c>
      <c r="F396" s="2" t="s">
        <v>30</v>
      </c>
      <c r="G396" s="2" t="s">
        <v>110</v>
      </c>
      <c r="H396" s="2" t="s">
        <v>153</v>
      </c>
      <c r="I396" s="2">
        <v>3824.7</v>
      </c>
      <c r="J396" s="2">
        <v>1</v>
      </c>
      <c r="K396" s="2">
        <v>10</v>
      </c>
      <c r="L396" s="9">
        <f t="shared" si="25"/>
        <v>3824.7</v>
      </c>
      <c r="M396" s="9">
        <f t="shared" si="26"/>
        <v>382.47</v>
      </c>
      <c r="N396" s="10">
        <f t="shared" si="27"/>
        <v>3442.2299999999996</v>
      </c>
      <c r="O396" s="2" t="s">
        <v>68</v>
      </c>
      <c r="P396" s="2" t="s">
        <v>52</v>
      </c>
      <c r="Q396" s="2" t="s">
        <v>60</v>
      </c>
    </row>
    <row r="397" spans="1:17" x14ac:dyDescent="0.25">
      <c r="A397" s="3" t="s">
        <v>699</v>
      </c>
      <c r="B397" s="4">
        <v>45436</v>
      </c>
      <c r="C397" s="4" t="str">
        <f t="shared" si="24"/>
        <v>May</v>
      </c>
      <c r="D397" s="3" t="s">
        <v>700</v>
      </c>
      <c r="E397" s="3" t="s">
        <v>100</v>
      </c>
      <c r="F397" s="3" t="s">
        <v>88</v>
      </c>
      <c r="G397" s="3" t="s">
        <v>15</v>
      </c>
      <c r="H397" s="3" t="s">
        <v>56</v>
      </c>
      <c r="I397" s="3">
        <v>1682.51</v>
      </c>
      <c r="J397" s="3">
        <v>2</v>
      </c>
      <c r="K397" s="3">
        <v>10</v>
      </c>
      <c r="L397" s="9">
        <f t="shared" si="25"/>
        <v>3365.02</v>
      </c>
      <c r="M397" s="9">
        <f t="shared" si="26"/>
        <v>336.50199999999995</v>
      </c>
      <c r="N397" s="10">
        <f t="shared" si="27"/>
        <v>3028.518</v>
      </c>
      <c r="O397" s="3" t="s">
        <v>33</v>
      </c>
      <c r="P397" s="3" t="s">
        <v>27</v>
      </c>
      <c r="Q397" s="3" t="s">
        <v>19</v>
      </c>
    </row>
    <row r="398" spans="1:17" x14ac:dyDescent="0.25">
      <c r="A398" s="2" t="s">
        <v>701</v>
      </c>
      <c r="B398" s="4">
        <v>45437</v>
      </c>
      <c r="C398" s="4" t="str">
        <f t="shared" si="24"/>
        <v>May</v>
      </c>
      <c r="D398" s="2" t="s">
        <v>665</v>
      </c>
      <c r="E398" s="2" t="s">
        <v>65</v>
      </c>
      <c r="F398" s="2" t="s">
        <v>66</v>
      </c>
      <c r="G398" s="2" t="s">
        <v>43</v>
      </c>
      <c r="H398" s="2" t="s">
        <v>89</v>
      </c>
      <c r="I398" s="2">
        <v>4874.32</v>
      </c>
      <c r="J398" s="2">
        <v>2</v>
      </c>
      <c r="K398" s="2">
        <v>5</v>
      </c>
      <c r="L398" s="9">
        <f t="shared" si="25"/>
        <v>9748.64</v>
      </c>
      <c r="M398" s="9">
        <f t="shared" si="26"/>
        <v>487.43199999999996</v>
      </c>
      <c r="N398" s="10">
        <f t="shared" si="27"/>
        <v>9261.2079999999987</v>
      </c>
      <c r="O398" s="2" t="s">
        <v>33</v>
      </c>
      <c r="P398" s="2" t="s">
        <v>18</v>
      </c>
      <c r="Q398" s="2" t="s">
        <v>34</v>
      </c>
    </row>
    <row r="399" spans="1:17" x14ac:dyDescent="0.25">
      <c r="A399" s="3" t="s">
        <v>702</v>
      </c>
      <c r="B399" s="4">
        <v>45438</v>
      </c>
      <c r="C399" s="4" t="str">
        <f t="shared" si="24"/>
        <v>May</v>
      </c>
      <c r="D399" s="3" t="s">
        <v>703</v>
      </c>
      <c r="E399" s="3" t="s">
        <v>65</v>
      </c>
      <c r="F399" s="3" t="s">
        <v>66</v>
      </c>
      <c r="G399" s="3" t="s">
        <v>110</v>
      </c>
      <c r="H399" s="3" t="s">
        <v>111</v>
      </c>
      <c r="I399" s="3">
        <v>9117.93</v>
      </c>
      <c r="J399" s="3">
        <v>5</v>
      </c>
      <c r="K399" s="3">
        <v>0</v>
      </c>
      <c r="L399" s="9">
        <f t="shared" si="25"/>
        <v>45589.65</v>
      </c>
      <c r="M399" s="9">
        <f t="shared" si="26"/>
        <v>0</v>
      </c>
      <c r="N399" s="10">
        <f t="shared" si="27"/>
        <v>45589.65</v>
      </c>
      <c r="O399" s="3" t="s">
        <v>17</v>
      </c>
      <c r="P399" s="3" t="s">
        <v>27</v>
      </c>
      <c r="Q399" s="3" t="s">
        <v>53</v>
      </c>
    </row>
    <row r="400" spans="1:17" x14ac:dyDescent="0.25">
      <c r="A400" s="2" t="s">
        <v>704</v>
      </c>
      <c r="B400" s="4">
        <v>45439</v>
      </c>
      <c r="C400" s="4" t="str">
        <f t="shared" si="24"/>
        <v>May</v>
      </c>
      <c r="D400" s="2" t="s">
        <v>453</v>
      </c>
      <c r="E400" s="2" t="s">
        <v>47</v>
      </c>
      <c r="F400" s="2" t="s">
        <v>48</v>
      </c>
      <c r="G400" s="2" t="s">
        <v>15</v>
      </c>
      <c r="H400" s="2" t="s">
        <v>16</v>
      </c>
      <c r="I400" s="2">
        <v>1626.36</v>
      </c>
      <c r="J400" s="2">
        <v>2</v>
      </c>
      <c r="K400" s="2">
        <v>15</v>
      </c>
      <c r="L400" s="9">
        <f t="shared" si="25"/>
        <v>3252.72</v>
      </c>
      <c r="M400" s="9">
        <f t="shared" si="26"/>
        <v>487.90799999999996</v>
      </c>
      <c r="N400" s="10">
        <f t="shared" si="27"/>
        <v>2764.8119999999999</v>
      </c>
      <c r="O400" s="2" t="s">
        <v>26</v>
      </c>
      <c r="P400" s="2" t="s">
        <v>52</v>
      </c>
      <c r="Q400" s="2" t="s">
        <v>19</v>
      </c>
    </row>
    <row r="401" spans="1:17" x14ac:dyDescent="0.25">
      <c r="A401" s="3" t="s">
        <v>705</v>
      </c>
      <c r="B401" s="4">
        <v>45440</v>
      </c>
      <c r="C401" s="4" t="str">
        <f t="shared" si="24"/>
        <v>May</v>
      </c>
      <c r="D401" s="3" t="s">
        <v>336</v>
      </c>
      <c r="E401" s="3" t="s">
        <v>22</v>
      </c>
      <c r="F401" s="3" t="s">
        <v>23</v>
      </c>
      <c r="G401" s="3" t="s">
        <v>72</v>
      </c>
      <c r="H401" s="3" t="s">
        <v>137</v>
      </c>
      <c r="I401" s="3">
        <v>2227.4</v>
      </c>
      <c r="J401" s="3">
        <v>5</v>
      </c>
      <c r="K401" s="3">
        <v>0</v>
      </c>
      <c r="L401" s="9">
        <f t="shared" si="25"/>
        <v>11137</v>
      </c>
      <c r="M401" s="9">
        <f t="shared" si="26"/>
        <v>0</v>
      </c>
      <c r="N401" s="10">
        <f t="shared" si="27"/>
        <v>11137</v>
      </c>
      <c r="O401" s="3" t="s">
        <v>33</v>
      </c>
      <c r="P401" s="3" t="s">
        <v>27</v>
      </c>
      <c r="Q401" s="3" t="s">
        <v>19</v>
      </c>
    </row>
    <row r="402" spans="1:17" x14ac:dyDescent="0.25">
      <c r="A402" s="2" t="s">
        <v>706</v>
      </c>
      <c r="B402" s="4">
        <v>45441</v>
      </c>
      <c r="C402" s="4" t="str">
        <f t="shared" si="24"/>
        <v>May</v>
      </c>
      <c r="D402" s="2" t="s">
        <v>214</v>
      </c>
      <c r="E402" s="2" t="s">
        <v>83</v>
      </c>
      <c r="F402" s="2" t="s">
        <v>84</v>
      </c>
      <c r="G402" s="2" t="s">
        <v>36</v>
      </c>
      <c r="H402" s="2" t="s">
        <v>78</v>
      </c>
      <c r="I402" s="2">
        <v>82974.8</v>
      </c>
      <c r="J402" s="2">
        <v>1</v>
      </c>
      <c r="K402" s="2">
        <v>0</v>
      </c>
      <c r="L402" s="9">
        <f t="shared" si="25"/>
        <v>82974.8</v>
      </c>
      <c r="M402" s="9">
        <f t="shared" si="26"/>
        <v>0</v>
      </c>
      <c r="N402" s="10">
        <f t="shared" si="27"/>
        <v>82974.8</v>
      </c>
      <c r="O402" s="2" t="s">
        <v>68</v>
      </c>
      <c r="P402" s="2" t="s">
        <v>18</v>
      </c>
      <c r="Q402" s="2" t="s">
        <v>34</v>
      </c>
    </row>
    <row r="403" spans="1:17" x14ac:dyDescent="0.25">
      <c r="A403" s="3" t="s">
        <v>707</v>
      </c>
      <c r="B403" s="4">
        <v>45442</v>
      </c>
      <c r="C403" s="4" t="str">
        <f t="shared" si="24"/>
        <v>May</v>
      </c>
      <c r="D403" s="3" t="s">
        <v>708</v>
      </c>
      <c r="E403" s="3" t="s">
        <v>47</v>
      </c>
      <c r="F403" s="3" t="s">
        <v>48</v>
      </c>
      <c r="G403" s="3" t="s">
        <v>24</v>
      </c>
      <c r="H403" s="3" t="s">
        <v>92</v>
      </c>
      <c r="I403" s="3">
        <v>1557.18</v>
      </c>
      <c r="J403" s="3">
        <v>3</v>
      </c>
      <c r="K403" s="3">
        <v>5</v>
      </c>
      <c r="L403" s="9">
        <f t="shared" si="25"/>
        <v>4671.54</v>
      </c>
      <c r="M403" s="9">
        <f t="shared" si="26"/>
        <v>233.577</v>
      </c>
      <c r="N403" s="10">
        <f t="shared" si="27"/>
        <v>4437.9629999999997</v>
      </c>
      <c r="O403" s="3" t="s">
        <v>17</v>
      </c>
      <c r="P403" s="3" t="s">
        <v>18</v>
      </c>
      <c r="Q403" s="3" t="s">
        <v>34</v>
      </c>
    </row>
    <row r="404" spans="1:17" x14ac:dyDescent="0.25">
      <c r="A404" s="2" t="s">
        <v>709</v>
      </c>
      <c r="B404" s="4">
        <v>45443</v>
      </c>
      <c r="C404" s="4" t="str">
        <f t="shared" si="24"/>
        <v>May</v>
      </c>
      <c r="D404" s="2" t="s">
        <v>628</v>
      </c>
      <c r="E404" s="2" t="s">
        <v>83</v>
      </c>
      <c r="F404" s="2" t="s">
        <v>84</v>
      </c>
      <c r="G404" s="2" t="s">
        <v>72</v>
      </c>
      <c r="H404" s="2" t="s">
        <v>102</v>
      </c>
      <c r="I404" s="2">
        <v>681.51</v>
      </c>
      <c r="J404" s="2">
        <v>5</v>
      </c>
      <c r="K404" s="2">
        <v>15</v>
      </c>
      <c r="L404" s="9">
        <f t="shared" si="25"/>
        <v>3407.55</v>
      </c>
      <c r="M404" s="9">
        <f t="shared" si="26"/>
        <v>511.13249999999999</v>
      </c>
      <c r="N404" s="10">
        <f t="shared" si="27"/>
        <v>2896.4175</v>
      </c>
      <c r="O404" s="2" t="s">
        <v>26</v>
      </c>
      <c r="P404" s="2" t="s">
        <v>52</v>
      </c>
      <c r="Q404" s="2" t="s">
        <v>34</v>
      </c>
    </row>
    <row r="405" spans="1:17" x14ac:dyDescent="0.25">
      <c r="A405" s="3" t="s">
        <v>710</v>
      </c>
      <c r="B405" s="4">
        <v>45444</v>
      </c>
      <c r="C405" s="4" t="str">
        <f t="shared" si="24"/>
        <v>Jun</v>
      </c>
      <c r="D405" s="3" t="s">
        <v>194</v>
      </c>
      <c r="E405" s="3" t="s">
        <v>65</v>
      </c>
      <c r="F405" s="3" t="s">
        <v>66</v>
      </c>
      <c r="G405" s="3" t="s">
        <v>43</v>
      </c>
      <c r="H405" s="3" t="s">
        <v>145</v>
      </c>
      <c r="I405" s="3">
        <v>13096.08</v>
      </c>
      <c r="J405" s="3">
        <v>3</v>
      </c>
      <c r="K405" s="3">
        <v>0</v>
      </c>
      <c r="L405" s="9">
        <f t="shared" si="25"/>
        <v>39288.239999999998</v>
      </c>
      <c r="M405" s="9">
        <f t="shared" si="26"/>
        <v>0</v>
      </c>
      <c r="N405" s="10">
        <f t="shared" si="27"/>
        <v>39288.239999999998</v>
      </c>
      <c r="O405" s="3" t="s">
        <v>68</v>
      </c>
      <c r="P405" s="3" t="s">
        <v>18</v>
      </c>
      <c r="Q405" s="3" t="s">
        <v>34</v>
      </c>
    </row>
    <row r="406" spans="1:17" x14ac:dyDescent="0.25">
      <c r="A406" s="2" t="s">
        <v>711</v>
      </c>
      <c r="B406" s="4">
        <v>45445</v>
      </c>
      <c r="C406" s="4" t="str">
        <f t="shared" si="24"/>
        <v>Jun</v>
      </c>
      <c r="D406" s="2" t="s">
        <v>630</v>
      </c>
      <c r="E406" s="2" t="s">
        <v>51</v>
      </c>
      <c r="F406" s="2" t="s">
        <v>14</v>
      </c>
      <c r="G406" s="2" t="s">
        <v>15</v>
      </c>
      <c r="H406" s="2" t="s">
        <v>16</v>
      </c>
      <c r="I406" s="2">
        <v>1576.53</v>
      </c>
      <c r="J406" s="2">
        <v>5</v>
      </c>
      <c r="K406" s="2">
        <v>0</v>
      </c>
      <c r="L406" s="9">
        <f t="shared" si="25"/>
        <v>7882.65</v>
      </c>
      <c r="M406" s="9">
        <f t="shared" si="26"/>
        <v>0</v>
      </c>
      <c r="N406" s="10">
        <f t="shared" si="27"/>
        <v>7882.65</v>
      </c>
      <c r="O406" s="2" t="s">
        <v>26</v>
      </c>
      <c r="P406" s="2" t="s">
        <v>39</v>
      </c>
      <c r="Q406" s="2" t="s">
        <v>53</v>
      </c>
    </row>
    <row r="407" spans="1:17" x14ac:dyDescent="0.25">
      <c r="A407" s="3" t="s">
        <v>712</v>
      </c>
      <c r="B407" s="4">
        <v>45446</v>
      </c>
      <c r="C407" s="4" t="str">
        <f t="shared" si="24"/>
        <v>Jun</v>
      </c>
      <c r="D407" s="3" t="s">
        <v>660</v>
      </c>
      <c r="E407" s="3" t="s">
        <v>22</v>
      </c>
      <c r="F407" s="3" t="s">
        <v>23</v>
      </c>
      <c r="G407" s="3" t="s">
        <v>24</v>
      </c>
      <c r="H407" s="3" t="s">
        <v>25</v>
      </c>
      <c r="I407" s="3">
        <v>4711.57</v>
      </c>
      <c r="J407" s="3">
        <v>1</v>
      </c>
      <c r="K407" s="3">
        <v>10</v>
      </c>
      <c r="L407" s="9">
        <f t="shared" si="25"/>
        <v>4711.57</v>
      </c>
      <c r="M407" s="9">
        <f t="shared" si="26"/>
        <v>471.15699999999998</v>
      </c>
      <c r="N407" s="10">
        <f t="shared" si="27"/>
        <v>4240.4129999999996</v>
      </c>
      <c r="O407" s="3" t="s">
        <v>68</v>
      </c>
      <c r="P407" s="3" t="s">
        <v>18</v>
      </c>
      <c r="Q407" s="3" t="s">
        <v>34</v>
      </c>
    </row>
    <row r="408" spans="1:17" x14ac:dyDescent="0.25">
      <c r="A408" s="2" t="s">
        <v>713</v>
      </c>
      <c r="B408" s="4">
        <v>45447</v>
      </c>
      <c r="C408" s="4" t="str">
        <f t="shared" si="24"/>
        <v>Jun</v>
      </c>
      <c r="D408" s="2" t="s">
        <v>62</v>
      </c>
      <c r="E408" s="2" t="s">
        <v>100</v>
      </c>
      <c r="F408" s="2" t="s">
        <v>88</v>
      </c>
      <c r="G408" s="2" t="s">
        <v>110</v>
      </c>
      <c r="H408" s="2" t="s">
        <v>215</v>
      </c>
      <c r="I408" s="2">
        <v>2252.8200000000002</v>
      </c>
      <c r="J408" s="2">
        <v>4</v>
      </c>
      <c r="K408" s="2">
        <v>0</v>
      </c>
      <c r="L408" s="9">
        <f t="shared" si="25"/>
        <v>9011.2800000000007</v>
      </c>
      <c r="M408" s="9">
        <f t="shared" si="26"/>
        <v>0</v>
      </c>
      <c r="N408" s="10">
        <f t="shared" si="27"/>
        <v>9011.2800000000007</v>
      </c>
      <c r="O408" s="2" t="s">
        <v>26</v>
      </c>
      <c r="P408" s="2" t="s">
        <v>18</v>
      </c>
      <c r="Q408" s="2" t="s">
        <v>53</v>
      </c>
    </row>
    <row r="409" spans="1:17" x14ac:dyDescent="0.25">
      <c r="A409" s="3" t="s">
        <v>714</v>
      </c>
      <c r="B409" s="4">
        <v>45448</v>
      </c>
      <c r="C409" s="4" t="str">
        <f t="shared" si="24"/>
        <v>Jun</v>
      </c>
      <c r="D409" s="3" t="s">
        <v>197</v>
      </c>
      <c r="E409" s="3" t="s">
        <v>29</v>
      </c>
      <c r="F409" s="3" t="s">
        <v>30</v>
      </c>
      <c r="G409" s="3" t="s">
        <v>72</v>
      </c>
      <c r="H409" s="3" t="s">
        <v>137</v>
      </c>
      <c r="I409" s="3">
        <v>2195.84</v>
      </c>
      <c r="J409" s="3">
        <v>5</v>
      </c>
      <c r="K409" s="3">
        <v>10</v>
      </c>
      <c r="L409" s="9">
        <f t="shared" si="25"/>
        <v>10979.2</v>
      </c>
      <c r="M409" s="9">
        <f t="shared" si="26"/>
        <v>1097.92</v>
      </c>
      <c r="N409" s="10">
        <f t="shared" si="27"/>
        <v>9881.2800000000007</v>
      </c>
      <c r="O409" s="3" t="s">
        <v>38</v>
      </c>
      <c r="P409" s="3" t="s">
        <v>18</v>
      </c>
      <c r="Q409" s="3" t="s">
        <v>34</v>
      </c>
    </row>
    <row r="410" spans="1:17" x14ac:dyDescent="0.25">
      <c r="A410" s="2" t="s">
        <v>715</v>
      </c>
      <c r="B410" s="4">
        <v>45449</v>
      </c>
      <c r="C410" s="4" t="str">
        <f t="shared" si="24"/>
        <v>Jun</v>
      </c>
      <c r="D410" s="2" t="s">
        <v>200</v>
      </c>
      <c r="E410" s="2" t="s">
        <v>83</v>
      </c>
      <c r="F410" s="2" t="s">
        <v>84</v>
      </c>
      <c r="G410" s="2" t="s">
        <v>36</v>
      </c>
      <c r="H410" s="2" t="s">
        <v>113</v>
      </c>
      <c r="I410" s="2">
        <v>111824.89</v>
      </c>
      <c r="J410" s="2">
        <v>5</v>
      </c>
      <c r="K410" s="2">
        <v>0</v>
      </c>
      <c r="L410" s="9">
        <f t="shared" si="25"/>
        <v>559124.44999999995</v>
      </c>
      <c r="M410" s="9">
        <f t="shared" si="26"/>
        <v>0</v>
      </c>
      <c r="N410" s="10">
        <f t="shared" si="27"/>
        <v>559124.44999999995</v>
      </c>
      <c r="O410" s="2" t="s">
        <v>33</v>
      </c>
      <c r="P410" s="2" t="s">
        <v>18</v>
      </c>
      <c r="Q410" s="2" t="s">
        <v>34</v>
      </c>
    </row>
    <row r="411" spans="1:17" x14ac:dyDescent="0.25">
      <c r="A411" s="3" t="s">
        <v>716</v>
      </c>
      <c r="B411" s="4">
        <v>45450</v>
      </c>
      <c r="C411" s="4" t="str">
        <f t="shared" si="24"/>
        <v>Jun</v>
      </c>
      <c r="D411" s="3" t="s">
        <v>717</v>
      </c>
      <c r="E411" s="3" t="s">
        <v>87</v>
      </c>
      <c r="F411" s="3" t="s">
        <v>88</v>
      </c>
      <c r="G411" s="3" t="s">
        <v>31</v>
      </c>
      <c r="H411" s="3" t="s">
        <v>116</v>
      </c>
      <c r="I411" s="3">
        <v>1150.46</v>
      </c>
      <c r="J411" s="3">
        <v>5</v>
      </c>
      <c r="K411" s="3">
        <v>0</v>
      </c>
      <c r="L411" s="9">
        <f t="shared" si="25"/>
        <v>5752.3</v>
      </c>
      <c r="M411" s="9">
        <f t="shared" si="26"/>
        <v>0</v>
      </c>
      <c r="N411" s="10">
        <f t="shared" si="27"/>
        <v>5752.3</v>
      </c>
      <c r="O411" s="3" t="s">
        <v>33</v>
      </c>
      <c r="P411" s="3" t="s">
        <v>52</v>
      </c>
      <c r="Q411" s="3" t="s">
        <v>40</v>
      </c>
    </row>
    <row r="412" spans="1:17" x14ac:dyDescent="0.25">
      <c r="A412" s="2" t="s">
        <v>718</v>
      </c>
      <c r="B412" s="4">
        <v>45451</v>
      </c>
      <c r="C412" s="4" t="str">
        <f t="shared" si="24"/>
        <v>Jun</v>
      </c>
      <c r="D412" s="2" t="s">
        <v>680</v>
      </c>
      <c r="E412" s="2" t="s">
        <v>76</v>
      </c>
      <c r="F412" s="2" t="s">
        <v>77</v>
      </c>
      <c r="G412" s="2" t="s">
        <v>24</v>
      </c>
      <c r="H412" s="2" t="s">
        <v>170</v>
      </c>
      <c r="I412" s="2">
        <v>1227.29</v>
      </c>
      <c r="J412" s="2">
        <v>5</v>
      </c>
      <c r="K412" s="2">
        <v>5</v>
      </c>
      <c r="L412" s="9">
        <f t="shared" si="25"/>
        <v>6136.45</v>
      </c>
      <c r="M412" s="9">
        <f t="shared" si="26"/>
        <v>306.82249999999999</v>
      </c>
      <c r="N412" s="10">
        <f t="shared" si="27"/>
        <v>5829.6274999999996</v>
      </c>
      <c r="O412" s="2" t="s">
        <v>68</v>
      </c>
      <c r="P412" s="2" t="s">
        <v>27</v>
      </c>
      <c r="Q412" s="2" t="s">
        <v>34</v>
      </c>
    </row>
    <row r="413" spans="1:17" x14ac:dyDescent="0.25">
      <c r="A413" s="3" t="s">
        <v>719</v>
      </c>
      <c r="B413" s="4">
        <v>45452</v>
      </c>
      <c r="C413" s="4" t="str">
        <f t="shared" si="24"/>
        <v>Jun</v>
      </c>
      <c r="D413" s="3" t="s">
        <v>139</v>
      </c>
      <c r="E413" s="3" t="s">
        <v>47</v>
      </c>
      <c r="F413" s="3" t="s">
        <v>48</v>
      </c>
      <c r="G413" s="3" t="s">
        <v>110</v>
      </c>
      <c r="H413" s="3" t="s">
        <v>215</v>
      </c>
      <c r="I413" s="3">
        <v>2262.35</v>
      </c>
      <c r="J413" s="3">
        <v>5</v>
      </c>
      <c r="K413" s="3">
        <v>5</v>
      </c>
      <c r="L413" s="9">
        <f t="shared" si="25"/>
        <v>11311.75</v>
      </c>
      <c r="M413" s="9">
        <f t="shared" si="26"/>
        <v>565.58749999999998</v>
      </c>
      <c r="N413" s="10">
        <f t="shared" si="27"/>
        <v>10746.1625</v>
      </c>
      <c r="O413" s="3" t="s">
        <v>17</v>
      </c>
      <c r="P413" s="3" t="s">
        <v>39</v>
      </c>
      <c r="Q413" s="3" t="s">
        <v>19</v>
      </c>
    </row>
    <row r="414" spans="1:17" x14ac:dyDescent="0.25">
      <c r="A414" s="2" t="s">
        <v>720</v>
      </c>
      <c r="B414" s="4">
        <v>45453</v>
      </c>
      <c r="C414" s="4" t="str">
        <f t="shared" si="24"/>
        <v>Jun</v>
      </c>
      <c r="D414" s="2" t="s">
        <v>721</v>
      </c>
      <c r="E414" s="2" t="s">
        <v>47</v>
      </c>
      <c r="F414" s="2" t="s">
        <v>48</v>
      </c>
      <c r="G414" s="2" t="s">
        <v>15</v>
      </c>
      <c r="H414" s="2" t="s">
        <v>163</v>
      </c>
      <c r="I414" s="2">
        <v>2410.16</v>
      </c>
      <c r="J414" s="2">
        <v>1</v>
      </c>
      <c r="K414" s="2">
        <v>10</v>
      </c>
      <c r="L414" s="9">
        <f t="shared" si="25"/>
        <v>2410.16</v>
      </c>
      <c r="M414" s="9">
        <f t="shared" si="26"/>
        <v>241.01599999999999</v>
      </c>
      <c r="N414" s="10">
        <f t="shared" si="27"/>
        <v>2169.1439999999998</v>
      </c>
      <c r="O414" s="2" t="s">
        <v>26</v>
      </c>
      <c r="P414" s="2" t="s">
        <v>39</v>
      </c>
      <c r="Q414" s="2" t="s">
        <v>19</v>
      </c>
    </row>
    <row r="415" spans="1:17" x14ac:dyDescent="0.25">
      <c r="A415" s="3" t="s">
        <v>722</v>
      </c>
      <c r="B415" s="4">
        <v>45454</v>
      </c>
      <c r="C415" s="4" t="str">
        <f t="shared" si="24"/>
        <v>Jun</v>
      </c>
      <c r="D415" s="3" t="s">
        <v>574</v>
      </c>
      <c r="E415" s="3" t="s">
        <v>22</v>
      </c>
      <c r="F415" s="3" t="s">
        <v>23</v>
      </c>
      <c r="G415" s="3" t="s">
        <v>24</v>
      </c>
      <c r="H415" s="3" t="s">
        <v>170</v>
      </c>
      <c r="I415" s="3">
        <v>1231.08</v>
      </c>
      <c r="J415" s="3">
        <v>2</v>
      </c>
      <c r="K415" s="3">
        <v>0</v>
      </c>
      <c r="L415" s="9">
        <f t="shared" si="25"/>
        <v>2462.16</v>
      </c>
      <c r="M415" s="9">
        <f t="shared" si="26"/>
        <v>0</v>
      </c>
      <c r="N415" s="10">
        <f t="shared" si="27"/>
        <v>2462.16</v>
      </c>
      <c r="O415" s="3" t="s">
        <v>33</v>
      </c>
      <c r="P415" s="3" t="s">
        <v>39</v>
      </c>
      <c r="Q415" s="3" t="s">
        <v>40</v>
      </c>
    </row>
    <row r="416" spans="1:17" x14ac:dyDescent="0.25">
      <c r="A416" s="2" t="s">
        <v>723</v>
      </c>
      <c r="B416" s="4">
        <v>45455</v>
      </c>
      <c r="C416" s="4" t="str">
        <f t="shared" si="24"/>
        <v>Jun</v>
      </c>
      <c r="D416" s="2" t="s">
        <v>161</v>
      </c>
      <c r="E416" s="2" t="s">
        <v>65</v>
      </c>
      <c r="F416" s="2" t="s">
        <v>66</v>
      </c>
      <c r="G416" s="2" t="s">
        <v>15</v>
      </c>
      <c r="H416" s="2" t="s">
        <v>198</v>
      </c>
      <c r="I416" s="2">
        <v>839.5</v>
      </c>
      <c r="J416" s="2">
        <v>2</v>
      </c>
      <c r="K416" s="2">
        <v>0</v>
      </c>
      <c r="L416" s="9">
        <f t="shared" si="25"/>
        <v>1679</v>
      </c>
      <c r="M416" s="9">
        <f t="shared" si="26"/>
        <v>0</v>
      </c>
      <c r="N416" s="10">
        <f t="shared" si="27"/>
        <v>1679</v>
      </c>
      <c r="O416" s="2" t="s">
        <v>33</v>
      </c>
      <c r="P416" s="2" t="s">
        <v>27</v>
      </c>
      <c r="Q416" s="2" t="s">
        <v>34</v>
      </c>
    </row>
    <row r="417" spans="1:17" x14ac:dyDescent="0.25">
      <c r="A417" s="3" t="s">
        <v>724</v>
      </c>
      <c r="B417" s="4">
        <v>45456</v>
      </c>
      <c r="C417" s="4" t="str">
        <f t="shared" si="24"/>
        <v>Jun</v>
      </c>
      <c r="D417" s="3" t="s">
        <v>725</v>
      </c>
      <c r="E417" s="3" t="s">
        <v>13</v>
      </c>
      <c r="F417" s="3" t="s">
        <v>14</v>
      </c>
      <c r="G417" s="3" t="s">
        <v>24</v>
      </c>
      <c r="H417" s="3" t="s">
        <v>108</v>
      </c>
      <c r="I417" s="3">
        <v>8092.93</v>
      </c>
      <c r="J417" s="3">
        <v>5</v>
      </c>
      <c r="K417" s="3">
        <v>5</v>
      </c>
      <c r="L417" s="9">
        <f t="shared" si="25"/>
        <v>40464.65</v>
      </c>
      <c r="M417" s="9">
        <f t="shared" si="26"/>
        <v>2023.2325000000001</v>
      </c>
      <c r="N417" s="10">
        <f t="shared" si="27"/>
        <v>38441.417500000003</v>
      </c>
      <c r="O417" s="3" t="s">
        <v>38</v>
      </c>
      <c r="P417" s="3" t="s">
        <v>18</v>
      </c>
      <c r="Q417" s="3" t="s">
        <v>60</v>
      </c>
    </row>
    <row r="418" spans="1:17" x14ac:dyDescent="0.25">
      <c r="A418" s="2" t="s">
        <v>726</v>
      </c>
      <c r="B418" s="4">
        <v>45457</v>
      </c>
      <c r="C418" s="4" t="str">
        <f t="shared" si="24"/>
        <v>Jun</v>
      </c>
      <c r="D418" s="2" t="s">
        <v>663</v>
      </c>
      <c r="E418" s="2" t="s">
        <v>65</v>
      </c>
      <c r="F418" s="2" t="s">
        <v>66</v>
      </c>
      <c r="G418" s="2" t="s">
        <v>31</v>
      </c>
      <c r="H418" s="2" t="s">
        <v>32</v>
      </c>
      <c r="I418" s="2">
        <v>2444.75</v>
      </c>
      <c r="J418" s="2">
        <v>1</v>
      </c>
      <c r="K418" s="2">
        <v>0</v>
      </c>
      <c r="L418" s="9">
        <f t="shared" si="25"/>
        <v>2444.75</v>
      </c>
      <c r="M418" s="9">
        <f t="shared" si="26"/>
        <v>0</v>
      </c>
      <c r="N418" s="10">
        <f t="shared" si="27"/>
        <v>2444.75</v>
      </c>
      <c r="O418" s="2" t="s">
        <v>68</v>
      </c>
      <c r="P418" s="2" t="s">
        <v>27</v>
      </c>
      <c r="Q418" s="2" t="s">
        <v>19</v>
      </c>
    </row>
    <row r="419" spans="1:17" x14ac:dyDescent="0.25">
      <c r="A419" s="3" t="s">
        <v>727</v>
      </c>
      <c r="B419" s="4">
        <v>45458</v>
      </c>
      <c r="C419" s="4" t="str">
        <f t="shared" si="24"/>
        <v>Jun</v>
      </c>
      <c r="D419" s="3" t="s">
        <v>205</v>
      </c>
      <c r="E419" s="3" t="s">
        <v>13</v>
      </c>
      <c r="F419" s="3" t="s">
        <v>14</v>
      </c>
      <c r="G419" s="3" t="s">
        <v>15</v>
      </c>
      <c r="H419" s="3" t="s">
        <v>198</v>
      </c>
      <c r="I419" s="3">
        <v>777.23</v>
      </c>
      <c r="J419" s="3">
        <v>5</v>
      </c>
      <c r="K419" s="3">
        <v>10</v>
      </c>
      <c r="L419" s="9">
        <f t="shared" si="25"/>
        <v>3886.15</v>
      </c>
      <c r="M419" s="9">
        <f t="shared" si="26"/>
        <v>388.61500000000001</v>
      </c>
      <c r="N419" s="10">
        <f t="shared" si="27"/>
        <v>3497.5349999999999</v>
      </c>
      <c r="O419" s="3" t="s">
        <v>38</v>
      </c>
      <c r="P419" s="3" t="s">
        <v>39</v>
      </c>
      <c r="Q419" s="3" t="s">
        <v>34</v>
      </c>
    </row>
    <row r="420" spans="1:17" x14ac:dyDescent="0.25">
      <c r="A420" s="2" t="s">
        <v>728</v>
      </c>
      <c r="B420" s="4">
        <v>45459</v>
      </c>
      <c r="C420" s="4" t="str">
        <f t="shared" si="24"/>
        <v>Jun</v>
      </c>
      <c r="D420" s="2" t="s">
        <v>369</v>
      </c>
      <c r="E420" s="2" t="s">
        <v>76</v>
      </c>
      <c r="F420" s="2" t="s">
        <v>77</v>
      </c>
      <c r="G420" s="2" t="s">
        <v>43</v>
      </c>
      <c r="H420" s="2" t="s">
        <v>145</v>
      </c>
      <c r="I420" s="2">
        <v>12773.09</v>
      </c>
      <c r="J420" s="2">
        <v>1</v>
      </c>
      <c r="K420" s="2">
        <v>0</v>
      </c>
      <c r="L420" s="9">
        <f t="shared" si="25"/>
        <v>12773.09</v>
      </c>
      <c r="M420" s="9">
        <f t="shared" si="26"/>
        <v>0</v>
      </c>
      <c r="N420" s="10">
        <f t="shared" si="27"/>
        <v>12773.09</v>
      </c>
      <c r="O420" s="2" t="s">
        <v>26</v>
      </c>
      <c r="P420" s="2" t="s">
        <v>52</v>
      </c>
      <c r="Q420" s="2" t="s">
        <v>53</v>
      </c>
    </row>
    <row r="421" spans="1:17" x14ac:dyDescent="0.25">
      <c r="A421" s="3" t="s">
        <v>729</v>
      </c>
      <c r="B421" s="4">
        <v>45460</v>
      </c>
      <c r="C421" s="4" t="str">
        <f t="shared" si="24"/>
        <v>Jun</v>
      </c>
      <c r="D421" s="3" t="s">
        <v>730</v>
      </c>
      <c r="E421" s="3" t="s">
        <v>83</v>
      </c>
      <c r="F421" s="3" t="s">
        <v>84</v>
      </c>
      <c r="G421" s="3" t="s">
        <v>31</v>
      </c>
      <c r="H421" s="3" t="s">
        <v>186</v>
      </c>
      <c r="I421" s="3">
        <v>767.69</v>
      </c>
      <c r="J421" s="3">
        <v>3</v>
      </c>
      <c r="K421" s="3">
        <v>0</v>
      </c>
      <c r="L421" s="9">
        <f t="shared" si="25"/>
        <v>2303.0700000000002</v>
      </c>
      <c r="M421" s="9">
        <f t="shared" si="26"/>
        <v>0</v>
      </c>
      <c r="N421" s="10">
        <f t="shared" si="27"/>
        <v>2303.0700000000002</v>
      </c>
      <c r="O421" s="3" t="s">
        <v>17</v>
      </c>
      <c r="P421" s="3" t="s">
        <v>39</v>
      </c>
      <c r="Q421" s="3" t="s">
        <v>19</v>
      </c>
    </row>
    <row r="422" spans="1:17" x14ac:dyDescent="0.25">
      <c r="A422" s="2" t="s">
        <v>731</v>
      </c>
      <c r="B422" s="4">
        <v>45461</v>
      </c>
      <c r="C422" s="4" t="str">
        <f t="shared" si="24"/>
        <v>Jun</v>
      </c>
      <c r="D422" s="2" t="s">
        <v>562</v>
      </c>
      <c r="E422" s="2" t="s">
        <v>13</v>
      </c>
      <c r="F422" s="2" t="s">
        <v>14</v>
      </c>
      <c r="G422" s="2" t="s">
        <v>110</v>
      </c>
      <c r="H422" s="2" t="s">
        <v>111</v>
      </c>
      <c r="I422" s="2">
        <v>9298.76</v>
      </c>
      <c r="J422" s="2">
        <v>5</v>
      </c>
      <c r="K422" s="2">
        <v>0</v>
      </c>
      <c r="L422" s="9">
        <f t="shared" si="25"/>
        <v>46493.8</v>
      </c>
      <c r="M422" s="9">
        <f t="shared" si="26"/>
        <v>0</v>
      </c>
      <c r="N422" s="10">
        <f t="shared" si="27"/>
        <v>46493.8</v>
      </c>
      <c r="O422" s="2" t="s">
        <v>38</v>
      </c>
      <c r="P422" s="2" t="s">
        <v>18</v>
      </c>
      <c r="Q422" s="2" t="s">
        <v>34</v>
      </c>
    </row>
    <row r="423" spans="1:17" x14ac:dyDescent="0.25">
      <c r="A423" s="3" t="s">
        <v>732</v>
      </c>
      <c r="B423" s="4">
        <v>45462</v>
      </c>
      <c r="C423" s="4" t="str">
        <f t="shared" si="24"/>
        <v>Jun</v>
      </c>
      <c r="D423" s="3" t="s">
        <v>674</v>
      </c>
      <c r="E423" s="3" t="s">
        <v>83</v>
      </c>
      <c r="F423" s="3" t="s">
        <v>84</v>
      </c>
      <c r="G423" s="3" t="s">
        <v>24</v>
      </c>
      <c r="H423" s="3" t="s">
        <v>25</v>
      </c>
      <c r="I423" s="3">
        <v>4215.59</v>
      </c>
      <c r="J423" s="3">
        <v>5</v>
      </c>
      <c r="K423" s="3">
        <v>15</v>
      </c>
      <c r="L423" s="9">
        <f t="shared" si="25"/>
        <v>21077.95</v>
      </c>
      <c r="M423" s="9">
        <f t="shared" si="26"/>
        <v>3161.6925000000001</v>
      </c>
      <c r="N423" s="10">
        <f t="shared" si="27"/>
        <v>17916.2575</v>
      </c>
      <c r="O423" s="3" t="s">
        <v>26</v>
      </c>
      <c r="P423" s="3" t="s">
        <v>18</v>
      </c>
      <c r="Q423" s="3" t="s">
        <v>53</v>
      </c>
    </row>
    <row r="424" spans="1:17" x14ac:dyDescent="0.25">
      <c r="A424" s="2" t="s">
        <v>733</v>
      </c>
      <c r="B424" s="4">
        <v>45463</v>
      </c>
      <c r="C424" s="4" t="str">
        <f t="shared" si="24"/>
        <v>Jun</v>
      </c>
      <c r="D424" s="2" t="s">
        <v>734</v>
      </c>
      <c r="E424" s="2" t="s">
        <v>83</v>
      </c>
      <c r="F424" s="2" t="s">
        <v>84</v>
      </c>
      <c r="G424" s="2" t="s">
        <v>43</v>
      </c>
      <c r="H424" s="2" t="s">
        <v>89</v>
      </c>
      <c r="I424" s="2">
        <v>4115.83</v>
      </c>
      <c r="J424" s="2">
        <v>1</v>
      </c>
      <c r="K424" s="2">
        <v>5</v>
      </c>
      <c r="L424" s="9">
        <f t="shared" si="25"/>
        <v>4115.83</v>
      </c>
      <c r="M424" s="9">
        <f t="shared" si="26"/>
        <v>205.79150000000001</v>
      </c>
      <c r="N424" s="10">
        <f t="shared" si="27"/>
        <v>3910.0385000000001</v>
      </c>
      <c r="O424" s="2" t="s">
        <v>68</v>
      </c>
      <c r="P424" s="2" t="s">
        <v>18</v>
      </c>
      <c r="Q424" s="2" t="s">
        <v>19</v>
      </c>
    </row>
    <row r="425" spans="1:17" x14ac:dyDescent="0.25">
      <c r="A425" s="3" t="s">
        <v>735</v>
      </c>
      <c r="B425" s="4">
        <v>45464</v>
      </c>
      <c r="C425" s="4" t="str">
        <f t="shared" si="24"/>
        <v>Jun</v>
      </c>
      <c r="D425" s="3" t="s">
        <v>736</v>
      </c>
      <c r="E425" s="3" t="s">
        <v>100</v>
      </c>
      <c r="F425" s="3" t="s">
        <v>88</v>
      </c>
      <c r="G425" s="3" t="s">
        <v>15</v>
      </c>
      <c r="H425" s="3" t="s">
        <v>163</v>
      </c>
      <c r="I425" s="3">
        <v>2300.02</v>
      </c>
      <c r="J425" s="3">
        <v>5</v>
      </c>
      <c r="K425" s="3">
        <v>5</v>
      </c>
      <c r="L425" s="9">
        <f t="shared" si="25"/>
        <v>11500.1</v>
      </c>
      <c r="M425" s="9">
        <f t="shared" si="26"/>
        <v>575.005</v>
      </c>
      <c r="N425" s="10">
        <f t="shared" si="27"/>
        <v>10925.095000000001</v>
      </c>
      <c r="O425" s="3" t="s">
        <v>26</v>
      </c>
      <c r="P425" s="3" t="s">
        <v>18</v>
      </c>
      <c r="Q425" s="3" t="s">
        <v>60</v>
      </c>
    </row>
    <row r="426" spans="1:17" x14ac:dyDescent="0.25">
      <c r="A426" s="2" t="s">
        <v>737</v>
      </c>
      <c r="B426" s="4">
        <v>45465</v>
      </c>
      <c r="C426" s="4" t="str">
        <f t="shared" si="24"/>
        <v>Jun</v>
      </c>
      <c r="D426" s="2" t="s">
        <v>738</v>
      </c>
      <c r="E426" s="2" t="s">
        <v>47</v>
      </c>
      <c r="F426" s="2" t="s">
        <v>48</v>
      </c>
      <c r="G426" s="2" t="s">
        <v>15</v>
      </c>
      <c r="H426" s="2" t="s">
        <v>56</v>
      </c>
      <c r="I426" s="2">
        <v>1674.86</v>
      </c>
      <c r="J426" s="2">
        <v>5</v>
      </c>
      <c r="K426" s="2">
        <v>0</v>
      </c>
      <c r="L426" s="9">
        <f t="shared" si="25"/>
        <v>8374.2999999999993</v>
      </c>
      <c r="M426" s="9">
        <f t="shared" si="26"/>
        <v>0</v>
      </c>
      <c r="N426" s="10">
        <f t="shared" si="27"/>
        <v>8374.2999999999993</v>
      </c>
      <c r="O426" s="2" t="s">
        <v>38</v>
      </c>
      <c r="P426" s="2" t="s">
        <v>18</v>
      </c>
      <c r="Q426" s="2" t="s">
        <v>53</v>
      </c>
    </row>
    <row r="427" spans="1:17" x14ac:dyDescent="0.25">
      <c r="A427" s="3" t="s">
        <v>739</v>
      </c>
      <c r="B427" s="4">
        <v>45466</v>
      </c>
      <c r="C427" s="4" t="str">
        <f t="shared" si="24"/>
        <v>Jun</v>
      </c>
      <c r="D427" s="3" t="s">
        <v>613</v>
      </c>
      <c r="E427" s="3" t="s">
        <v>51</v>
      </c>
      <c r="F427" s="3" t="s">
        <v>14</v>
      </c>
      <c r="G427" s="3" t="s">
        <v>15</v>
      </c>
      <c r="H427" s="3" t="s">
        <v>95</v>
      </c>
      <c r="I427" s="3">
        <v>1146.4000000000001</v>
      </c>
      <c r="J427" s="3">
        <v>3</v>
      </c>
      <c r="K427" s="3">
        <v>5</v>
      </c>
      <c r="L427" s="9">
        <f t="shared" si="25"/>
        <v>3439.2000000000003</v>
      </c>
      <c r="M427" s="9">
        <f t="shared" si="26"/>
        <v>171.96</v>
      </c>
      <c r="N427" s="10">
        <f t="shared" si="27"/>
        <v>3267.2400000000002</v>
      </c>
      <c r="O427" s="3" t="s">
        <v>38</v>
      </c>
      <c r="P427" s="3" t="s">
        <v>18</v>
      </c>
      <c r="Q427" s="3" t="s">
        <v>60</v>
      </c>
    </row>
    <row r="428" spans="1:17" x14ac:dyDescent="0.25">
      <c r="A428" s="2" t="s">
        <v>740</v>
      </c>
      <c r="B428" s="4">
        <v>45467</v>
      </c>
      <c r="C428" s="4" t="str">
        <f t="shared" si="24"/>
        <v>Jun</v>
      </c>
      <c r="D428" s="2" t="s">
        <v>311</v>
      </c>
      <c r="E428" s="2" t="s">
        <v>76</v>
      </c>
      <c r="F428" s="2" t="s">
        <v>77</v>
      </c>
      <c r="G428" s="2" t="s">
        <v>110</v>
      </c>
      <c r="H428" s="2" t="s">
        <v>207</v>
      </c>
      <c r="I428" s="2">
        <v>7948.81</v>
      </c>
      <c r="J428" s="2">
        <v>5</v>
      </c>
      <c r="K428" s="2">
        <v>10</v>
      </c>
      <c r="L428" s="9">
        <f t="shared" si="25"/>
        <v>39744.050000000003</v>
      </c>
      <c r="M428" s="9">
        <f t="shared" si="26"/>
        <v>3974.4050000000002</v>
      </c>
      <c r="N428" s="10">
        <f t="shared" si="27"/>
        <v>35769.645000000004</v>
      </c>
      <c r="O428" s="2" t="s">
        <v>38</v>
      </c>
      <c r="P428" s="2" t="s">
        <v>39</v>
      </c>
      <c r="Q428" s="2" t="s">
        <v>53</v>
      </c>
    </row>
    <row r="429" spans="1:17" x14ac:dyDescent="0.25">
      <c r="A429" s="3" t="s">
        <v>741</v>
      </c>
      <c r="B429" s="4">
        <v>45468</v>
      </c>
      <c r="C429" s="4" t="str">
        <f t="shared" si="24"/>
        <v>Jun</v>
      </c>
      <c r="D429" s="3" t="s">
        <v>297</v>
      </c>
      <c r="E429" s="3" t="s">
        <v>22</v>
      </c>
      <c r="F429" s="3" t="s">
        <v>23</v>
      </c>
      <c r="G429" s="3" t="s">
        <v>15</v>
      </c>
      <c r="H429" s="3" t="s">
        <v>198</v>
      </c>
      <c r="I429" s="3">
        <v>862.74</v>
      </c>
      <c r="J429" s="3">
        <v>5</v>
      </c>
      <c r="K429" s="3">
        <v>10</v>
      </c>
      <c r="L429" s="9">
        <f t="shared" si="25"/>
        <v>4313.7</v>
      </c>
      <c r="M429" s="9">
        <f t="shared" si="26"/>
        <v>431.37</v>
      </c>
      <c r="N429" s="10">
        <f t="shared" si="27"/>
        <v>3882.33</v>
      </c>
      <c r="O429" s="3" t="s">
        <v>68</v>
      </c>
      <c r="P429" s="3" t="s">
        <v>39</v>
      </c>
      <c r="Q429" s="3" t="s">
        <v>19</v>
      </c>
    </row>
    <row r="430" spans="1:17" x14ac:dyDescent="0.25">
      <c r="A430" s="2" t="s">
        <v>742</v>
      </c>
      <c r="B430" s="4">
        <v>45469</v>
      </c>
      <c r="C430" s="4" t="str">
        <f t="shared" si="24"/>
        <v>Jun</v>
      </c>
      <c r="D430" s="2" t="s">
        <v>159</v>
      </c>
      <c r="E430" s="2" t="s">
        <v>51</v>
      </c>
      <c r="F430" s="2" t="s">
        <v>14</v>
      </c>
      <c r="G430" s="2" t="s">
        <v>36</v>
      </c>
      <c r="H430" s="2" t="s">
        <v>113</v>
      </c>
      <c r="I430" s="2">
        <v>114254.79</v>
      </c>
      <c r="J430" s="2">
        <v>5</v>
      </c>
      <c r="K430" s="2">
        <v>0</v>
      </c>
      <c r="L430" s="9">
        <f t="shared" si="25"/>
        <v>571273.94999999995</v>
      </c>
      <c r="M430" s="9">
        <f t="shared" si="26"/>
        <v>0</v>
      </c>
      <c r="N430" s="10">
        <f t="shared" si="27"/>
        <v>571273.94999999995</v>
      </c>
      <c r="O430" s="2" t="s">
        <v>26</v>
      </c>
      <c r="P430" s="2" t="s">
        <v>18</v>
      </c>
      <c r="Q430" s="2" t="s">
        <v>60</v>
      </c>
    </row>
    <row r="431" spans="1:17" x14ac:dyDescent="0.25">
      <c r="A431" s="3" t="s">
        <v>743</v>
      </c>
      <c r="B431" s="4">
        <v>45470</v>
      </c>
      <c r="C431" s="4" t="str">
        <f t="shared" si="24"/>
        <v>Jun</v>
      </c>
      <c r="D431" s="3" t="s">
        <v>504</v>
      </c>
      <c r="E431" s="3" t="s">
        <v>47</v>
      </c>
      <c r="F431" s="3" t="s">
        <v>48</v>
      </c>
      <c r="G431" s="3" t="s">
        <v>24</v>
      </c>
      <c r="H431" s="3" t="s">
        <v>134</v>
      </c>
      <c r="I431" s="3">
        <v>2500.56</v>
      </c>
      <c r="J431" s="3">
        <v>1</v>
      </c>
      <c r="K431" s="3">
        <v>15</v>
      </c>
      <c r="L431" s="9">
        <f t="shared" si="25"/>
        <v>2500.56</v>
      </c>
      <c r="M431" s="9">
        <f t="shared" si="26"/>
        <v>375.084</v>
      </c>
      <c r="N431" s="10">
        <f t="shared" si="27"/>
        <v>2125.4760000000001</v>
      </c>
      <c r="O431" s="3" t="s">
        <v>38</v>
      </c>
      <c r="P431" s="3" t="s">
        <v>52</v>
      </c>
      <c r="Q431" s="3" t="s">
        <v>40</v>
      </c>
    </row>
    <row r="432" spans="1:17" x14ac:dyDescent="0.25">
      <c r="A432" s="2" t="s">
        <v>744</v>
      </c>
      <c r="B432" s="4">
        <v>45471</v>
      </c>
      <c r="C432" s="4" t="str">
        <f t="shared" si="24"/>
        <v>Jun</v>
      </c>
      <c r="D432" s="2" t="s">
        <v>268</v>
      </c>
      <c r="E432" s="2" t="s">
        <v>100</v>
      </c>
      <c r="F432" s="2" t="s">
        <v>88</v>
      </c>
      <c r="G432" s="2" t="s">
        <v>72</v>
      </c>
      <c r="H432" s="2" t="s">
        <v>73</v>
      </c>
      <c r="I432" s="2">
        <v>324.83</v>
      </c>
      <c r="J432" s="2">
        <v>2</v>
      </c>
      <c r="K432" s="2">
        <v>15</v>
      </c>
      <c r="L432" s="9">
        <f t="shared" si="25"/>
        <v>649.66</v>
      </c>
      <c r="M432" s="9">
        <f t="shared" si="26"/>
        <v>97.448999999999998</v>
      </c>
      <c r="N432" s="10">
        <f t="shared" si="27"/>
        <v>552.21100000000001</v>
      </c>
      <c r="O432" s="2" t="s">
        <v>17</v>
      </c>
      <c r="P432" s="2" t="s">
        <v>52</v>
      </c>
      <c r="Q432" s="2" t="s">
        <v>53</v>
      </c>
    </row>
    <row r="433" spans="1:17" x14ac:dyDescent="0.25">
      <c r="A433" s="3" t="s">
        <v>745</v>
      </c>
      <c r="B433" s="4">
        <v>45472</v>
      </c>
      <c r="C433" s="4" t="str">
        <f t="shared" si="24"/>
        <v>Jun</v>
      </c>
      <c r="D433" s="3" t="s">
        <v>746</v>
      </c>
      <c r="E433" s="3" t="s">
        <v>87</v>
      </c>
      <c r="F433" s="3" t="s">
        <v>88</v>
      </c>
      <c r="G433" s="3" t="s">
        <v>36</v>
      </c>
      <c r="H433" s="3" t="s">
        <v>49</v>
      </c>
      <c r="I433" s="3">
        <v>157844.17000000001</v>
      </c>
      <c r="J433" s="3">
        <v>2</v>
      </c>
      <c r="K433" s="3">
        <v>0</v>
      </c>
      <c r="L433" s="9">
        <f t="shared" si="25"/>
        <v>315688.34000000003</v>
      </c>
      <c r="M433" s="9">
        <f t="shared" si="26"/>
        <v>0</v>
      </c>
      <c r="N433" s="10">
        <f t="shared" si="27"/>
        <v>315688.34000000003</v>
      </c>
      <c r="O433" s="3" t="s">
        <v>38</v>
      </c>
      <c r="P433" s="3" t="s">
        <v>18</v>
      </c>
      <c r="Q433" s="3" t="s">
        <v>53</v>
      </c>
    </row>
    <row r="434" spans="1:17" x14ac:dyDescent="0.25">
      <c r="A434" s="2" t="s">
        <v>747</v>
      </c>
      <c r="B434" s="4">
        <v>45473</v>
      </c>
      <c r="C434" s="4" t="str">
        <f t="shared" si="24"/>
        <v>Jun</v>
      </c>
      <c r="D434" s="2" t="s">
        <v>46</v>
      </c>
      <c r="E434" s="2" t="s">
        <v>83</v>
      </c>
      <c r="F434" s="2" t="s">
        <v>84</v>
      </c>
      <c r="G434" s="2" t="s">
        <v>72</v>
      </c>
      <c r="H434" s="2" t="s">
        <v>137</v>
      </c>
      <c r="I434" s="2">
        <v>2150.7600000000002</v>
      </c>
      <c r="J434" s="2">
        <v>4</v>
      </c>
      <c r="K434" s="2">
        <v>0</v>
      </c>
      <c r="L434" s="9">
        <f t="shared" si="25"/>
        <v>8603.0400000000009</v>
      </c>
      <c r="M434" s="9">
        <f t="shared" si="26"/>
        <v>0</v>
      </c>
      <c r="N434" s="10">
        <f t="shared" si="27"/>
        <v>8603.0400000000009</v>
      </c>
      <c r="O434" s="2" t="s">
        <v>68</v>
      </c>
      <c r="P434" s="2" t="s">
        <v>27</v>
      </c>
      <c r="Q434" s="2" t="s">
        <v>34</v>
      </c>
    </row>
    <row r="435" spans="1:17" x14ac:dyDescent="0.25">
      <c r="A435" s="3" t="s">
        <v>748</v>
      </c>
      <c r="B435" s="4">
        <v>45474</v>
      </c>
      <c r="C435" s="4" t="str">
        <f t="shared" si="24"/>
        <v>Jul</v>
      </c>
      <c r="D435" s="3" t="s">
        <v>500</v>
      </c>
      <c r="E435" s="3" t="s">
        <v>47</v>
      </c>
      <c r="F435" s="3" t="s">
        <v>48</v>
      </c>
      <c r="G435" s="3" t="s">
        <v>72</v>
      </c>
      <c r="H435" s="3" t="s">
        <v>137</v>
      </c>
      <c r="I435" s="3">
        <v>2234.6</v>
      </c>
      <c r="J435" s="3">
        <v>5</v>
      </c>
      <c r="K435" s="3">
        <v>0</v>
      </c>
      <c r="L435" s="9">
        <f t="shared" si="25"/>
        <v>11173</v>
      </c>
      <c r="M435" s="9">
        <f t="shared" si="26"/>
        <v>0</v>
      </c>
      <c r="N435" s="10">
        <f t="shared" si="27"/>
        <v>11173</v>
      </c>
      <c r="O435" s="3" t="s">
        <v>33</v>
      </c>
      <c r="P435" s="3" t="s">
        <v>27</v>
      </c>
      <c r="Q435" s="3" t="s">
        <v>60</v>
      </c>
    </row>
    <row r="436" spans="1:17" x14ac:dyDescent="0.25">
      <c r="A436" s="2" t="s">
        <v>749</v>
      </c>
      <c r="B436" s="4">
        <v>45475</v>
      </c>
      <c r="C436" s="4" t="str">
        <f t="shared" si="24"/>
        <v>Jul</v>
      </c>
      <c r="D436" s="2" t="s">
        <v>165</v>
      </c>
      <c r="E436" s="2" t="s">
        <v>22</v>
      </c>
      <c r="F436" s="2" t="s">
        <v>23</v>
      </c>
      <c r="G436" s="2" t="s">
        <v>110</v>
      </c>
      <c r="H436" s="2" t="s">
        <v>215</v>
      </c>
      <c r="I436" s="2">
        <v>2438.16</v>
      </c>
      <c r="J436" s="2">
        <v>2</v>
      </c>
      <c r="K436" s="2">
        <v>5</v>
      </c>
      <c r="L436" s="9">
        <f t="shared" si="25"/>
        <v>4876.32</v>
      </c>
      <c r="M436" s="9">
        <f t="shared" si="26"/>
        <v>243.81599999999997</v>
      </c>
      <c r="N436" s="10">
        <f t="shared" si="27"/>
        <v>4632.5039999999999</v>
      </c>
      <c r="O436" s="2" t="s">
        <v>33</v>
      </c>
      <c r="P436" s="2" t="s">
        <v>18</v>
      </c>
      <c r="Q436" s="2" t="s">
        <v>34</v>
      </c>
    </row>
    <row r="437" spans="1:17" x14ac:dyDescent="0.25">
      <c r="A437" s="3" t="s">
        <v>750</v>
      </c>
      <c r="B437" s="4">
        <v>45476</v>
      </c>
      <c r="C437" s="4" t="str">
        <f t="shared" si="24"/>
        <v>Jul</v>
      </c>
      <c r="D437" s="3" t="s">
        <v>751</v>
      </c>
      <c r="E437" s="3" t="s">
        <v>13</v>
      </c>
      <c r="F437" s="3" t="s">
        <v>14</v>
      </c>
      <c r="G437" s="3" t="s">
        <v>110</v>
      </c>
      <c r="H437" s="3" t="s">
        <v>153</v>
      </c>
      <c r="I437" s="3">
        <v>3457.93</v>
      </c>
      <c r="J437" s="3">
        <v>2</v>
      </c>
      <c r="K437" s="3">
        <v>0</v>
      </c>
      <c r="L437" s="9">
        <f t="shared" si="25"/>
        <v>6915.86</v>
      </c>
      <c r="M437" s="9">
        <f t="shared" si="26"/>
        <v>0</v>
      </c>
      <c r="N437" s="10">
        <f t="shared" si="27"/>
        <v>6915.86</v>
      </c>
      <c r="O437" s="3" t="s">
        <v>17</v>
      </c>
      <c r="P437" s="3" t="s">
        <v>27</v>
      </c>
      <c r="Q437" s="3" t="s">
        <v>34</v>
      </c>
    </row>
    <row r="438" spans="1:17" x14ac:dyDescent="0.25">
      <c r="A438" s="2" t="s">
        <v>752</v>
      </c>
      <c r="B438" s="4">
        <v>45477</v>
      </c>
      <c r="C438" s="4" t="str">
        <f t="shared" si="24"/>
        <v>Jul</v>
      </c>
      <c r="D438" s="2" t="s">
        <v>703</v>
      </c>
      <c r="E438" s="2" t="s">
        <v>100</v>
      </c>
      <c r="F438" s="2" t="s">
        <v>88</v>
      </c>
      <c r="G438" s="2" t="s">
        <v>31</v>
      </c>
      <c r="H438" s="2" t="s">
        <v>242</v>
      </c>
      <c r="I438" s="2">
        <v>939.11</v>
      </c>
      <c r="J438" s="2">
        <v>1</v>
      </c>
      <c r="K438" s="2">
        <v>15</v>
      </c>
      <c r="L438" s="9">
        <f t="shared" si="25"/>
        <v>939.11</v>
      </c>
      <c r="M438" s="9">
        <f t="shared" si="26"/>
        <v>140.8665</v>
      </c>
      <c r="N438" s="10">
        <f t="shared" si="27"/>
        <v>798.24350000000004</v>
      </c>
      <c r="O438" s="2" t="s">
        <v>26</v>
      </c>
      <c r="P438" s="2" t="s">
        <v>18</v>
      </c>
      <c r="Q438" s="2" t="s">
        <v>34</v>
      </c>
    </row>
    <row r="439" spans="1:17" x14ac:dyDescent="0.25">
      <c r="A439" s="3" t="s">
        <v>753</v>
      </c>
      <c r="B439" s="4">
        <v>45478</v>
      </c>
      <c r="C439" s="4" t="str">
        <f t="shared" si="24"/>
        <v>Jul</v>
      </c>
      <c r="D439" s="3" t="s">
        <v>559</v>
      </c>
      <c r="E439" s="3" t="s">
        <v>76</v>
      </c>
      <c r="F439" s="3" t="s">
        <v>77</v>
      </c>
      <c r="G439" s="3" t="s">
        <v>43</v>
      </c>
      <c r="H439" s="3" t="s">
        <v>127</v>
      </c>
      <c r="I439" s="3">
        <v>5599.87</v>
      </c>
      <c r="J439" s="3">
        <v>4</v>
      </c>
      <c r="K439" s="3">
        <v>10</v>
      </c>
      <c r="L439" s="9">
        <f t="shared" si="25"/>
        <v>22399.48</v>
      </c>
      <c r="M439" s="9">
        <f t="shared" si="26"/>
        <v>2239.9479999999999</v>
      </c>
      <c r="N439" s="10">
        <f t="shared" si="27"/>
        <v>20159.531999999999</v>
      </c>
      <c r="O439" s="3" t="s">
        <v>26</v>
      </c>
      <c r="P439" s="3" t="s">
        <v>18</v>
      </c>
      <c r="Q439" s="3" t="s">
        <v>53</v>
      </c>
    </row>
    <row r="440" spans="1:17" x14ac:dyDescent="0.25">
      <c r="A440" s="2" t="s">
        <v>754</v>
      </c>
      <c r="B440" s="4">
        <v>45479</v>
      </c>
      <c r="C440" s="4" t="str">
        <f t="shared" si="24"/>
        <v>Jul</v>
      </c>
      <c r="D440" s="2" t="s">
        <v>596</v>
      </c>
      <c r="E440" s="2" t="s">
        <v>100</v>
      </c>
      <c r="F440" s="2" t="s">
        <v>88</v>
      </c>
      <c r="G440" s="2" t="s">
        <v>15</v>
      </c>
      <c r="H440" s="2" t="s">
        <v>56</v>
      </c>
      <c r="I440" s="2">
        <v>1634.11</v>
      </c>
      <c r="J440" s="2">
        <v>5</v>
      </c>
      <c r="K440" s="2">
        <v>0</v>
      </c>
      <c r="L440" s="9">
        <f t="shared" si="25"/>
        <v>8170.5499999999993</v>
      </c>
      <c r="M440" s="9">
        <f t="shared" si="26"/>
        <v>0</v>
      </c>
      <c r="N440" s="10">
        <f t="shared" si="27"/>
        <v>8170.5499999999993</v>
      </c>
      <c r="O440" s="2" t="s">
        <v>68</v>
      </c>
      <c r="P440" s="2" t="s">
        <v>18</v>
      </c>
      <c r="Q440" s="2" t="s">
        <v>34</v>
      </c>
    </row>
    <row r="441" spans="1:17" x14ac:dyDescent="0.25">
      <c r="A441" s="3" t="s">
        <v>755</v>
      </c>
      <c r="B441" s="4">
        <v>45480</v>
      </c>
      <c r="C441" s="4" t="str">
        <f t="shared" si="24"/>
        <v>Jul</v>
      </c>
      <c r="D441" s="3" t="s">
        <v>485</v>
      </c>
      <c r="E441" s="3" t="s">
        <v>29</v>
      </c>
      <c r="F441" s="3" t="s">
        <v>30</v>
      </c>
      <c r="G441" s="3" t="s">
        <v>110</v>
      </c>
      <c r="H441" s="3" t="s">
        <v>207</v>
      </c>
      <c r="I441" s="3">
        <v>9143.4699999999993</v>
      </c>
      <c r="J441" s="3">
        <v>3</v>
      </c>
      <c r="K441" s="3">
        <v>5</v>
      </c>
      <c r="L441" s="9">
        <f t="shared" si="25"/>
        <v>27430.409999999996</v>
      </c>
      <c r="M441" s="9">
        <f t="shared" si="26"/>
        <v>1371.5204999999999</v>
      </c>
      <c r="N441" s="10">
        <f t="shared" si="27"/>
        <v>26058.889499999997</v>
      </c>
      <c r="O441" s="3" t="s">
        <v>26</v>
      </c>
      <c r="P441" s="3" t="s">
        <v>18</v>
      </c>
      <c r="Q441" s="3" t="s">
        <v>19</v>
      </c>
    </row>
    <row r="442" spans="1:17" x14ac:dyDescent="0.25">
      <c r="A442" s="2" t="s">
        <v>756</v>
      </c>
      <c r="B442" s="4">
        <v>45481</v>
      </c>
      <c r="C442" s="4" t="str">
        <f t="shared" si="24"/>
        <v>Jul</v>
      </c>
      <c r="D442" s="2" t="s">
        <v>397</v>
      </c>
      <c r="E442" s="2" t="s">
        <v>51</v>
      </c>
      <c r="F442" s="2" t="s">
        <v>14</v>
      </c>
      <c r="G442" s="2" t="s">
        <v>72</v>
      </c>
      <c r="H442" s="2" t="s">
        <v>129</v>
      </c>
      <c r="I442" s="2">
        <v>1836.3</v>
      </c>
      <c r="J442" s="2">
        <v>5</v>
      </c>
      <c r="K442" s="2">
        <v>0</v>
      </c>
      <c r="L442" s="9">
        <f t="shared" si="25"/>
        <v>9181.5</v>
      </c>
      <c r="M442" s="9">
        <f t="shared" si="26"/>
        <v>0</v>
      </c>
      <c r="N442" s="10">
        <f t="shared" si="27"/>
        <v>9181.5</v>
      </c>
      <c r="O442" s="2" t="s">
        <v>17</v>
      </c>
      <c r="P442" s="2" t="s">
        <v>27</v>
      </c>
      <c r="Q442" s="2" t="s">
        <v>19</v>
      </c>
    </row>
    <row r="443" spans="1:17" x14ac:dyDescent="0.25">
      <c r="A443" s="3" t="s">
        <v>757</v>
      </c>
      <c r="B443" s="4">
        <v>45482</v>
      </c>
      <c r="C443" s="4" t="str">
        <f t="shared" si="24"/>
        <v>Jul</v>
      </c>
      <c r="D443" s="3" t="s">
        <v>326</v>
      </c>
      <c r="E443" s="3" t="s">
        <v>87</v>
      </c>
      <c r="F443" s="3" t="s">
        <v>88</v>
      </c>
      <c r="G443" s="3" t="s">
        <v>43</v>
      </c>
      <c r="H443" s="3" t="s">
        <v>89</v>
      </c>
      <c r="I443" s="3">
        <v>4581.54</v>
      </c>
      <c r="J443" s="3">
        <v>2</v>
      </c>
      <c r="K443" s="3">
        <v>0</v>
      </c>
      <c r="L443" s="9">
        <f t="shared" si="25"/>
        <v>9163.08</v>
      </c>
      <c r="M443" s="9">
        <f t="shared" si="26"/>
        <v>0</v>
      </c>
      <c r="N443" s="10">
        <f t="shared" si="27"/>
        <v>9163.08</v>
      </c>
      <c r="O443" s="3" t="s">
        <v>33</v>
      </c>
      <c r="P443" s="3" t="s">
        <v>18</v>
      </c>
      <c r="Q443" s="3" t="s">
        <v>40</v>
      </c>
    </row>
    <row r="444" spans="1:17" x14ac:dyDescent="0.25">
      <c r="A444" s="2" t="s">
        <v>758</v>
      </c>
      <c r="B444" s="4">
        <v>45483</v>
      </c>
      <c r="C444" s="4" t="str">
        <f t="shared" si="24"/>
        <v>Jul</v>
      </c>
      <c r="D444" s="2" t="s">
        <v>759</v>
      </c>
      <c r="E444" s="2" t="s">
        <v>83</v>
      </c>
      <c r="F444" s="2" t="s">
        <v>84</v>
      </c>
      <c r="G444" s="2" t="s">
        <v>15</v>
      </c>
      <c r="H444" s="2" t="s">
        <v>95</v>
      </c>
      <c r="I444" s="2">
        <v>1278.3599999999999</v>
      </c>
      <c r="J444" s="2">
        <v>5</v>
      </c>
      <c r="K444" s="2">
        <v>10</v>
      </c>
      <c r="L444" s="9">
        <f t="shared" si="25"/>
        <v>6391.7999999999993</v>
      </c>
      <c r="M444" s="9">
        <f t="shared" si="26"/>
        <v>639.17999999999995</v>
      </c>
      <c r="N444" s="10">
        <f t="shared" si="27"/>
        <v>5752.619999999999</v>
      </c>
      <c r="O444" s="2" t="s">
        <v>26</v>
      </c>
      <c r="P444" s="2" t="s">
        <v>18</v>
      </c>
      <c r="Q444" s="2" t="s">
        <v>19</v>
      </c>
    </row>
    <row r="445" spans="1:17" x14ac:dyDescent="0.25">
      <c r="A445" s="3" t="s">
        <v>760</v>
      </c>
      <c r="B445" s="4">
        <v>45484</v>
      </c>
      <c r="C445" s="4" t="str">
        <f t="shared" si="24"/>
        <v>Jul</v>
      </c>
      <c r="D445" s="3" t="s">
        <v>431</v>
      </c>
      <c r="E445" s="3" t="s">
        <v>83</v>
      </c>
      <c r="F445" s="3" t="s">
        <v>84</v>
      </c>
      <c r="G445" s="3" t="s">
        <v>72</v>
      </c>
      <c r="H445" s="3" t="s">
        <v>81</v>
      </c>
      <c r="I445" s="3">
        <v>1377.96</v>
      </c>
      <c r="J445" s="3">
        <v>2</v>
      </c>
      <c r="K445" s="3">
        <v>15</v>
      </c>
      <c r="L445" s="9">
        <f t="shared" si="25"/>
        <v>2755.92</v>
      </c>
      <c r="M445" s="9">
        <f t="shared" si="26"/>
        <v>413.38800000000003</v>
      </c>
      <c r="N445" s="10">
        <f t="shared" si="27"/>
        <v>2342.5320000000002</v>
      </c>
      <c r="O445" s="3" t="s">
        <v>17</v>
      </c>
      <c r="P445" s="3" t="s">
        <v>39</v>
      </c>
      <c r="Q445" s="3" t="s">
        <v>40</v>
      </c>
    </row>
    <row r="446" spans="1:17" x14ac:dyDescent="0.25">
      <c r="A446" s="2" t="s">
        <v>761</v>
      </c>
      <c r="B446" s="4">
        <v>45485</v>
      </c>
      <c r="C446" s="4" t="str">
        <f t="shared" si="24"/>
        <v>Jul</v>
      </c>
      <c r="D446" s="2" t="s">
        <v>663</v>
      </c>
      <c r="E446" s="2" t="s">
        <v>83</v>
      </c>
      <c r="F446" s="2" t="s">
        <v>84</v>
      </c>
      <c r="G446" s="2" t="s">
        <v>43</v>
      </c>
      <c r="H446" s="2" t="s">
        <v>105</v>
      </c>
      <c r="I446" s="2">
        <v>3009.9</v>
      </c>
      <c r="J446" s="2">
        <v>5</v>
      </c>
      <c r="K446" s="2">
        <v>5</v>
      </c>
      <c r="L446" s="9">
        <f t="shared" si="25"/>
        <v>15049.5</v>
      </c>
      <c r="M446" s="9">
        <f t="shared" si="26"/>
        <v>752.47500000000002</v>
      </c>
      <c r="N446" s="10">
        <f t="shared" si="27"/>
        <v>14297.025</v>
      </c>
      <c r="O446" s="2" t="s">
        <v>26</v>
      </c>
      <c r="P446" s="2" t="s">
        <v>39</v>
      </c>
      <c r="Q446" s="2" t="s">
        <v>60</v>
      </c>
    </row>
    <row r="447" spans="1:17" x14ac:dyDescent="0.25">
      <c r="A447" s="3" t="s">
        <v>762</v>
      </c>
      <c r="B447" s="4">
        <v>45486</v>
      </c>
      <c r="C447" s="4" t="str">
        <f t="shared" si="24"/>
        <v>Jul</v>
      </c>
      <c r="D447" s="3" t="s">
        <v>239</v>
      </c>
      <c r="E447" s="3" t="s">
        <v>29</v>
      </c>
      <c r="F447" s="3" t="s">
        <v>30</v>
      </c>
      <c r="G447" s="3" t="s">
        <v>36</v>
      </c>
      <c r="H447" s="3" t="s">
        <v>37</v>
      </c>
      <c r="I447" s="3">
        <v>11121.32</v>
      </c>
      <c r="J447" s="3">
        <v>4</v>
      </c>
      <c r="K447" s="3">
        <v>10</v>
      </c>
      <c r="L447" s="9">
        <f t="shared" si="25"/>
        <v>44485.279999999999</v>
      </c>
      <c r="M447" s="9">
        <f t="shared" si="26"/>
        <v>4448.5280000000002</v>
      </c>
      <c r="N447" s="10">
        <f t="shared" si="27"/>
        <v>40036.752</v>
      </c>
      <c r="O447" s="3" t="s">
        <v>68</v>
      </c>
      <c r="P447" s="3" t="s">
        <v>18</v>
      </c>
      <c r="Q447" s="3" t="s">
        <v>19</v>
      </c>
    </row>
    <row r="448" spans="1:17" x14ac:dyDescent="0.25">
      <c r="A448" s="2" t="s">
        <v>763</v>
      </c>
      <c r="B448" s="4">
        <v>45487</v>
      </c>
      <c r="C448" s="4" t="str">
        <f t="shared" si="24"/>
        <v>Jul</v>
      </c>
      <c r="D448" s="2" t="s">
        <v>764</v>
      </c>
      <c r="E448" s="2" t="s">
        <v>51</v>
      </c>
      <c r="F448" s="2" t="s">
        <v>14</v>
      </c>
      <c r="G448" s="2" t="s">
        <v>36</v>
      </c>
      <c r="H448" s="2" t="s">
        <v>121</v>
      </c>
      <c r="I448" s="2">
        <v>99629.27</v>
      </c>
      <c r="J448" s="2">
        <v>1</v>
      </c>
      <c r="K448" s="2">
        <v>0</v>
      </c>
      <c r="L448" s="9">
        <f t="shared" si="25"/>
        <v>99629.27</v>
      </c>
      <c r="M448" s="9">
        <f t="shared" si="26"/>
        <v>0</v>
      </c>
      <c r="N448" s="10">
        <f t="shared" si="27"/>
        <v>99629.27</v>
      </c>
      <c r="O448" s="2" t="s">
        <v>17</v>
      </c>
      <c r="P448" s="2" t="s">
        <v>18</v>
      </c>
      <c r="Q448" s="2" t="s">
        <v>19</v>
      </c>
    </row>
    <row r="449" spans="1:17" x14ac:dyDescent="0.25">
      <c r="A449" s="3" t="s">
        <v>765</v>
      </c>
      <c r="B449" s="4">
        <v>45488</v>
      </c>
      <c r="C449" s="4" t="str">
        <f t="shared" si="24"/>
        <v>Jul</v>
      </c>
      <c r="D449" s="3" t="s">
        <v>143</v>
      </c>
      <c r="E449" s="3" t="s">
        <v>51</v>
      </c>
      <c r="F449" s="3" t="s">
        <v>14</v>
      </c>
      <c r="G449" s="3" t="s">
        <v>15</v>
      </c>
      <c r="H449" s="3" t="s">
        <v>16</v>
      </c>
      <c r="I449" s="3">
        <v>1472.65</v>
      </c>
      <c r="J449" s="3">
        <v>1</v>
      </c>
      <c r="K449" s="3">
        <v>0</v>
      </c>
      <c r="L449" s="9">
        <f t="shared" si="25"/>
        <v>1472.65</v>
      </c>
      <c r="M449" s="9">
        <f t="shared" si="26"/>
        <v>0</v>
      </c>
      <c r="N449" s="10">
        <f t="shared" si="27"/>
        <v>1472.65</v>
      </c>
      <c r="O449" s="3" t="s">
        <v>33</v>
      </c>
      <c r="P449" s="3" t="s">
        <v>27</v>
      </c>
      <c r="Q449" s="3" t="s">
        <v>19</v>
      </c>
    </row>
    <row r="450" spans="1:17" x14ac:dyDescent="0.25">
      <c r="A450" s="2" t="s">
        <v>766</v>
      </c>
      <c r="B450" s="4">
        <v>45489</v>
      </c>
      <c r="C450" s="4" t="str">
        <f t="shared" ref="C450:C513" si="28">TEXT(B450,"mmm")</f>
        <v>Jul</v>
      </c>
      <c r="D450" s="2" t="s">
        <v>217</v>
      </c>
      <c r="E450" s="2" t="s">
        <v>65</v>
      </c>
      <c r="F450" s="2" t="s">
        <v>66</v>
      </c>
      <c r="G450" s="2" t="s">
        <v>110</v>
      </c>
      <c r="H450" s="2" t="s">
        <v>215</v>
      </c>
      <c r="I450" s="2">
        <v>2555.94</v>
      </c>
      <c r="J450" s="2">
        <v>4</v>
      </c>
      <c r="K450" s="2">
        <v>5</v>
      </c>
      <c r="L450" s="9">
        <f t="shared" ref="L450:L513" si="29">J450*I450</f>
        <v>10223.76</v>
      </c>
      <c r="M450" s="9">
        <f t="shared" ref="M450:M513" si="30">L450*K450/100</f>
        <v>511.18800000000005</v>
      </c>
      <c r="N450" s="10">
        <f t="shared" ref="N450:N513" si="31">L450-M450</f>
        <v>9712.5720000000001</v>
      </c>
      <c r="O450" s="2" t="s">
        <v>33</v>
      </c>
      <c r="P450" s="2" t="s">
        <v>52</v>
      </c>
      <c r="Q450" s="2" t="s">
        <v>19</v>
      </c>
    </row>
    <row r="451" spans="1:17" x14ac:dyDescent="0.25">
      <c r="A451" s="3" t="s">
        <v>767</v>
      </c>
      <c r="B451" s="4">
        <v>45490</v>
      </c>
      <c r="C451" s="4" t="str">
        <f t="shared" si="28"/>
        <v>Jul</v>
      </c>
      <c r="D451" s="3" t="s">
        <v>768</v>
      </c>
      <c r="E451" s="3" t="s">
        <v>83</v>
      </c>
      <c r="F451" s="3" t="s">
        <v>84</v>
      </c>
      <c r="G451" s="3" t="s">
        <v>110</v>
      </c>
      <c r="H451" s="3" t="s">
        <v>67</v>
      </c>
      <c r="I451" s="3">
        <v>4278.3999999999996</v>
      </c>
      <c r="J451" s="3">
        <v>3</v>
      </c>
      <c r="K451" s="3">
        <v>15</v>
      </c>
      <c r="L451" s="9">
        <f t="shared" si="29"/>
        <v>12835.199999999999</v>
      </c>
      <c r="M451" s="9">
        <f t="shared" si="30"/>
        <v>1925.2799999999997</v>
      </c>
      <c r="N451" s="10">
        <f t="shared" si="31"/>
        <v>10909.919999999998</v>
      </c>
      <c r="O451" s="3" t="s">
        <v>38</v>
      </c>
      <c r="P451" s="3" t="s">
        <v>39</v>
      </c>
      <c r="Q451" s="3" t="s">
        <v>60</v>
      </c>
    </row>
    <row r="452" spans="1:17" x14ac:dyDescent="0.25">
      <c r="A452" s="2" t="s">
        <v>769</v>
      </c>
      <c r="B452" s="4">
        <v>45491</v>
      </c>
      <c r="C452" s="4" t="str">
        <f t="shared" si="28"/>
        <v>Jul</v>
      </c>
      <c r="D452" s="2" t="s">
        <v>361</v>
      </c>
      <c r="E452" s="2" t="s">
        <v>22</v>
      </c>
      <c r="F452" s="2" t="s">
        <v>23</v>
      </c>
      <c r="G452" s="2" t="s">
        <v>15</v>
      </c>
      <c r="H452" s="2" t="s">
        <v>163</v>
      </c>
      <c r="I452" s="2">
        <v>2473.3000000000002</v>
      </c>
      <c r="J452" s="2">
        <v>2</v>
      </c>
      <c r="K452" s="2">
        <v>0</v>
      </c>
      <c r="L452" s="9">
        <f t="shared" si="29"/>
        <v>4946.6000000000004</v>
      </c>
      <c r="M452" s="9">
        <f t="shared" si="30"/>
        <v>0</v>
      </c>
      <c r="N452" s="10">
        <f t="shared" si="31"/>
        <v>4946.6000000000004</v>
      </c>
      <c r="O452" s="2" t="s">
        <v>26</v>
      </c>
      <c r="P452" s="2" t="s">
        <v>52</v>
      </c>
      <c r="Q452" s="2" t="s">
        <v>60</v>
      </c>
    </row>
    <row r="453" spans="1:17" x14ac:dyDescent="0.25">
      <c r="A453" s="3" t="s">
        <v>770</v>
      </c>
      <c r="B453" s="4">
        <v>45492</v>
      </c>
      <c r="C453" s="4" t="str">
        <f t="shared" si="28"/>
        <v>Jul</v>
      </c>
      <c r="D453" s="3" t="s">
        <v>771</v>
      </c>
      <c r="E453" s="3" t="s">
        <v>13</v>
      </c>
      <c r="F453" s="3" t="s">
        <v>14</v>
      </c>
      <c r="G453" s="3" t="s">
        <v>24</v>
      </c>
      <c r="H453" s="3" t="s">
        <v>134</v>
      </c>
      <c r="I453" s="3">
        <v>2732.29</v>
      </c>
      <c r="J453" s="3">
        <v>1</v>
      </c>
      <c r="K453" s="3">
        <v>5</v>
      </c>
      <c r="L453" s="9">
        <f t="shared" si="29"/>
        <v>2732.29</v>
      </c>
      <c r="M453" s="9">
        <f t="shared" si="30"/>
        <v>136.61450000000002</v>
      </c>
      <c r="N453" s="10">
        <f t="shared" si="31"/>
        <v>2595.6754999999998</v>
      </c>
      <c r="O453" s="3" t="s">
        <v>26</v>
      </c>
      <c r="P453" s="3" t="s">
        <v>18</v>
      </c>
      <c r="Q453" s="3" t="s">
        <v>19</v>
      </c>
    </row>
    <row r="454" spans="1:17" x14ac:dyDescent="0.25">
      <c r="A454" s="2" t="s">
        <v>772</v>
      </c>
      <c r="B454" s="4">
        <v>45493</v>
      </c>
      <c r="C454" s="4" t="str">
        <f t="shared" si="28"/>
        <v>Jul</v>
      </c>
      <c r="D454" s="2" t="s">
        <v>725</v>
      </c>
      <c r="E454" s="2" t="s">
        <v>47</v>
      </c>
      <c r="F454" s="2" t="s">
        <v>48</v>
      </c>
      <c r="G454" s="2" t="s">
        <v>24</v>
      </c>
      <c r="H454" s="2" t="s">
        <v>108</v>
      </c>
      <c r="I454" s="2">
        <v>7328.06</v>
      </c>
      <c r="J454" s="2">
        <v>1</v>
      </c>
      <c r="K454" s="2">
        <v>0</v>
      </c>
      <c r="L454" s="9">
        <f t="shared" si="29"/>
        <v>7328.06</v>
      </c>
      <c r="M454" s="9">
        <f t="shared" si="30"/>
        <v>0</v>
      </c>
      <c r="N454" s="10">
        <f t="shared" si="31"/>
        <v>7328.06</v>
      </c>
      <c r="O454" s="2" t="s">
        <v>33</v>
      </c>
      <c r="P454" s="2" t="s">
        <v>52</v>
      </c>
      <c r="Q454" s="2" t="s">
        <v>19</v>
      </c>
    </row>
    <row r="455" spans="1:17" x14ac:dyDescent="0.25">
      <c r="A455" s="3" t="s">
        <v>773</v>
      </c>
      <c r="B455" s="4">
        <v>45494</v>
      </c>
      <c r="C455" s="4" t="str">
        <f t="shared" si="28"/>
        <v>Jul</v>
      </c>
      <c r="D455" s="3" t="s">
        <v>583</v>
      </c>
      <c r="E455" s="3" t="s">
        <v>13</v>
      </c>
      <c r="F455" s="3" t="s">
        <v>14</v>
      </c>
      <c r="G455" s="3" t="s">
        <v>72</v>
      </c>
      <c r="H455" s="3" t="s">
        <v>102</v>
      </c>
      <c r="I455" s="3">
        <v>668.24</v>
      </c>
      <c r="J455" s="3">
        <v>4</v>
      </c>
      <c r="K455" s="3">
        <v>0</v>
      </c>
      <c r="L455" s="9">
        <f t="shared" si="29"/>
        <v>2672.96</v>
      </c>
      <c r="M455" s="9">
        <f t="shared" si="30"/>
        <v>0</v>
      </c>
      <c r="N455" s="10">
        <f t="shared" si="31"/>
        <v>2672.96</v>
      </c>
      <c r="O455" s="3" t="s">
        <v>26</v>
      </c>
      <c r="P455" s="3" t="s">
        <v>39</v>
      </c>
      <c r="Q455" s="3" t="s">
        <v>19</v>
      </c>
    </row>
    <row r="456" spans="1:17" x14ac:dyDescent="0.25">
      <c r="A456" s="2" t="s">
        <v>774</v>
      </c>
      <c r="B456" s="4">
        <v>45495</v>
      </c>
      <c r="C456" s="4" t="str">
        <f t="shared" si="28"/>
        <v>Jul</v>
      </c>
      <c r="D456" s="2" t="s">
        <v>553</v>
      </c>
      <c r="E456" s="2" t="s">
        <v>29</v>
      </c>
      <c r="F456" s="2" t="s">
        <v>30</v>
      </c>
      <c r="G456" s="2" t="s">
        <v>110</v>
      </c>
      <c r="H456" s="2" t="s">
        <v>111</v>
      </c>
      <c r="I456" s="2">
        <v>9877.0499999999993</v>
      </c>
      <c r="J456" s="2">
        <v>5</v>
      </c>
      <c r="K456" s="2">
        <v>15</v>
      </c>
      <c r="L456" s="9">
        <f t="shared" si="29"/>
        <v>49385.25</v>
      </c>
      <c r="M456" s="9">
        <f t="shared" si="30"/>
        <v>7407.7875000000004</v>
      </c>
      <c r="N456" s="10">
        <f t="shared" si="31"/>
        <v>41977.462500000001</v>
      </c>
      <c r="O456" s="2" t="s">
        <v>68</v>
      </c>
      <c r="P456" s="2" t="s">
        <v>18</v>
      </c>
      <c r="Q456" s="2" t="s">
        <v>53</v>
      </c>
    </row>
    <row r="457" spans="1:17" x14ac:dyDescent="0.25">
      <c r="A457" s="3" t="s">
        <v>775</v>
      </c>
      <c r="B457" s="4">
        <v>45496</v>
      </c>
      <c r="C457" s="4" t="str">
        <f t="shared" si="28"/>
        <v>Jul</v>
      </c>
      <c r="D457" s="3" t="s">
        <v>131</v>
      </c>
      <c r="E457" s="3" t="s">
        <v>22</v>
      </c>
      <c r="F457" s="3" t="s">
        <v>23</v>
      </c>
      <c r="G457" s="3" t="s">
        <v>31</v>
      </c>
      <c r="H457" s="3" t="s">
        <v>70</v>
      </c>
      <c r="I457" s="3">
        <v>582.38</v>
      </c>
      <c r="J457" s="3">
        <v>4</v>
      </c>
      <c r="K457" s="3">
        <v>0</v>
      </c>
      <c r="L457" s="9">
        <f t="shared" si="29"/>
        <v>2329.52</v>
      </c>
      <c r="M457" s="9">
        <f t="shared" si="30"/>
        <v>0</v>
      </c>
      <c r="N457" s="10">
        <f t="shared" si="31"/>
        <v>2329.52</v>
      </c>
      <c r="O457" s="3" t="s">
        <v>17</v>
      </c>
      <c r="P457" s="3" t="s">
        <v>18</v>
      </c>
      <c r="Q457" s="3" t="s">
        <v>19</v>
      </c>
    </row>
    <row r="458" spans="1:17" x14ac:dyDescent="0.25">
      <c r="A458" s="2" t="s">
        <v>776</v>
      </c>
      <c r="B458" s="4">
        <v>45497</v>
      </c>
      <c r="C458" s="4" t="str">
        <f t="shared" si="28"/>
        <v>Jul</v>
      </c>
      <c r="D458" s="2" t="s">
        <v>395</v>
      </c>
      <c r="E458" s="2" t="s">
        <v>22</v>
      </c>
      <c r="F458" s="2" t="s">
        <v>23</v>
      </c>
      <c r="G458" s="2" t="s">
        <v>36</v>
      </c>
      <c r="H458" s="2" t="s">
        <v>113</v>
      </c>
      <c r="I458" s="2">
        <v>114827.85</v>
      </c>
      <c r="J458" s="2">
        <v>5</v>
      </c>
      <c r="K458" s="2">
        <v>0</v>
      </c>
      <c r="L458" s="9">
        <f t="shared" si="29"/>
        <v>574139.25</v>
      </c>
      <c r="M458" s="9">
        <f t="shared" si="30"/>
        <v>0</v>
      </c>
      <c r="N458" s="10">
        <f t="shared" si="31"/>
        <v>574139.25</v>
      </c>
      <c r="O458" s="2" t="s">
        <v>38</v>
      </c>
      <c r="P458" s="2" t="s">
        <v>18</v>
      </c>
      <c r="Q458" s="2" t="s">
        <v>34</v>
      </c>
    </row>
    <row r="459" spans="1:17" x14ac:dyDescent="0.25">
      <c r="A459" s="3" t="s">
        <v>777</v>
      </c>
      <c r="B459" s="4">
        <v>45498</v>
      </c>
      <c r="C459" s="4" t="str">
        <f t="shared" si="28"/>
        <v>Jul</v>
      </c>
      <c r="D459" s="3" t="s">
        <v>598</v>
      </c>
      <c r="E459" s="3" t="s">
        <v>76</v>
      </c>
      <c r="F459" s="3" t="s">
        <v>77</v>
      </c>
      <c r="G459" s="3" t="s">
        <v>43</v>
      </c>
      <c r="H459" s="3" t="s">
        <v>89</v>
      </c>
      <c r="I459" s="3">
        <v>4054.19</v>
      </c>
      <c r="J459" s="3">
        <v>2</v>
      </c>
      <c r="K459" s="3">
        <v>0</v>
      </c>
      <c r="L459" s="9">
        <f t="shared" si="29"/>
        <v>8108.38</v>
      </c>
      <c r="M459" s="9">
        <f t="shared" si="30"/>
        <v>0</v>
      </c>
      <c r="N459" s="10">
        <f t="shared" si="31"/>
        <v>8108.38</v>
      </c>
      <c r="O459" s="3" t="s">
        <v>17</v>
      </c>
      <c r="P459" s="3" t="s">
        <v>18</v>
      </c>
      <c r="Q459" s="3" t="s">
        <v>19</v>
      </c>
    </row>
    <row r="460" spans="1:17" x14ac:dyDescent="0.25">
      <c r="A460" s="2" t="s">
        <v>778</v>
      </c>
      <c r="B460" s="4">
        <v>45499</v>
      </c>
      <c r="C460" s="4" t="str">
        <f t="shared" si="28"/>
        <v>Jul</v>
      </c>
      <c r="D460" s="2" t="s">
        <v>779</v>
      </c>
      <c r="E460" s="2" t="s">
        <v>87</v>
      </c>
      <c r="F460" s="2" t="s">
        <v>88</v>
      </c>
      <c r="G460" s="2" t="s">
        <v>36</v>
      </c>
      <c r="H460" s="2" t="s">
        <v>113</v>
      </c>
      <c r="I460" s="2">
        <v>130961.02</v>
      </c>
      <c r="J460" s="2">
        <v>5</v>
      </c>
      <c r="K460" s="2">
        <v>5</v>
      </c>
      <c r="L460" s="9">
        <f t="shared" si="29"/>
        <v>654805.1</v>
      </c>
      <c r="M460" s="9">
        <f t="shared" si="30"/>
        <v>32740.255000000001</v>
      </c>
      <c r="N460" s="10">
        <f t="shared" si="31"/>
        <v>622064.84499999997</v>
      </c>
      <c r="O460" s="2" t="s">
        <v>38</v>
      </c>
      <c r="P460" s="2" t="s">
        <v>27</v>
      </c>
      <c r="Q460" s="2" t="s">
        <v>60</v>
      </c>
    </row>
    <row r="461" spans="1:17" x14ac:dyDescent="0.25">
      <c r="A461" s="3" t="s">
        <v>780</v>
      </c>
      <c r="B461" s="4">
        <v>45500</v>
      </c>
      <c r="C461" s="4" t="str">
        <f t="shared" si="28"/>
        <v>Jul</v>
      </c>
      <c r="D461" s="3" t="s">
        <v>429</v>
      </c>
      <c r="E461" s="3" t="s">
        <v>51</v>
      </c>
      <c r="F461" s="3" t="s">
        <v>14</v>
      </c>
      <c r="G461" s="3" t="s">
        <v>72</v>
      </c>
      <c r="H461" s="3" t="s">
        <v>137</v>
      </c>
      <c r="I461" s="3">
        <v>2402.9499999999998</v>
      </c>
      <c r="J461" s="3">
        <v>4</v>
      </c>
      <c r="K461" s="3">
        <v>5</v>
      </c>
      <c r="L461" s="9">
        <f t="shared" si="29"/>
        <v>9611.7999999999993</v>
      </c>
      <c r="M461" s="9">
        <f t="shared" si="30"/>
        <v>480.59</v>
      </c>
      <c r="N461" s="10">
        <f t="shared" si="31"/>
        <v>9131.2099999999991</v>
      </c>
      <c r="O461" s="3" t="s">
        <v>33</v>
      </c>
      <c r="P461" s="3" t="s">
        <v>52</v>
      </c>
      <c r="Q461" s="3" t="s">
        <v>40</v>
      </c>
    </row>
    <row r="462" spans="1:17" x14ac:dyDescent="0.25">
      <c r="A462" s="2" t="s">
        <v>781</v>
      </c>
      <c r="B462" s="4">
        <v>45501</v>
      </c>
      <c r="C462" s="4" t="str">
        <f t="shared" si="28"/>
        <v>Jul</v>
      </c>
      <c r="D462" s="2" t="s">
        <v>295</v>
      </c>
      <c r="E462" s="2" t="s">
        <v>22</v>
      </c>
      <c r="F462" s="2" t="s">
        <v>23</v>
      </c>
      <c r="G462" s="2" t="s">
        <v>43</v>
      </c>
      <c r="H462" s="2" t="s">
        <v>127</v>
      </c>
      <c r="I462" s="2">
        <v>5694.6</v>
      </c>
      <c r="J462" s="2">
        <v>2</v>
      </c>
      <c r="K462" s="2">
        <v>10</v>
      </c>
      <c r="L462" s="9">
        <f t="shared" si="29"/>
        <v>11389.2</v>
      </c>
      <c r="M462" s="9">
        <f t="shared" si="30"/>
        <v>1138.92</v>
      </c>
      <c r="N462" s="10">
        <f t="shared" si="31"/>
        <v>10250.280000000001</v>
      </c>
      <c r="O462" s="2" t="s">
        <v>33</v>
      </c>
      <c r="P462" s="2" t="s">
        <v>18</v>
      </c>
      <c r="Q462" s="2" t="s">
        <v>19</v>
      </c>
    </row>
    <row r="463" spans="1:17" x14ac:dyDescent="0.25">
      <c r="A463" s="3" t="s">
        <v>782</v>
      </c>
      <c r="B463" s="4">
        <v>45502</v>
      </c>
      <c r="C463" s="4" t="str">
        <f t="shared" si="28"/>
        <v>Jul</v>
      </c>
      <c r="D463" s="3" t="s">
        <v>511</v>
      </c>
      <c r="E463" s="3" t="s">
        <v>47</v>
      </c>
      <c r="F463" s="3" t="s">
        <v>48</v>
      </c>
      <c r="G463" s="3" t="s">
        <v>24</v>
      </c>
      <c r="H463" s="3" t="s">
        <v>108</v>
      </c>
      <c r="I463" s="3">
        <v>7348.82</v>
      </c>
      <c r="J463" s="3">
        <v>3</v>
      </c>
      <c r="K463" s="3">
        <v>0</v>
      </c>
      <c r="L463" s="9">
        <f t="shared" si="29"/>
        <v>22046.46</v>
      </c>
      <c r="M463" s="9">
        <f t="shared" si="30"/>
        <v>0</v>
      </c>
      <c r="N463" s="10">
        <f t="shared" si="31"/>
        <v>22046.46</v>
      </c>
      <c r="O463" s="3" t="s">
        <v>17</v>
      </c>
      <c r="P463" s="3" t="s">
        <v>18</v>
      </c>
      <c r="Q463" s="3" t="s">
        <v>60</v>
      </c>
    </row>
    <row r="464" spans="1:17" x14ac:dyDescent="0.25">
      <c r="A464" s="2" t="s">
        <v>783</v>
      </c>
      <c r="B464" s="4">
        <v>45503</v>
      </c>
      <c r="C464" s="4" t="str">
        <f t="shared" si="28"/>
        <v>Jul</v>
      </c>
      <c r="D464" s="2" t="s">
        <v>570</v>
      </c>
      <c r="E464" s="2" t="s">
        <v>29</v>
      </c>
      <c r="F464" s="2" t="s">
        <v>30</v>
      </c>
      <c r="G464" s="2" t="s">
        <v>31</v>
      </c>
      <c r="H464" s="2" t="s">
        <v>186</v>
      </c>
      <c r="I464" s="2">
        <v>871.54</v>
      </c>
      <c r="J464" s="2">
        <v>2</v>
      </c>
      <c r="K464" s="2">
        <v>0</v>
      </c>
      <c r="L464" s="9">
        <f t="shared" si="29"/>
        <v>1743.08</v>
      </c>
      <c r="M464" s="9">
        <f t="shared" si="30"/>
        <v>0</v>
      </c>
      <c r="N464" s="10">
        <f t="shared" si="31"/>
        <v>1743.08</v>
      </c>
      <c r="O464" s="2" t="s">
        <v>26</v>
      </c>
      <c r="P464" s="2" t="s">
        <v>18</v>
      </c>
      <c r="Q464" s="2" t="s">
        <v>53</v>
      </c>
    </row>
    <row r="465" spans="1:17" x14ac:dyDescent="0.25">
      <c r="A465" s="3" t="s">
        <v>784</v>
      </c>
      <c r="B465" s="4">
        <v>45504</v>
      </c>
      <c r="C465" s="4" t="str">
        <f t="shared" si="28"/>
        <v>Jul</v>
      </c>
      <c r="D465" s="3" t="s">
        <v>525</v>
      </c>
      <c r="E465" s="3" t="s">
        <v>51</v>
      </c>
      <c r="F465" s="3" t="s">
        <v>14</v>
      </c>
      <c r="G465" s="3" t="s">
        <v>72</v>
      </c>
      <c r="H465" s="3" t="s">
        <v>102</v>
      </c>
      <c r="I465" s="3">
        <v>693.72</v>
      </c>
      <c r="J465" s="3">
        <v>3</v>
      </c>
      <c r="K465" s="3">
        <v>15</v>
      </c>
      <c r="L465" s="9">
        <f t="shared" si="29"/>
        <v>2081.16</v>
      </c>
      <c r="M465" s="9">
        <f t="shared" si="30"/>
        <v>312.17399999999998</v>
      </c>
      <c r="N465" s="10">
        <f t="shared" si="31"/>
        <v>1768.9859999999999</v>
      </c>
      <c r="O465" s="3" t="s">
        <v>68</v>
      </c>
      <c r="P465" s="3" t="s">
        <v>18</v>
      </c>
      <c r="Q465" s="3" t="s">
        <v>40</v>
      </c>
    </row>
    <row r="466" spans="1:17" x14ac:dyDescent="0.25">
      <c r="A466" s="2" t="s">
        <v>785</v>
      </c>
      <c r="B466" s="4">
        <v>45505</v>
      </c>
      <c r="C466" s="4" t="str">
        <f t="shared" si="28"/>
        <v>Aug</v>
      </c>
      <c r="D466" s="2" t="s">
        <v>786</v>
      </c>
      <c r="E466" s="2" t="s">
        <v>29</v>
      </c>
      <c r="F466" s="2" t="s">
        <v>30</v>
      </c>
      <c r="G466" s="2" t="s">
        <v>36</v>
      </c>
      <c r="H466" s="2" t="s">
        <v>113</v>
      </c>
      <c r="I466" s="2">
        <v>130991.83</v>
      </c>
      <c r="J466" s="2">
        <v>4</v>
      </c>
      <c r="K466" s="2">
        <v>10</v>
      </c>
      <c r="L466" s="9">
        <f t="shared" si="29"/>
        <v>523967.32</v>
      </c>
      <c r="M466" s="9">
        <f t="shared" si="30"/>
        <v>52396.732000000004</v>
      </c>
      <c r="N466" s="10">
        <f t="shared" si="31"/>
        <v>471570.58799999999</v>
      </c>
      <c r="O466" s="2" t="s">
        <v>17</v>
      </c>
      <c r="P466" s="2" t="s">
        <v>18</v>
      </c>
      <c r="Q466" s="2" t="s">
        <v>60</v>
      </c>
    </row>
    <row r="467" spans="1:17" x14ac:dyDescent="0.25">
      <c r="A467" s="3" t="s">
        <v>787</v>
      </c>
      <c r="B467" s="4">
        <v>45506</v>
      </c>
      <c r="C467" s="4" t="str">
        <f t="shared" si="28"/>
        <v>Aug</v>
      </c>
      <c r="D467" s="3" t="s">
        <v>634</v>
      </c>
      <c r="E467" s="3" t="s">
        <v>100</v>
      </c>
      <c r="F467" s="3" t="s">
        <v>88</v>
      </c>
      <c r="G467" s="3" t="s">
        <v>72</v>
      </c>
      <c r="H467" s="3" t="s">
        <v>73</v>
      </c>
      <c r="I467" s="3">
        <v>334.62</v>
      </c>
      <c r="J467" s="3">
        <v>2</v>
      </c>
      <c r="K467" s="3">
        <v>5</v>
      </c>
      <c r="L467" s="9">
        <f t="shared" si="29"/>
        <v>669.24</v>
      </c>
      <c r="M467" s="9">
        <f t="shared" si="30"/>
        <v>33.461999999999996</v>
      </c>
      <c r="N467" s="10">
        <f t="shared" si="31"/>
        <v>635.77800000000002</v>
      </c>
      <c r="O467" s="3" t="s">
        <v>26</v>
      </c>
      <c r="P467" s="3" t="s">
        <v>18</v>
      </c>
      <c r="Q467" s="3" t="s">
        <v>19</v>
      </c>
    </row>
    <row r="468" spans="1:17" x14ac:dyDescent="0.25">
      <c r="A468" s="2" t="s">
        <v>788</v>
      </c>
      <c r="B468" s="4">
        <v>45507</v>
      </c>
      <c r="C468" s="4" t="str">
        <f t="shared" si="28"/>
        <v>Aug</v>
      </c>
      <c r="D468" s="2" t="s">
        <v>700</v>
      </c>
      <c r="E468" s="2" t="s">
        <v>13</v>
      </c>
      <c r="F468" s="2" t="s">
        <v>14</v>
      </c>
      <c r="G468" s="2" t="s">
        <v>110</v>
      </c>
      <c r="H468" s="2" t="s">
        <v>215</v>
      </c>
      <c r="I468" s="2">
        <v>2446.86</v>
      </c>
      <c r="J468" s="2">
        <v>2</v>
      </c>
      <c r="K468" s="2">
        <v>5</v>
      </c>
      <c r="L468" s="9">
        <f t="shared" si="29"/>
        <v>4893.72</v>
      </c>
      <c r="M468" s="9">
        <f t="shared" si="30"/>
        <v>244.68600000000004</v>
      </c>
      <c r="N468" s="10">
        <f t="shared" si="31"/>
        <v>4649.0340000000006</v>
      </c>
      <c r="O468" s="2" t="s">
        <v>68</v>
      </c>
      <c r="P468" s="2" t="s">
        <v>27</v>
      </c>
      <c r="Q468" s="2" t="s">
        <v>19</v>
      </c>
    </row>
    <row r="469" spans="1:17" x14ac:dyDescent="0.25">
      <c r="A469" s="3" t="s">
        <v>789</v>
      </c>
      <c r="B469" s="4">
        <v>45508</v>
      </c>
      <c r="C469" s="4" t="str">
        <f t="shared" si="28"/>
        <v>Aug</v>
      </c>
      <c r="D469" s="3" t="s">
        <v>314</v>
      </c>
      <c r="E469" s="3" t="s">
        <v>13</v>
      </c>
      <c r="F469" s="3" t="s">
        <v>14</v>
      </c>
      <c r="G469" s="3" t="s">
        <v>36</v>
      </c>
      <c r="H469" s="3" t="s">
        <v>121</v>
      </c>
      <c r="I469" s="3">
        <v>89504.3</v>
      </c>
      <c r="J469" s="3">
        <v>5</v>
      </c>
      <c r="K469" s="3">
        <v>0</v>
      </c>
      <c r="L469" s="9">
        <f t="shared" si="29"/>
        <v>447521.5</v>
      </c>
      <c r="M469" s="9">
        <f t="shared" si="30"/>
        <v>0</v>
      </c>
      <c r="N469" s="10">
        <f t="shared" si="31"/>
        <v>447521.5</v>
      </c>
      <c r="O469" s="3" t="s">
        <v>38</v>
      </c>
      <c r="P469" s="3" t="s">
        <v>18</v>
      </c>
      <c r="Q469" s="3" t="s">
        <v>19</v>
      </c>
    </row>
    <row r="470" spans="1:17" x14ac:dyDescent="0.25">
      <c r="A470" s="2" t="s">
        <v>790</v>
      </c>
      <c r="B470" s="4">
        <v>45509</v>
      </c>
      <c r="C470" s="4" t="str">
        <f t="shared" si="28"/>
        <v>Aug</v>
      </c>
      <c r="D470" s="2" t="s">
        <v>791</v>
      </c>
      <c r="E470" s="2" t="s">
        <v>47</v>
      </c>
      <c r="F470" s="2" t="s">
        <v>48</v>
      </c>
      <c r="G470" s="2" t="s">
        <v>24</v>
      </c>
      <c r="H470" s="2" t="s">
        <v>108</v>
      </c>
      <c r="I470" s="2">
        <v>7954.15</v>
      </c>
      <c r="J470" s="2">
        <v>5</v>
      </c>
      <c r="K470" s="2">
        <v>5</v>
      </c>
      <c r="L470" s="9">
        <f t="shared" si="29"/>
        <v>39770.75</v>
      </c>
      <c r="M470" s="9">
        <f t="shared" si="30"/>
        <v>1988.5374999999999</v>
      </c>
      <c r="N470" s="10">
        <f t="shared" si="31"/>
        <v>37782.212500000001</v>
      </c>
      <c r="O470" s="2" t="s">
        <v>38</v>
      </c>
      <c r="P470" s="2" t="s">
        <v>18</v>
      </c>
      <c r="Q470" s="2" t="s">
        <v>60</v>
      </c>
    </row>
    <row r="471" spans="1:17" x14ac:dyDescent="0.25">
      <c r="A471" s="3" t="s">
        <v>792</v>
      </c>
      <c r="B471" s="4">
        <v>45510</v>
      </c>
      <c r="C471" s="4" t="str">
        <f t="shared" si="28"/>
        <v>Aug</v>
      </c>
      <c r="D471" s="3" t="s">
        <v>277</v>
      </c>
      <c r="E471" s="3" t="s">
        <v>87</v>
      </c>
      <c r="F471" s="3" t="s">
        <v>88</v>
      </c>
      <c r="G471" s="3" t="s">
        <v>31</v>
      </c>
      <c r="H471" s="3" t="s">
        <v>70</v>
      </c>
      <c r="I471" s="3">
        <v>573.55999999999995</v>
      </c>
      <c r="J471" s="3">
        <v>2</v>
      </c>
      <c r="K471" s="3">
        <v>0</v>
      </c>
      <c r="L471" s="9">
        <f t="shared" si="29"/>
        <v>1147.1199999999999</v>
      </c>
      <c r="M471" s="9">
        <f t="shared" si="30"/>
        <v>0</v>
      </c>
      <c r="N471" s="10">
        <f t="shared" si="31"/>
        <v>1147.1199999999999</v>
      </c>
      <c r="O471" s="3" t="s">
        <v>26</v>
      </c>
      <c r="P471" s="3" t="s">
        <v>52</v>
      </c>
      <c r="Q471" s="3" t="s">
        <v>53</v>
      </c>
    </row>
    <row r="472" spans="1:17" x14ac:dyDescent="0.25">
      <c r="A472" s="2" t="s">
        <v>793</v>
      </c>
      <c r="B472" s="4">
        <v>45511</v>
      </c>
      <c r="C472" s="4" t="str">
        <f t="shared" si="28"/>
        <v>Aug</v>
      </c>
      <c r="D472" s="2" t="s">
        <v>794</v>
      </c>
      <c r="E472" s="2" t="s">
        <v>51</v>
      </c>
      <c r="F472" s="2" t="s">
        <v>14</v>
      </c>
      <c r="G472" s="2" t="s">
        <v>110</v>
      </c>
      <c r="H472" s="2" t="s">
        <v>67</v>
      </c>
      <c r="I472" s="2">
        <v>4820.68</v>
      </c>
      <c r="J472" s="2">
        <v>2</v>
      </c>
      <c r="K472" s="2">
        <v>0</v>
      </c>
      <c r="L472" s="9">
        <f t="shared" si="29"/>
        <v>9641.36</v>
      </c>
      <c r="M472" s="9">
        <f t="shared" si="30"/>
        <v>0</v>
      </c>
      <c r="N472" s="10">
        <f t="shared" si="31"/>
        <v>9641.36</v>
      </c>
      <c r="O472" s="2" t="s">
        <v>26</v>
      </c>
      <c r="P472" s="2" t="s">
        <v>18</v>
      </c>
      <c r="Q472" s="2" t="s">
        <v>40</v>
      </c>
    </row>
    <row r="473" spans="1:17" x14ac:dyDescent="0.25">
      <c r="A473" s="3" t="s">
        <v>795</v>
      </c>
      <c r="B473" s="4">
        <v>45512</v>
      </c>
      <c r="C473" s="4" t="str">
        <f t="shared" si="28"/>
        <v>Aug</v>
      </c>
      <c r="D473" s="3" t="s">
        <v>796</v>
      </c>
      <c r="E473" s="3" t="s">
        <v>100</v>
      </c>
      <c r="F473" s="3" t="s">
        <v>88</v>
      </c>
      <c r="G473" s="3" t="s">
        <v>72</v>
      </c>
      <c r="H473" s="3" t="s">
        <v>73</v>
      </c>
      <c r="I473" s="3">
        <v>352.38</v>
      </c>
      <c r="J473" s="3">
        <v>3</v>
      </c>
      <c r="K473" s="3">
        <v>10</v>
      </c>
      <c r="L473" s="9">
        <f t="shared" si="29"/>
        <v>1057.1399999999999</v>
      </c>
      <c r="M473" s="9">
        <f t="shared" si="30"/>
        <v>105.71399999999998</v>
      </c>
      <c r="N473" s="10">
        <f t="shared" si="31"/>
        <v>951.42599999999993</v>
      </c>
      <c r="O473" s="3" t="s">
        <v>38</v>
      </c>
      <c r="P473" s="3" t="s">
        <v>18</v>
      </c>
      <c r="Q473" s="3" t="s">
        <v>19</v>
      </c>
    </row>
    <row r="474" spans="1:17" x14ac:dyDescent="0.25">
      <c r="A474" s="2" t="s">
        <v>797</v>
      </c>
      <c r="B474" s="4">
        <v>45513</v>
      </c>
      <c r="C474" s="4" t="str">
        <f t="shared" si="28"/>
        <v>Aug</v>
      </c>
      <c r="D474" s="2" t="s">
        <v>301</v>
      </c>
      <c r="E474" s="2" t="s">
        <v>22</v>
      </c>
      <c r="F474" s="2" t="s">
        <v>23</v>
      </c>
      <c r="G474" s="2" t="s">
        <v>15</v>
      </c>
      <c r="H474" s="2" t="s">
        <v>163</v>
      </c>
      <c r="I474" s="2">
        <v>2280.02</v>
      </c>
      <c r="J474" s="2">
        <v>3</v>
      </c>
      <c r="K474" s="2">
        <v>0</v>
      </c>
      <c r="L474" s="9">
        <f t="shared" si="29"/>
        <v>6840.0599999999995</v>
      </c>
      <c r="M474" s="9">
        <f t="shared" si="30"/>
        <v>0</v>
      </c>
      <c r="N474" s="10">
        <f t="shared" si="31"/>
        <v>6840.0599999999995</v>
      </c>
      <c r="O474" s="2" t="s">
        <v>68</v>
      </c>
      <c r="P474" s="2" t="s">
        <v>18</v>
      </c>
      <c r="Q474" s="2" t="s">
        <v>34</v>
      </c>
    </row>
    <row r="475" spans="1:17" x14ac:dyDescent="0.25">
      <c r="A475" s="3" t="s">
        <v>798</v>
      </c>
      <c r="B475" s="4">
        <v>45514</v>
      </c>
      <c r="C475" s="4" t="str">
        <f t="shared" si="28"/>
        <v>Aug</v>
      </c>
      <c r="D475" s="3" t="s">
        <v>316</v>
      </c>
      <c r="E475" s="3" t="s">
        <v>83</v>
      </c>
      <c r="F475" s="3" t="s">
        <v>84</v>
      </c>
      <c r="G475" s="3" t="s">
        <v>110</v>
      </c>
      <c r="H475" s="3" t="s">
        <v>215</v>
      </c>
      <c r="I475" s="3">
        <v>2422.0700000000002</v>
      </c>
      <c r="J475" s="3">
        <v>4</v>
      </c>
      <c r="K475" s="3">
        <v>0</v>
      </c>
      <c r="L475" s="9">
        <f t="shared" si="29"/>
        <v>9688.2800000000007</v>
      </c>
      <c r="M475" s="9">
        <f t="shared" si="30"/>
        <v>0</v>
      </c>
      <c r="N475" s="10">
        <f t="shared" si="31"/>
        <v>9688.2800000000007</v>
      </c>
      <c r="O475" s="3" t="s">
        <v>38</v>
      </c>
      <c r="P475" s="3" t="s">
        <v>39</v>
      </c>
      <c r="Q475" s="3" t="s">
        <v>19</v>
      </c>
    </row>
    <row r="476" spans="1:17" x14ac:dyDescent="0.25">
      <c r="A476" s="2" t="s">
        <v>799</v>
      </c>
      <c r="B476" s="4">
        <v>45515</v>
      </c>
      <c r="C476" s="4" t="str">
        <f t="shared" si="28"/>
        <v>Aug</v>
      </c>
      <c r="D476" s="2" t="s">
        <v>115</v>
      </c>
      <c r="E476" s="2" t="s">
        <v>83</v>
      </c>
      <c r="F476" s="2" t="s">
        <v>84</v>
      </c>
      <c r="G476" s="2" t="s">
        <v>24</v>
      </c>
      <c r="H476" s="2" t="s">
        <v>108</v>
      </c>
      <c r="I476" s="2">
        <v>7768.17</v>
      </c>
      <c r="J476" s="2">
        <v>5</v>
      </c>
      <c r="K476" s="2">
        <v>10</v>
      </c>
      <c r="L476" s="9">
        <f t="shared" si="29"/>
        <v>38840.85</v>
      </c>
      <c r="M476" s="9">
        <f t="shared" si="30"/>
        <v>3884.085</v>
      </c>
      <c r="N476" s="10">
        <f t="shared" si="31"/>
        <v>34956.764999999999</v>
      </c>
      <c r="O476" s="2" t="s">
        <v>33</v>
      </c>
      <c r="P476" s="2" t="s">
        <v>18</v>
      </c>
      <c r="Q476" s="2" t="s">
        <v>60</v>
      </c>
    </row>
    <row r="477" spans="1:17" x14ac:dyDescent="0.25">
      <c r="A477" s="3" t="s">
        <v>800</v>
      </c>
      <c r="B477" s="4">
        <v>45516</v>
      </c>
      <c r="C477" s="4" t="str">
        <f t="shared" si="28"/>
        <v>Aug</v>
      </c>
      <c r="D477" s="3" t="s">
        <v>490</v>
      </c>
      <c r="E477" s="3" t="s">
        <v>100</v>
      </c>
      <c r="F477" s="3" t="s">
        <v>88</v>
      </c>
      <c r="G477" s="3" t="s">
        <v>72</v>
      </c>
      <c r="H477" s="3" t="s">
        <v>102</v>
      </c>
      <c r="I477" s="3">
        <v>668.28</v>
      </c>
      <c r="J477" s="3">
        <v>3</v>
      </c>
      <c r="K477" s="3">
        <v>0</v>
      </c>
      <c r="L477" s="9">
        <f t="shared" si="29"/>
        <v>2004.84</v>
      </c>
      <c r="M477" s="9">
        <f t="shared" si="30"/>
        <v>0</v>
      </c>
      <c r="N477" s="10">
        <f t="shared" si="31"/>
        <v>2004.84</v>
      </c>
      <c r="O477" s="3" t="s">
        <v>17</v>
      </c>
      <c r="P477" s="3" t="s">
        <v>52</v>
      </c>
      <c r="Q477" s="3" t="s">
        <v>60</v>
      </c>
    </row>
    <row r="478" spans="1:17" x14ac:dyDescent="0.25">
      <c r="A478" s="2" t="s">
        <v>801</v>
      </c>
      <c r="B478" s="4">
        <v>45517</v>
      </c>
      <c r="C478" s="4" t="str">
        <f t="shared" si="28"/>
        <v>Aug</v>
      </c>
      <c r="D478" s="2" t="s">
        <v>252</v>
      </c>
      <c r="E478" s="2" t="s">
        <v>87</v>
      </c>
      <c r="F478" s="2" t="s">
        <v>88</v>
      </c>
      <c r="G478" s="2" t="s">
        <v>24</v>
      </c>
      <c r="H478" s="2" t="s">
        <v>108</v>
      </c>
      <c r="I478" s="2">
        <v>7707.01</v>
      </c>
      <c r="J478" s="2">
        <v>3</v>
      </c>
      <c r="K478" s="2">
        <v>0</v>
      </c>
      <c r="L478" s="9">
        <f t="shared" si="29"/>
        <v>23121.03</v>
      </c>
      <c r="M478" s="9">
        <f t="shared" si="30"/>
        <v>0</v>
      </c>
      <c r="N478" s="10">
        <f t="shared" si="31"/>
        <v>23121.03</v>
      </c>
      <c r="O478" s="2" t="s">
        <v>38</v>
      </c>
      <c r="P478" s="2" t="s">
        <v>52</v>
      </c>
      <c r="Q478" s="2" t="s">
        <v>60</v>
      </c>
    </row>
    <row r="479" spans="1:17" x14ac:dyDescent="0.25">
      <c r="A479" s="3" t="s">
        <v>802</v>
      </c>
      <c r="B479" s="4">
        <v>45518</v>
      </c>
      <c r="C479" s="4" t="str">
        <f t="shared" si="28"/>
        <v>Aug</v>
      </c>
      <c r="D479" s="3" t="s">
        <v>270</v>
      </c>
      <c r="E479" s="3" t="s">
        <v>29</v>
      </c>
      <c r="F479" s="3" t="s">
        <v>30</v>
      </c>
      <c r="G479" s="3" t="s">
        <v>110</v>
      </c>
      <c r="H479" s="3" t="s">
        <v>67</v>
      </c>
      <c r="I479" s="3">
        <v>4422.59</v>
      </c>
      <c r="J479" s="3">
        <v>2</v>
      </c>
      <c r="K479" s="3">
        <v>15</v>
      </c>
      <c r="L479" s="9">
        <f t="shared" si="29"/>
        <v>8845.18</v>
      </c>
      <c r="M479" s="9">
        <f t="shared" si="30"/>
        <v>1326.777</v>
      </c>
      <c r="N479" s="10">
        <f t="shared" si="31"/>
        <v>7518.4030000000002</v>
      </c>
      <c r="O479" s="3" t="s">
        <v>26</v>
      </c>
      <c r="P479" s="3" t="s">
        <v>27</v>
      </c>
      <c r="Q479" s="3" t="s">
        <v>53</v>
      </c>
    </row>
    <row r="480" spans="1:17" x14ac:dyDescent="0.25">
      <c r="A480" s="2" t="s">
        <v>803</v>
      </c>
      <c r="B480" s="4">
        <v>45519</v>
      </c>
      <c r="C480" s="4" t="str">
        <f t="shared" si="28"/>
        <v>Aug</v>
      </c>
      <c r="D480" s="2" t="s">
        <v>416</v>
      </c>
      <c r="E480" s="2" t="s">
        <v>22</v>
      </c>
      <c r="F480" s="2" t="s">
        <v>23</v>
      </c>
      <c r="G480" s="2" t="s">
        <v>24</v>
      </c>
      <c r="H480" s="2" t="s">
        <v>25</v>
      </c>
      <c r="I480" s="2">
        <v>4407.34</v>
      </c>
      <c r="J480" s="2">
        <v>1</v>
      </c>
      <c r="K480" s="2">
        <v>0</v>
      </c>
      <c r="L480" s="9">
        <f t="shared" si="29"/>
        <v>4407.34</v>
      </c>
      <c r="M480" s="9">
        <f t="shared" si="30"/>
        <v>0</v>
      </c>
      <c r="N480" s="10">
        <f t="shared" si="31"/>
        <v>4407.34</v>
      </c>
      <c r="O480" s="2" t="s">
        <v>33</v>
      </c>
      <c r="P480" s="2" t="s">
        <v>52</v>
      </c>
      <c r="Q480" s="2" t="s">
        <v>40</v>
      </c>
    </row>
    <row r="481" spans="1:17" x14ac:dyDescent="0.25">
      <c r="A481" s="3" t="s">
        <v>804</v>
      </c>
      <c r="B481" s="4">
        <v>45520</v>
      </c>
      <c r="C481" s="4" t="str">
        <f t="shared" si="28"/>
        <v>Aug</v>
      </c>
      <c r="D481" s="3" t="s">
        <v>334</v>
      </c>
      <c r="E481" s="3" t="s">
        <v>22</v>
      </c>
      <c r="F481" s="3" t="s">
        <v>23</v>
      </c>
      <c r="G481" s="3" t="s">
        <v>36</v>
      </c>
      <c r="H481" s="3" t="s">
        <v>338</v>
      </c>
      <c r="I481" s="3">
        <v>66535.33</v>
      </c>
      <c r="J481" s="3">
        <v>1</v>
      </c>
      <c r="K481" s="3">
        <v>0</v>
      </c>
      <c r="L481" s="9">
        <f t="shared" si="29"/>
        <v>66535.33</v>
      </c>
      <c r="M481" s="9">
        <f t="shared" si="30"/>
        <v>0</v>
      </c>
      <c r="N481" s="10">
        <f t="shared" si="31"/>
        <v>66535.33</v>
      </c>
      <c r="O481" s="3" t="s">
        <v>33</v>
      </c>
      <c r="P481" s="3" t="s">
        <v>18</v>
      </c>
      <c r="Q481" s="3" t="s">
        <v>53</v>
      </c>
    </row>
    <row r="482" spans="1:17" x14ac:dyDescent="0.25">
      <c r="A482" s="2" t="s">
        <v>805</v>
      </c>
      <c r="B482" s="4">
        <v>45521</v>
      </c>
      <c r="C482" s="4" t="str">
        <f t="shared" si="28"/>
        <v>Aug</v>
      </c>
      <c r="D482" s="2" t="s">
        <v>794</v>
      </c>
      <c r="E482" s="2" t="s">
        <v>76</v>
      </c>
      <c r="F482" s="2" t="s">
        <v>77</v>
      </c>
      <c r="G482" s="2" t="s">
        <v>15</v>
      </c>
      <c r="H482" s="2" t="s">
        <v>163</v>
      </c>
      <c r="I482" s="2">
        <v>2315.64</v>
      </c>
      <c r="J482" s="2">
        <v>2</v>
      </c>
      <c r="K482" s="2">
        <v>0</v>
      </c>
      <c r="L482" s="9">
        <f t="shared" si="29"/>
        <v>4631.28</v>
      </c>
      <c r="M482" s="9">
        <f t="shared" si="30"/>
        <v>0</v>
      </c>
      <c r="N482" s="10">
        <f t="shared" si="31"/>
        <v>4631.28</v>
      </c>
      <c r="O482" s="2" t="s">
        <v>68</v>
      </c>
      <c r="P482" s="2" t="s">
        <v>27</v>
      </c>
      <c r="Q482" s="2" t="s">
        <v>34</v>
      </c>
    </row>
    <row r="483" spans="1:17" x14ac:dyDescent="0.25">
      <c r="A483" s="3" t="s">
        <v>806</v>
      </c>
      <c r="B483" s="4">
        <v>45522</v>
      </c>
      <c r="C483" s="4" t="str">
        <f t="shared" si="28"/>
        <v>Aug</v>
      </c>
      <c r="D483" s="3" t="s">
        <v>155</v>
      </c>
      <c r="E483" s="3" t="s">
        <v>83</v>
      </c>
      <c r="F483" s="3" t="s">
        <v>84</v>
      </c>
      <c r="G483" s="3" t="s">
        <v>31</v>
      </c>
      <c r="H483" s="3" t="s">
        <v>242</v>
      </c>
      <c r="I483" s="3">
        <v>890.07</v>
      </c>
      <c r="J483" s="3">
        <v>5</v>
      </c>
      <c r="K483" s="3">
        <v>15</v>
      </c>
      <c r="L483" s="9">
        <f t="shared" si="29"/>
        <v>4450.3500000000004</v>
      </c>
      <c r="M483" s="9">
        <f t="shared" si="30"/>
        <v>667.55250000000001</v>
      </c>
      <c r="N483" s="10">
        <f t="shared" si="31"/>
        <v>3782.7975000000006</v>
      </c>
      <c r="O483" s="3" t="s">
        <v>17</v>
      </c>
      <c r="P483" s="3" t="s">
        <v>52</v>
      </c>
      <c r="Q483" s="3" t="s">
        <v>60</v>
      </c>
    </row>
    <row r="484" spans="1:17" x14ac:dyDescent="0.25">
      <c r="A484" s="2" t="s">
        <v>807</v>
      </c>
      <c r="B484" s="4">
        <v>45523</v>
      </c>
      <c r="C484" s="4" t="str">
        <f t="shared" si="28"/>
        <v>Aug</v>
      </c>
      <c r="D484" s="2" t="s">
        <v>808</v>
      </c>
      <c r="E484" s="2" t="s">
        <v>29</v>
      </c>
      <c r="F484" s="2" t="s">
        <v>30</v>
      </c>
      <c r="G484" s="2" t="s">
        <v>43</v>
      </c>
      <c r="H484" s="2" t="s">
        <v>89</v>
      </c>
      <c r="I484" s="2">
        <v>4625.8100000000004</v>
      </c>
      <c r="J484" s="2">
        <v>5</v>
      </c>
      <c r="K484" s="2">
        <v>0</v>
      </c>
      <c r="L484" s="9">
        <f t="shared" si="29"/>
        <v>23129.050000000003</v>
      </c>
      <c r="M484" s="9">
        <f t="shared" si="30"/>
        <v>0</v>
      </c>
      <c r="N484" s="10">
        <f t="shared" si="31"/>
        <v>23129.050000000003</v>
      </c>
      <c r="O484" s="2" t="s">
        <v>38</v>
      </c>
      <c r="P484" s="2" t="s">
        <v>18</v>
      </c>
      <c r="Q484" s="2" t="s">
        <v>19</v>
      </c>
    </row>
    <row r="485" spans="1:17" x14ac:dyDescent="0.25">
      <c r="A485" s="3" t="s">
        <v>809</v>
      </c>
      <c r="B485" s="4">
        <v>45524</v>
      </c>
      <c r="C485" s="4" t="str">
        <f t="shared" si="28"/>
        <v>Aug</v>
      </c>
      <c r="D485" s="3" t="s">
        <v>371</v>
      </c>
      <c r="E485" s="3" t="s">
        <v>47</v>
      </c>
      <c r="F485" s="3" t="s">
        <v>48</v>
      </c>
      <c r="G485" s="3" t="s">
        <v>31</v>
      </c>
      <c r="H485" s="3" t="s">
        <v>70</v>
      </c>
      <c r="I485" s="3">
        <v>571.17999999999995</v>
      </c>
      <c r="J485" s="3">
        <v>3</v>
      </c>
      <c r="K485" s="3">
        <v>0</v>
      </c>
      <c r="L485" s="9">
        <f t="shared" si="29"/>
        <v>1713.54</v>
      </c>
      <c r="M485" s="9">
        <f t="shared" si="30"/>
        <v>0</v>
      </c>
      <c r="N485" s="10">
        <f t="shared" si="31"/>
        <v>1713.54</v>
      </c>
      <c r="O485" s="3" t="s">
        <v>68</v>
      </c>
      <c r="P485" s="3" t="s">
        <v>52</v>
      </c>
      <c r="Q485" s="3" t="s">
        <v>53</v>
      </c>
    </row>
    <row r="486" spans="1:17" x14ac:dyDescent="0.25">
      <c r="A486" s="2" t="s">
        <v>810</v>
      </c>
      <c r="B486" s="4">
        <v>45525</v>
      </c>
      <c r="C486" s="4" t="str">
        <f t="shared" si="28"/>
        <v>Aug</v>
      </c>
      <c r="D486" s="2" t="s">
        <v>490</v>
      </c>
      <c r="E486" s="2" t="s">
        <v>83</v>
      </c>
      <c r="F486" s="2" t="s">
        <v>84</v>
      </c>
      <c r="G486" s="2" t="s">
        <v>36</v>
      </c>
      <c r="H486" s="2" t="s">
        <v>121</v>
      </c>
      <c r="I486" s="2">
        <v>103019.68</v>
      </c>
      <c r="J486" s="2">
        <v>4</v>
      </c>
      <c r="K486" s="2">
        <v>0</v>
      </c>
      <c r="L486" s="9">
        <f t="shared" si="29"/>
        <v>412078.72</v>
      </c>
      <c r="M486" s="9">
        <f t="shared" si="30"/>
        <v>0</v>
      </c>
      <c r="N486" s="10">
        <f t="shared" si="31"/>
        <v>412078.72</v>
      </c>
      <c r="O486" s="2" t="s">
        <v>68</v>
      </c>
      <c r="P486" s="2" t="s">
        <v>39</v>
      </c>
      <c r="Q486" s="2" t="s">
        <v>60</v>
      </c>
    </row>
    <row r="487" spans="1:17" x14ac:dyDescent="0.25">
      <c r="A487" s="3" t="s">
        <v>811</v>
      </c>
      <c r="B487" s="4">
        <v>45526</v>
      </c>
      <c r="C487" s="4" t="str">
        <f t="shared" si="28"/>
        <v>Aug</v>
      </c>
      <c r="D487" s="3" t="s">
        <v>598</v>
      </c>
      <c r="E487" s="3" t="s">
        <v>13</v>
      </c>
      <c r="F487" s="3" t="s">
        <v>14</v>
      </c>
      <c r="G487" s="3" t="s">
        <v>110</v>
      </c>
      <c r="H487" s="3" t="s">
        <v>215</v>
      </c>
      <c r="I487" s="3">
        <v>2344.29</v>
      </c>
      <c r="J487" s="3">
        <v>5</v>
      </c>
      <c r="K487" s="3">
        <v>15</v>
      </c>
      <c r="L487" s="9">
        <f t="shared" si="29"/>
        <v>11721.45</v>
      </c>
      <c r="M487" s="9">
        <f t="shared" si="30"/>
        <v>1758.2175</v>
      </c>
      <c r="N487" s="10">
        <f t="shared" si="31"/>
        <v>9963.2325000000001</v>
      </c>
      <c r="O487" s="3" t="s">
        <v>33</v>
      </c>
      <c r="P487" s="3" t="s">
        <v>18</v>
      </c>
      <c r="Q487" s="3" t="s">
        <v>53</v>
      </c>
    </row>
    <row r="488" spans="1:17" x14ac:dyDescent="0.25">
      <c r="A488" s="2" t="s">
        <v>812</v>
      </c>
      <c r="B488" s="4">
        <v>45527</v>
      </c>
      <c r="C488" s="4" t="str">
        <f t="shared" si="28"/>
        <v>Aug</v>
      </c>
      <c r="D488" s="2" t="s">
        <v>808</v>
      </c>
      <c r="E488" s="2" t="s">
        <v>65</v>
      </c>
      <c r="F488" s="2" t="s">
        <v>66</v>
      </c>
      <c r="G488" s="2" t="s">
        <v>72</v>
      </c>
      <c r="H488" s="2" t="s">
        <v>129</v>
      </c>
      <c r="I488" s="2">
        <v>1699.41</v>
      </c>
      <c r="J488" s="2">
        <v>1</v>
      </c>
      <c r="K488" s="2">
        <v>15</v>
      </c>
      <c r="L488" s="9">
        <f t="shared" si="29"/>
        <v>1699.41</v>
      </c>
      <c r="M488" s="9">
        <f t="shared" si="30"/>
        <v>254.91150000000002</v>
      </c>
      <c r="N488" s="10">
        <f t="shared" si="31"/>
        <v>1444.4985000000001</v>
      </c>
      <c r="O488" s="2" t="s">
        <v>26</v>
      </c>
      <c r="P488" s="2" t="s">
        <v>52</v>
      </c>
      <c r="Q488" s="2" t="s">
        <v>19</v>
      </c>
    </row>
    <row r="489" spans="1:17" x14ac:dyDescent="0.25">
      <c r="A489" s="3" t="s">
        <v>813</v>
      </c>
      <c r="B489" s="4">
        <v>45528</v>
      </c>
      <c r="C489" s="4" t="str">
        <f t="shared" si="28"/>
        <v>Aug</v>
      </c>
      <c r="D489" s="3" t="s">
        <v>814</v>
      </c>
      <c r="E489" s="3" t="s">
        <v>47</v>
      </c>
      <c r="F489" s="3" t="s">
        <v>48</v>
      </c>
      <c r="G489" s="3" t="s">
        <v>15</v>
      </c>
      <c r="H489" s="3" t="s">
        <v>56</v>
      </c>
      <c r="I489" s="3">
        <v>1911.17</v>
      </c>
      <c r="J489" s="3">
        <v>4</v>
      </c>
      <c r="K489" s="3">
        <v>0</v>
      </c>
      <c r="L489" s="9">
        <f t="shared" si="29"/>
        <v>7644.68</v>
      </c>
      <c r="M489" s="9">
        <f t="shared" si="30"/>
        <v>0</v>
      </c>
      <c r="N489" s="10">
        <f t="shared" si="31"/>
        <v>7644.68</v>
      </c>
      <c r="O489" s="3" t="s">
        <v>68</v>
      </c>
      <c r="P489" s="3" t="s">
        <v>18</v>
      </c>
      <c r="Q489" s="3" t="s">
        <v>53</v>
      </c>
    </row>
    <row r="490" spans="1:17" x14ac:dyDescent="0.25">
      <c r="A490" s="2" t="s">
        <v>815</v>
      </c>
      <c r="B490" s="4">
        <v>45529</v>
      </c>
      <c r="C490" s="4" t="str">
        <f t="shared" si="28"/>
        <v>Aug</v>
      </c>
      <c r="D490" s="2" t="s">
        <v>816</v>
      </c>
      <c r="E490" s="2" t="s">
        <v>76</v>
      </c>
      <c r="F490" s="2" t="s">
        <v>77</v>
      </c>
      <c r="G490" s="2" t="s">
        <v>110</v>
      </c>
      <c r="H490" s="2" t="s">
        <v>67</v>
      </c>
      <c r="I490" s="2">
        <v>4294.92</v>
      </c>
      <c r="J490" s="2">
        <v>5</v>
      </c>
      <c r="K490" s="2">
        <v>0</v>
      </c>
      <c r="L490" s="9">
        <f t="shared" si="29"/>
        <v>21474.6</v>
      </c>
      <c r="M490" s="9">
        <f t="shared" si="30"/>
        <v>0</v>
      </c>
      <c r="N490" s="10">
        <f t="shared" si="31"/>
        <v>21474.6</v>
      </c>
      <c r="O490" s="2" t="s">
        <v>26</v>
      </c>
      <c r="P490" s="2" t="s">
        <v>18</v>
      </c>
      <c r="Q490" s="2" t="s">
        <v>40</v>
      </c>
    </row>
    <row r="491" spans="1:17" x14ac:dyDescent="0.25">
      <c r="A491" s="3" t="s">
        <v>817</v>
      </c>
      <c r="B491" s="4">
        <v>45530</v>
      </c>
      <c r="C491" s="4" t="str">
        <f t="shared" si="28"/>
        <v>Aug</v>
      </c>
      <c r="D491" s="3" t="s">
        <v>431</v>
      </c>
      <c r="E491" s="3" t="s">
        <v>13</v>
      </c>
      <c r="F491" s="3" t="s">
        <v>14</v>
      </c>
      <c r="G491" s="3" t="s">
        <v>24</v>
      </c>
      <c r="H491" s="3" t="s">
        <v>92</v>
      </c>
      <c r="I491" s="3">
        <v>1434.63</v>
      </c>
      <c r="J491" s="3">
        <v>2</v>
      </c>
      <c r="K491" s="3">
        <v>0</v>
      </c>
      <c r="L491" s="9">
        <f t="shared" si="29"/>
        <v>2869.26</v>
      </c>
      <c r="M491" s="9">
        <f t="shared" si="30"/>
        <v>0</v>
      </c>
      <c r="N491" s="10">
        <f t="shared" si="31"/>
        <v>2869.26</v>
      </c>
      <c r="O491" s="3" t="s">
        <v>68</v>
      </c>
      <c r="P491" s="3" t="s">
        <v>18</v>
      </c>
      <c r="Q491" s="3" t="s">
        <v>40</v>
      </c>
    </row>
    <row r="492" spans="1:17" x14ac:dyDescent="0.25">
      <c r="A492" s="2" t="s">
        <v>818</v>
      </c>
      <c r="B492" s="4">
        <v>45531</v>
      </c>
      <c r="C492" s="4" t="str">
        <f t="shared" si="28"/>
        <v>Aug</v>
      </c>
      <c r="D492" s="2" t="s">
        <v>645</v>
      </c>
      <c r="E492" s="2" t="s">
        <v>51</v>
      </c>
      <c r="F492" s="2" t="s">
        <v>14</v>
      </c>
      <c r="G492" s="2" t="s">
        <v>31</v>
      </c>
      <c r="H492" s="2" t="s">
        <v>70</v>
      </c>
      <c r="I492" s="2">
        <v>577.39</v>
      </c>
      <c r="J492" s="2">
        <v>4</v>
      </c>
      <c r="K492" s="2">
        <v>0</v>
      </c>
      <c r="L492" s="9">
        <f t="shared" si="29"/>
        <v>2309.56</v>
      </c>
      <c r="M492" s="9">
        <f t="shared" si="30"/>
        <v>0</v>
      </c>
      <c r="N492" s="10">
        <f t="shared" si="31"/>
        <v>2309.56</v>
      </c>
      <c r="O492" s="2" t="s">
        <v>33</v>
      </c>
      <c r="P492" s="2" t="s">
        <v>27</v>
      </c>
      <c r="Q492" s="2" t="s">
        <v>40</v>
      </c>
    </row>
    <row r="493" spans="1:17" x14ac:dyDescent="0.25">
      <c r="A493" s="3" t="s">
        <v>819</v>
      </c>
      <c r="B493" s="4">
        <v>45532</v>
      </c>
      <c r="C493" s="4" t="str">
        <f t="shared" si="28"/>
        <v>Aug</v>
      </c>
      <c r="D493" s="3" t="s">
        <v>252</v>
      </c>
      <c r="E493" s="3" t="s">
        <v>13</v>
      </c>
      <c r="F493" s="3" t="s">
        <v>14</v>
      </c>
      <c r="G493" s="3" t="s">
        <v>31</v>
      </c>
      <c r="H493" s="3" t="s">
        <v>70</v>
      </c>
      <c r="I493" s="3">
        <v>548.57000000000005</v>
      </c>
      <c r="J493" s="3">
        <v>4</v>
      </c>
      <c r="K493" s="3">
        <v>5</v>
      </c>
      <c r="L493" s="9">
        <f t="shared" si="29"/>
        <v>2194.2800000000002</v>
      </c>
      <c r="M493" s="9">
        <f t="shared" si="30"/>
        <v>109.71400000000001</v>
      </c>
      <c r="N493" s="10">
        <f t="shared" si="31"/>
        <v>2084.5660000000003</v>
      </c>
      <c r="O493" s="3" t="s">
        <v>26</v>
      </c>
      <c r="P493" s="3" t="s">
        <v>39</v>
      </c>
      <c r="Q493" s="3" t="s">
        <v>34</v>
      </c>
    </row>
    <row r="494" spans="1:17" x14ac:dyDescent="0.25">
      <c r="A494" s="2" t="s">
        <v>820</v>
      </c>
      <c r="B494" s="4">
        <v>45533</v>
      </c>
      <c r="C494" s="4" t="str">
        <f t="shared" si="28"/>
        <v>Aug</v>
      </c>
      <c r="D494" s="2" t="s">
        <v>821</v>
      </c>
      <c r="E494" s="2" t="s">
        <v>51</v>
      </c>
      <c r="F494" s="2" t="s">
        <v>14</v>
      </c>
      <c r="G494" s="2" t="s">
        <v>43</v>
      </c>
      <c r="H494" s="2" t="s">
        <v>145</v>
      </c>
      <c r="I494" s="2">
        <v>11393.19</v>
      </c>
      <c r="J494" s="2">
        <v>1</v>
      </c>
      <c r="K494" s="2">
        <v>10</v>
      </c>
      <c r="L494" s="9">
        <f t="shared" si="29"/>
        <v>11393.19</v>
      </c>
      <c r="M494" s="9">
        <f t="shared" si="30"/>
        <v>1139.3190000000002</v>
      </c>
      <c r="N494" s="10">
        <f t="shared" si="31"/>
        <v>10253.871000000001</v>
      </c>
      <c r="O494" s="2" t="s">
        <v>33</v>
      </c>
      <c r="P494" s="2" t="s">
        <v>27</v>
      </c>
      <c r="Q494" s="2" t="s">
        <v>40</v>
      </c>
    </row>
    <row r="495" spans="1:17" x14ac:dyDescent="0.25">
      <c r="A495" s="3" t="s">
        <v>822</v>
      </c>
      <c r="B495" s="4">
        <v>45534</v>
      </c>
      <c r="C495" s="4" t="str">
        <f t="shared" si="28"/>
        <v>Aug</v>
      </c>
      <c r="D495" s="3" t="s">
        <v>46</v>
      </c>
      <c r="E495" s="3" t="s">
        <v>76</v>
      </c>
      <c r="F495" s="3" t="s">
        <v>77</v>
      </c>
      <c r="G495" s="3" t="s">
        <v>43</v>
      </c>
      <c r="H495" s="3" t="s">
        <v>105</v>
      </c>
      <c r="I495" s="3">
        <v>3044.28</v>
      </c>
      <c r="J495" s="3">
        <v>2</v>
      </c>
      <c r="K495" s="3">
        <v>10</v>
      </c>
      <c r="L495" s="9">
        <f t="shared" si="29"/>
        <v>6088.56</v>
      </c>
      <c r="M495" s="9">
        <f t="shared" si="30"/>
        <v>608.85600000000011</v>
      </c>
      <c r="N495" s="10">
        <f t="shared" si="31"/>
        <v>5479.7040000000006</v>
      </c>
      <c r="O495" s="3" t="s">
        <v>68</v>
      </c>
      <c r="P495" s="3" t="s">
        <v>27</v>
      </c>
      <c r="Q495" s="3" t="s">
        <v>19</v>
      </c>
    </row>
    <row r="496" spans="1:17" x14ac:dyDescent="0.25">
      <c r="A496" s="2" t="s">
        <v>823</v>
      </c>
      <c r="B496" s="4">
        <v>45535</v>
      </c>
      <c r="C496" s="4" t="str">
        <f t="shared" si="28"/>
        <v>Aug</v>
      </c>
      <c r="D496" s="2" t="s">
        <v>295</v>
      </c>
      <c r="E496" s="2" t="s">
        <v>76</v>
      </c>
      <c r="F496" s="2" t="s">
        <v>77</v>
      </c>
      <c r="G496" s="2" t="s">
        <v>15</v>
      </c>
      <c r="H496" s="2" t="s">
        <v>16</v>
      </c>
      <c r="I496" s="2">
        <v>1409.62</v>
      </c>
      <c r="J496" s="2">
        <v>1</v>
      </c>
      <c r="K496" s="2">
        <v>15</v>
      </c>
      <c r="L496" s="9">
        <f t="shared" si="29"/>
        <v>1409.62</v>
      </c>
      <c r="M496" s="9">
        <f t="shared" si="30"/>
        <v>211.44299999999998</v>
      </c>
      <c r="N496" s="10">
        <f t="shared" si="31"/>
        <v>1198.1769999999999</v>
      </c>
      <c r="O496" s="2" t="s">
        <v>26</v>
      </c>
      <c r="P496" s="2" t="s">
        <v>18</v>
      </c>
      <c r="Q496" s="2" t="s">
        <v>53</v>
      </c>
    </row>
    <row r="497" spans="1:17" x14ac:dyDescent="0.25">
      <c r="A497" s="3" t="s">
        <v>824</v>
      </c>
      <c r="B497" s="4">
        <v>45536</v>
      </c>
      <c r="C497" s="4" t="str">
        <f t="shared" si="28"/>
        <v>Sep</v>
      </c>
      <c r="D497" s="3" t="s">
        <v>279</v>
      </c>
      <c r="E497" s="3" t="s">
        <v>13</v>
      </c>
      <c r="F497" s="3" t="s">
        <v>14</v>
      </c>
      <c r="G497" s="3" t="s">
        <v>24</v>
      </c>
      <c r="H497" s="3" t="s">
        <v>108</v>
      </c>
      <c r="I497" s="3">
        <v>8135.51</v>
      </c>
      <c r="J497" s="3">
        <v>4</v>
      </c>
      <c r="K497" s="3">
        <v>15</v>
      </c>
      <c r="L497" s="9">
        <f t="shared" si="29"/>
        <v>32542.04</v>
      </c>
      <c r="M497" s="9">
        <f t="shared" si="30"/>
        <v>4881.3060000000005</v>
      </c>
      <c r="N497" s="10">
        <f t="shared" si="31"/>
        <v>27660.734</v>
      </c>
      <c r="O497" s="3" t="s">
        <v>68</v>
      </c>
      <c r="P497" s="3" t="s">
        <v>18</v>
      </c>
      <c r="Q497" s="3" t="s">
        <v>19</v>
      </c>
    </row>
    <row r="498" spans="1:17" x14ac:dyDescent="0.25">
      <c r="A498" s="2" t="s">
        <v>825</v>
      </c>
      <c r="B498" s="4">
        <v>45537</v>
      </c>
      <c r="C498" s="4" t="str">
        <f t="shared" si="28"/>
        <v>Sep</v>
      </c>
      <c r="D498" s="2" t="s">
        <v>353</v>
      </c>
      <c r="E498" s="2" t="s">
        <v>29</v>
      </c>
      <c r="F498" s="2" t="s">
        <v>30</v>
      </c>
      <c r="G498" s="2" t="s">
        <v>24</v>
      </c>
      <c r="H498" s="2" t="s">
        <v>108</v>
      </c>
      <c r="I498" s="2">
        <v>8433.2800000000007</v>
      </c>
      <c r="J498" s="2">
        <v>2</v>
      </c>
      <c r="K498" s="2">
        <v>0</v>
      </c>
      <c r="L498" s="9">
        <f t="shared" si="29"/>
        <v>16866.560000000001</v>
      </c>
      <c r="M498" s="9">
        <f t="shared" si="30"/>
        <v>0</v>
      </c>
      <c r="N498" s="10">
        <f t="shared" si="31"/>
        <v>16866.560000000001</v>
      </c>
      <c r="O498" s="2" t="s">
        <v>33</v>
      </c>
      <c r="P498" s="2" t="s">
        <v>18</v>
      </c>
      <c r="Q498" s="2" t="s">
        <v>19</v>
      </c>
    </row>
    <row r="499" spans="1:17" x14ac:dyDescent="0.25">
      <c r="A499" s="3" t="s">
        <v>826</v>
      </c>
      <c r="B499" s="4">
        <v>45538</v>
      </c>
      <c r="C499" s="4" t="str">
        <f t="shared" si="28"/>
        <v>Sep</v>
      </c>
      <c r="D499" s="3" t="s">
        <v>290</v>
      </c>
      <c r="E499" s="3" t="s">
        <v>13</v>
      </c>
      <c r="F499" s="3" t="s">
        <v>14</v>
      </c>
      <c r="G499" s="3" t="s">
        <v>31</v>
      </c>
      <c r="H499" s="3" t="s">
        <v>186</v>
      </c>
      <c r="I499" s="3">
        <v>832.21</v>
      </c>
      <c r="J499" s="3">
        <v>1</v>
      </c>
      <c r="K499" s="3">
        <v>10</v>
      </c>
      <c r="L499" s="9">
        <f t="shared" si="29"/>
        <v>832.21</v>
      </c>
      <c r="M499" s="9">
        <f t="shared" si="30"/>
        <v>83.221000000000004</v>
      </c>
      <c r="N499" s="10">
        <f t="shared" si="31"/>
        <v>748.98900000000003</v>
      </c>
      <c r="O499" s="3" t="s">
        <v>33</v>
      </c>
      <c r="P499" s="3" t="s">
        <v>18</v>
      </c>
      <c r="Q499" s="3" t="s">
        <v>34</v>
      </c>
    </row>
    <row r="500" spans="1:17" x14ac:dyDescent="0.25">
      <c r="A500" s="2" t="s">
        <v>827</v>
      </c>
      <c r="B500" s="4">
        <v>45539</v>
      </c>
      <c r="C500" s="4" t="str">
        <f t="shared" si="28"/>
        <v>Sep</v>
      </c>
      <c r="D500" s="2" t="s">
        <v>336</v>
      </c>
      <c r="E500" s="2" t="s">
        <v>76</v>
      </c>
      <c r="F500" s="2" t="s">
        <v>77</v>
      </c>
      <c r="G500" s="2" t="s">
        <v>15</v>
      </c>
      <c r="H500" s="2" t="s">
        <v>163</v>
      </c>
      <c r="I500" s="2">
        <v>2260.6799999999998</v>
      </c>
      <c r="J500" s="2">
        <v>4</v>
      </c>
      <c r="K500" s="2">
        <v>5</v>
      </c>
      <c r="L500" s="9">
        <f t="shared" si="29"/>
        <v>9042.7199999999993</v>
      </c>
      <c r="M500" s="9">
        <f t="shared" si="30"/>
        <v>452.13599999999997</v>
      </c>
      <c r="N500" s="10">
        <f t="shared" si="31"/>
        <v>8590.5839999999989</v>
      </c>
      <c r="O500" s="2" t="s">
        <v>26</v>
      </c>
      <c r="P500" s="2" t="s">
        <v>18</v>
      </c>
      <c r="Q500" s="2" t="s">
        <v>40</v>
      </c>
    </row>
    <row r="501" spans="1:17" x14ac:dyDescent="0.25">
      <c r="A501" s="3" t="s">
        <v>828</v>
      </c>
      <c r="B501" s="4">
        <v>45540</v>
      </c>
      <c r="C501" s="4" t="str">
        <f t="shared" si="28"/>
        <v>Sep</v>
      </c>
      <c r="D501" s="3" t="s">
        <v>107</v>
      </c>
      <c r="E501" s="3" t="s">
        <v>83</v>
      </c>
      <c r="F501" s="3" t="s">
        <v>84</v>
      </c>
      <c r="G501" s="3" t="s">
        <v>31</v>
      </c>
      <c r="H501" s="3" t="s">
        <v>242</v>
      </c>
      <c r="I501" s="3">
        <v>935.47</v>
      </c>
      <c r="J501" s="3">
        <v>2</v>
      </c>
      <c r="K501" s="3">
        <v>0</v>
      </c>
      <c r="L501" s="9">
        <f t="shared" si="29"/>
        <v>1870.94</v>
      </c>
      <c r="M501" s="9">
        <f t="shared" si="30"/>
        <v>0</v>
      </c>
      <c r="N501" s="10">
        <f t="shared" si="31"/>
        <v>1870.94</v>
      </c>
      <c r="O501" s="3" t="s">
        <v>26</v>
      </c>
      <c r="P501" s="3" t="s">
        <v>52</v>
      </c>
      <c r="Q501" s="3" t="s">
        <v>34</v>
      </c>
    </row>
    <row r="502" spans="1:17" x14ac:dyDescent="0.25">
      <c r="A502" s="2" t="s">
        <v>829</v>
      </c>
      <c r="B502" s="4">
        <v>45541</v>
      </c>
      <c r="C502" s="4" t="str">
        <f t="shared" si="28"/>
        <v>Sep</v>
      </c>
      <c r="D502" s="2" t="s">
        <v>746</v>
      </c>
      <c r="E502" s="2" t="s">
        <v>47</v>
      </c>
      <c r="F502" s="2" t="s">
        <v>48</v>
      </c>
      <c r="G502" s="2" t="s">
        <v>72</v>
      </c>
      <c r="H502" s="2" t="s">
        <v>73</v>
      </c>
      <c r="I502" s="2">
        <v>379.01</v>
      </c>
      <c r="J502" s="2">
        <v>5</v>
      </c>
      <c r="K502" s="2">
        <v>5</v>
      </c>
      <c r="L502" s="9">
        <f t="shared" si="29"/>
        <v>1895.05</v>
      </c>
      <c r="M502" s="9">
        <f t="shared" si="30"/>
        <v>94.752499999999998</v>
      </c>
      <c r="N502" s="10">
        <f t="shared" si="31"/>
        <v>1800.2974999999999</v>
      </c>
      <c r="O502" s="2" t="s">
        <v>68</v>
      </c>
      <c r="P502" s="2" t="s">
        <v>52</v>
      </c>
      <c r="Q502" s="2" t="s">
        <v>53</v>
      </c>
    </row>
    <row r="503" spans="1:17" x14ac:dyDescent="0.25">
      <c r="A503" s="3" t="s">
        <v>830</v>
      </c>
      <c r="B503" s="4">
        <v>45542</v>
      </c>
      <c r="C503" s="4" t="str">
        <f t="shared" si="28"/>
        <v>Sep</v>
      </c>
      <c r="D503" s="3" t="s">
        <v>579</v>
      </c>
      <c r="E503" s="3" t="s">
        <v>83</v>
      </c>
      <c r="F503" s="3" t="s">
        <v>84</v>
      </c>
      <c r="G503" s="3" t="s">
        <v>31</v>
      </c>
      <c r="H503" s="3" t="s">
        <v>70</v>
      </c>
      <c r="I503" s="3">
        <v>540.09</v>
      </c>
      <c r="J503" s="3">
        <v>5</v>
      </c>
      <c r="K503" s="3">
        <v>0</v>
      </c>
      <c r="L503" s="9">
        <f t="shared" si="29"/>
        <v>2700.4500000000003</v>
      </c>
      <c r="M503" s="9">
        <f t="shared" si="30"/>
        <v>0</v>
      </c>
      <c r="N503" s="10">
        <f t="shared" si="31"/>
        <v>2700.4500000000003</v>
      </c>
      <c r="O503" s="3" t="s">
        <v>26</v>
      </c>
      <c r="P503" s="3" t="s">
        <v>18</v>
      </c>
      <c r="Q503" s="3" t="s">
        <v>19</v>
      </c>
    </row>
    <row r="504" spans="1:17" x14ac:dyDescent="0.25">
      <c r="A504" s="2" t="s">
        <v>831</v>
      </c>
      <c r="B504" s="4">
        <v>45543</v>
      </c>
      <c r="C504" s="4" t="str">
        <f t="shared" si="28"/>
        <v>Sep</v>
      </c>
      <c r="D504" s="2" t="s">
        <v>598</v>
      </c>
      <c r="E504" s="2" t="s">
        <v>87</v>
      </c>
      <c r="F504" s="2" t="s">
        <v>88</v>
      </c>
      <c r="G504" s="2" t="s">
        <v>15</v>
      </c>
      <c r="H504" s="2" t="s">
        <v>198</v>
      </c>
      <c r="I504" s="2">
        <v>825.33</v>
      </c>
      <c r="J504" s="2">
        <v>5</v>
      </c>
      <c r="K504" s="2">
        <v>10</v>
      </c>
      <c r="L504" s="9">
        <f t="shared" si="29"/>
        <v>4126.6500000000005</v>
      </c>
      <c r="M504" s="9">
        <f t="shared" si="30"/>
        <v>412.66500000000008</v>
      </c>
      <c r="N504" s="10">
        <f t="shared" si="31"/>
        <v>3713.9850000000006</v>
      </c>
      <c r="O504" s="2" t="s">
        <v>26</v>
      </c>
      <c r="P504" s="2" t="s">
        <v>52</v>
      </c>
      <c r="Q504" s="2" t="s">
        <v>60</v>
      </c>
    </row>
    <row r="505" spans="1:17" x14ac:dyDescent="0.25">
      <c r="A505" s="3" t="s">
        <v>832</v>
      </c>
      <c r="B505" s="4">
        <v>45544</v>
      </c>
      <c r="C505" s="4" t="str">
        <f t="shared" si="28"/>
        <v>Sep</v>
      </c>
      <c r="D505" s="3" t="s">
        <v>833</v>
      </c>
      <c r="E505" s="3" t="s">
        <v>47</v>
      </c>
      <c r="F505" s="3" t="s">
        <v>48</v>
      </c>
      <c r="G505" s="3" t="s">
        <v>31</v>
      </c>
      <c r="H505" s="3" t="s">
        <v>70</v>
      </c>
      <c r="I505" s="3">
        <v>616.91</v>
      </c>
      <c r="J505" s="3">
        <v>1</v>
      </c>
      <c r="K505" s="3">
        <v>0</v>
      </c>
      <c r="L505" s="9">
        <f t="shared" si="29"/>
        <v>616.91</v>
      </c>
      <c r="M505" s="9">
        <f t="shared" si="30"/>
        <v>0</v>
      </c>
      <c r="N505" s="10">
        <f t="shared" si="31"/>
        <v>616.91</v>
      </c>
      <c r="O505" s="3" t="s">
        <v>17</v>
      </c>
      <c r="P505" s="3" t="s">
        <v>27</v>
      </c>
      <c r="Q505" s="3" t="s">
        <v>40</v>
      </c>
    </row>
    <row r="506" spans="1:17" x14ac:dyDescent="0.25">
      <c r="A506" s="2" t="s">
        <v>834</v>
      </c>
      <c r="B506" s="4">
        <v>45545</v>
      </c>
      <c r="C506" s="4" t="str">
        <f t="shared" si="28"/>
        <v>Sep</v>
      </c>
      <c r="D506" s="2" t="s">
        <v>703</v>
      </c>
      <c r="E506" s="2" t="s">
        <v>13</v>
      </c>
      <c r="F506" s="2" t="s">
        <v>14</v>
      </c>
      <c r="G506" s="2" t="s">
        <v>24</v>
      </c>
      <c r="H506" s="2" t="s">
        <v>92</v>
      </c>
      <c r="I506" s="2">
        <v>1495.61</v>
      </c>
      <c r="J506" s="2">
        <v>1</v>
      </c>
      <c r="K506" s="2">
        <v>15</v>
      </c>
      <c r="L506" s="9">
        <f t="shared" si="29"/>
        <v>1495.61</v>
      </c>
      <c r="M506" s="9">
        <f t="shared" si="30"/>
        <v>224.34149999999997</v>
      </c>
      <c r="N506" s="10">
        <f t="shared" si="31"/>
        <v>1271.2684999999999</v>
      </c>
      <c r="O506" s="2" t="s">
        <v>17</v>
      </c>
      <c r="P506" s="2" t="s">
        <v>27</v>
      </c>
      <c r="Q506" s="2" t="s">
        <v>60</v>
      </c>
    </row>
    <row r="507" spans="1:17" x14ac:dyDescent="0.25">
      <c r="A507" s="3" t="s">
        <v>835</v>
      </c>
      <c r="B507" s="4">
        <v>45546</v>
      </c>
      <c r="C507" s="4" t="str">
        <f t="shared" si="28"/>
        <v>Sep</v>
      </c>
      <c r="D507" s="3" t="s">
        <v>700</v>
      </c>
      <c r="E507" s="3" t="s">
        <v>29</v>
      </c>
      <c r="F507" s="3" t="s">
        <v>30</v>
      </c>
      <c r="G507" s="3" t="s">
        <v>15</v>
      </c>
      <c r="H507" s="3" t="s">
        <v>56</v>
      </c>
      <c r="I507" s="3">
        <v>1712.14</v>
      </c>
      <c r="J507" s="3">
        <v>3</v>
      </c>
      <c r="K507" s="3">
        <v>0</v>
      </c>
      <c r="L507" s="9">
        <f t="shared" si="29"/>
        <v>5136.42</v>
      </c>
      <c r="M507" s="9">
        <f t="shared" si="30"/>
        <v>0</v>
      </c>
      <c r="N507" s="10">
        <f t="shared" si="31"/>
        <v>5136.42</v>
      </c>
      <c r="O507" s="3" t="s">
        <v>17</v>
      </c>
      <c r="P507" s="3" t="s">
        <v>27</v>
      </c>
      <c r="Q507" s="3" t="s">
        <v>40</v>
      </c>
    </row>
    <row r="508" spans="1:17" x14ac:dyDescent="0.25">
      <c r="A508" s="2" t="s">
        <v>836</v>
      </c>
      <c r="B508" s="4">
        <v>45547</v>
      </c>
      <c r="C508" s="4" t="str">
        <f t="shared" si="28"/>
        <v>Sep</v>
      </c>
      <c r="D508" s="2" t="s">
        <v>717</v>
      </c>
      <c r="E508" s="2" t="s">
        <v>76</v>
      </c>
      <c r="F508" s="2" t="s">
        <v>77</v>
      </c>
      <c r="G508" s="2" t="s">
        <v>72</v>
      </c>
      <c r="H508" s="2" t="s">
        <v>81</v>
      </c>
      <c r="I508" s="2">
        <v>1490.42</v>
      </c>
      <c r="J508" s="2">
        <v>1</v>
      </c>
      <c r="K508" s="2">
        <v>0</v>
      </c>
      <c r="L508" s="9">
        <f t="shared" si="29"/>
        <v>1490.42</v>
      </c>
      <c r="M508" s="9">
        <f t="shared" si="30"/>
        <v>0</v>
      </c>
      <c r="N508" s="10">
        <f t="shared" si="31"/>
        <v>1490.42</v>
      </c>
      <c r="O508" s="2" t="s">
        <v>17</v>
      </c>
      <c r="P508" s="2" t="s">
        <v>27</v>
      </c>
      <c r="Q508" s="2" t="s">
        <v>60</v>
      </c>
    </row>
    <row r="509" spans="1:17" x14ac:dyDescent="0.25">
      <c r="A509" s="3" t="s">
        <v>837</v>
      </c>
      <c r="B509" s="4">
        <v>45548</v>
      </c>
      <c r="C509" s="4" t="str">
        <f t="shared" si="28"/>
        <v>Sep</v>
      </c>
      <c r="D509" s="3" t="s">
        <v>838</v>
      </c>
      <c r="E509" s="3" t="s">
        <v>29</v>
      </c>
      <c r="F509" s="3" t="s">
        <v>30</v>
      </c>
      <c r="G509" s="3" t="s">
        <v>31</v>
      </c>
      <c r="H509" s="3" t="s">
        <v>242</v>
      </c>
      <c r="I509" s="3">
        <v>817.32</v>
      </c>
      <c r="J509" s="3">
        <v>1</v>
      </c>
      <c r="K509" s="3">
        <v>0</v>
      </c>
      <c r="L509" s="9">
        <f t="shared" si="29"/>
        <v>817.32</v>
      </c>
      <c r="M509" s="9">
        <f t="shared" si="30"/>
        <v>0</v>
      </c>
      <c r="N509" s="10">
        <f t="shared" si="31"/>
        <v>817.32</v>
      </c>
      <c r="O509" s="3" t="s">
        <v>68</v>
      </c>
      <c r="P509" s="3" t="s">
        <v>18</v>
      </c>
      <c r="Q509" s="3" t="s">
        <v>19</v>
      </c>
    </row>
    <row r="510" spans="1:17" x14ac:dyDescent="0.25">
      <c r="A510" s="2" t="s">
        <v>839</v>
      </c>
      <c r="B510" s="4">
        <v>45549</v>
      </c>
      <c r="C510" s="4" t="str">
        <f t="shared" si="28"/>
        <v>Sep</v>
      </c>
      <c r="D510" s="2" t="s">
        <v>455</v>
      </c>
      <c r="E510" s="2" t="s">
        <v>51</v>
      </c>
      <c r="F510" s="2" t="s">
        <v>14</v>
      </c>
      <c r="G510" s="2" t="s">
        <v>110</v>
      </c>
      <c r="H510" s="2" t="s">
        <v>67</v>
      </c>
      <c r="I510" s="2">
        <v>4220.51</v>
      </c>
      <c r="J510" s="2">
        <v>5</v>
      </c>
      <c r="K510" s="2">
        <v>10</v>
      </c>
      <c r="L510" s="9">
        <f t="shared" si="29"/>
        <v>21102.550000000003</v>
      </c>
      <c r="M510" s="9">
        <f t="shared" si="30"/>
        <v>2110.2550000000001</v>
      </c>
      <c r="N510" s="10">
        <f t="shared" si="31"/>
        <v>18992.295000000002</v>
      </c>
      <c r="O510" s="2" t="s">
        <v>26</v>
      </c>
      <c r="P510" s="2" t="s">
        <v>52</v>
      </c>
      <c r="Q510" s="2" t="s">
        <v>53</v>
      </c>
    </row>
    <row r="511" spans="1:17" x14ac:dyDescent="0.25">
      <c r="A511" s="3" t="s">
        <v>840</v>
      </c>
      <c r="B511" s="4">
        <v>45550</v>
      </c>
      <c r="C511" s="4" t="str">
        <f t="shared" si="28"/>
        <v>Sep</v>
      </c>
      <c r="D511" s="3" t="s">
        <v>572</v>
      </c>
      <c r="E511" s="3" t="s">
        <v>65</v>
      </c>
      <c r="F511" s="3" t="s">
        <v>66</v>
      </c>
      <c r="G511" s="3" t="s">
        <v>15</v>
      </c>
      <c r="H511" s="3" t="s">
        <v>198</v>
      </c>
      <c r="I511" s="3">
        <v>842.61</v>
      </c>
      <c r="J511" s="3">
        <v>5</v>
      </c>
      <c r="K511" s="3">
        <v>0</v>
      </c>
      <c r="L511" s="9">
        <f t="shared" si="29"/>
        <v>4213.05</v>
      </c>
      <c r="M511" s="9">
        <f t="shared" si="30"/>
        <v>0</v>
      </c>
      <c r="N511" s="10">
        <f t="shared" si="31"/>
        <v>4213.05</v>
      </c>
      <c r="O511" s="3" t="s">
        <v>33</v>
      </c>
      <c r="P511" s="3" t="s">
        <v>27</v>
      </c>
      <c r="Q511" s="3" t="s">
        <v>60</v>
      </c>
    </row>
    <row r="512" spans="1:17" x14ac:dyDescent="0.25">
      <c r="A512" s="2" t="s">
        <v>841</v>
      </c>
      <c r="B512" s="4">
        <v>45551</v>
      </c>
      <c r="C512" s="4" t="str">
        <f t="shared" si="28"/>
        <v>Sep</v>
      </c>
      <c r="D512" s="2" t="s">
        <v>435</v>
      </c>
      <c r="E512" s="2" t="s">
        <v>83</v>
      </c>
      <c r="F512" s="2" t="s">
        <v>84</v>
      </c>
      <c r="G512" s="2" t="s">
        <v>43</v>
      </c>
      <c r="H512" s="2" t="s">
        <v>89</v>
      </c>
      <c r="I512" s="2">
        <v>4353.76</v>
      </c>
      <c r="J512" s="2">
        <v>2</v>
      </c>
      <c r="K512" s="2">
        <v>0</v>
      </c>
      <c r="L512" s="9">
        <f t="shared" si="29"/>
        <v>8707.52</v>
      </c>
      <c r="M512" s="9">
        <f t="shared" si="30"/>
        <v>0</v>
      </c>
      <c r="N512" s="10">
        <f t="shared" si="31"/>
        <v>8707.52</v>
      </c>
      <c r="O512" s="2" t="s">
        <v>17</v>
      </c>
      <c r="P512" s="2" t="s">
        <v>18</v>
      </c>
      <c r="Q512" s="2" t="s">
        <v>34</v>
      </c>
    </row>
    <row r="513" spans="1:17" x14ac:dyDescent="0.25">
      <c r="A513" s="3" t="s">
        <v>842</v>
      </c>
      <c r="B513" s="4">
        <v>45552</v>
      </c>
      <c r="C513" s="4" t="str">
        <f t="shared" si="28"/>
        <v>Sep</v>
      </c>
      <c r="D513" s="3" t="s">
        <v>641</v>
      </c>
      <c r="E513" s="3" t="s">
        <v>87</v>
      </c>
      <c r="F513" s="3" t="s">
        <v>88</v>
      </c>
      <c r="G513" s="3" t="s">
        <v>43</v>
      </c>
      <c r="H513" s="3" t="s">
        <v>145</v>
      </c>
      <c r="I513" s="3">
        <v>12782.77</v>
      </c>
      <c r="J513" s="3">
        <v>3</v>
      </c>
      <c r="K513" s="3">
        <v>0</v>
      </c>
      <c r="L513" s="9">
        <f t="shared" si="29"/>
        <v>38348.31</v>
      </c>
      <c r="M513" s="9">
        <f t="shared" si="30"/>
        <v>0</v>
      </c>
      <c r="N513" s="10">
        <f t="shared" si="31"/>
        <v>38348.31</v>
      </c>
      <c r="O513" s="3" t="s">
        <v>26</v>
      </c>
      <c r="P513" s="3" t="s">
        <v>52</v>
      </c>
      <c r="Q513" s="3" t="s">
        <v>19</v>
      </c>
    </row>
    <row r="514" spans="1:17" x14ac:dyDescent="0.25">
      <c r="A514" s="2" t="s">
        <v>843</v>
      </c>
      <c r="B514" s="4">
        <v>45553</v>
      </c>
      <c r="C514" s="4" t="str">
        <f t="shared" ref="C514:C577" si="32">TEXT(B514,"mmm")</f>
        <v>Sep</v>
      </c>
      <c r="D514" s="2" t="s">
        <v>334</v>
      </c>
      <c r="E514" s="2" t="s">
        <v>47</v>
      </c>
      <c r="F514" s="2" t="s">
        <v>48</v>
      </c>
      <c r="G514" s="2" t="s">
        <v>31</v>
      </c>
      <c r="H514" s="2" t="s">
        <v>70</v>
      </c>
      <c r="I514" s="2">
        <v>593.70000000000005</v>
      </c>
      <c r="J514" s="2">
        <v>4</v>
      </c>
      <c r="K514" s="2">
        <v>0</v>
      </c>
      <c r="L514" s="9">
        <f t="shared" ref="L514:L577" si="33">J514*I514</f>
        <v>2374.8000000000002</v>
      </c>
      <c r="M514" s="9">
        <f t="shared" ref="M514:M577" si="34">L514*K514/100</f>
        <v>0</v>
      </c>
      <c r="N514" s="10">
        <f t="shared" ref="N514:N577" si="35">L514-M514</f>
        <v>2374.8000000000002</v>
      </c>
      <c r="O514" s="2" t="s">
        <v>68</v>
      </c>
      <c r="P514" s="2" t="s">
        <v>18</v>
      </c>
      <c r="Q514" s="2" t="s">
        <v>19</v>
      </c>
    </row>
    <row r="515" spans="1:17" x14ac:dyDescent="0.25">
      <c r="A515" s="3" t="s">
        <v>844</v>
      </c>
      <c r="B515" s="4">
        <v>45554</v>
      </c>
      <c r="C515" s="4" t="str">
        <f t="shared" si="32"/>
        <v>Sep</v>
      </c>
      <c r="D515" s="3" t="s">
        <v>637</v>
      </c>
      <c r="E515" s="3" t="s">
        <v>47</v>
      </c>
      <c r="F515" s="3" t="s">
        <v>48</v>
      </c>
      <c r="G515" s="3" t="s">
        <v>36</v>
      </c>
      <c r="H515" s="3" t="s">
        <v>338</v>
      </c>
      <c r="I515" s="3">
        <v>71297.13</v>
      </c>
      <c r="J515" s="3">
        <v>2</v>
      </c>
      <c r="K515" s="3">
        <v>10</v>
      </c>
      <c r="L515" s="9">
        <f t="shared" si="33"/>
        <v>142594.26</v>
      </c>
      <c r="M515" s="9">
        <f t="shared" si="34"/>
        <v>14259.426000000001</v>
      </c>
      <c r="N515" s="10">
        <f t="shared" si="35"/>
        <v>128334.834</v>
      </c>
      <c r="O515" s="3" t="s">
        <v>68</v>
      </c>
      <c r="P515" s="3" t="s">
        <v>39</v>
      </c>
      <c r="Q515" s="3" t="s">
        <v>34</v>
      </c>
    </row>
    <row r="516" spans="1:17" x14ac:dyDescent="0.25">
      <c r="A516" s="2" t="s">
        <v>845</v>
      </c>
      <c r="B516" s="4">
        <v>45555</v>
      </c>
      <c r="C516" s="4" t="str">
        <f t="shared" si="32"/>
        <v>Sep</v>
      </c>
      <c r="D516" s="2" t="s">
        <v>250</v>
      </c>
      <c r="E516" s="2" t="s">
        <v>29</v>
      </c>
      <c r="F516" s="2" t="s">
        <v>30</v>
      </c>
      <c r="G516" s="2" t="s">
        <v>110</v>
      </c>
      <c r="H516" s="2" t="s">
        <v>153</v>
      </c>
      <c r="I516" s="2">
        <v>3216</v>
      </c>
      <c r="J516" s="2">
        <v>4</v>
      </c>
      <c r="K516" s="2">
        <v>0</v>
      </c>
      <c r="L516" s="9">
        <f t="shared" si="33"/>
        <v>12864</v>
      </c>
      <c r="M516" s="9">
        <f t="shared" si="34"/>
        <v>0</v>
      </c>
      <c r="N516" s="10">
        <f t="shared" si="35"/>
        <v>12864</v>
      </c>
      <c r="O516" s="2" t="s">
        <v>26</v>
      </c>
      <c r="P516" s="2" t="s">
        <v>18</v>
      </c>
      <c r="Q516" s="2" t="s">
        <v>34</v>
      </c>
    </row>
    <row r="517" spans="1:17" x14ac:dyDescent="0.25">
      <c r="A517" s="3" t="s">
        <v>846</v>
      </c>
      <c r="B517" s="4">
        <v>45556</v>
      </c>
      <c r="C517" s="4" t="str">
        <f t="shared" si="32"/>
        <v>Sep</v>
      </c>
      <c r="D517" s="3" t="s">
        <v>643</v>
      </c>
      <c r="E517" s="3" t="s">
        <v>51</v>
      </c>
      <c r="F517" s="3" t="s">
        <v>14</v>
      </c>
      <c r="G517" s="3" t="s">
        <v>31</v>
      </c>
      <c r="H517" s="3" t="s">
        <v>116</v>
      </c>
      <c r="I517" s="3">
        <v>1102.06</v>
      </c>
      <c r="J517" s="3">
        <v>4</v>
      </c>
      <c r="K517" s="3">
        <v>15</v>
      </c>
      <c r="L517" s="9">
        <f t="shared" si="33"/>
        <v>4408.24</v>
      </c>
      <c r="M517" s="9">
        <f t="shared" si="34"/>
        <v>661.23599999999988</v>
      </c>
      <c r="N517" s="10">
        <f t="shared" si="35"/>
        <v>3747.0039999999999</v>
      </c>
      <c r="O517" s="3" t="s">
        <v>26</v>
      </c>
      <c r="P517" s="3" t="s">
        <v>27</v>
      </c>
      <c r="Q517" s="3" t="s">
        <v>40</v>
      </c>
    </row>
    <row r="518" spans="1:17" x14ac:dyDescent="0.25">
      <c r="A518" s="2" t="s">
        <v>847</v>
      </c>
      <c r="B518" s="4">
        <v>45557</v>
      </c>
      <c r="C518" s="4" t="str">
        <f t="shared" si="32"/>
        <v>Sep</v>
      </c>
      <c r="D518" s="2" t="s">
        <v>848</v>
      </c>
      <c r="E518" s="2" t="s">
        <v>100</v>
      </c>
      <c r="F518" s="2" t="s">
        <v>88</v>
      </c>
      <c r="G518" s="2" t="s">
        <v>43</v>
      </c>
      <c r="H518" s="2" t="s">
        <v>89</v>
      </c>
      <c r="I518" s="2">
        <v>4787.5600000000004</v>
      </c>
      <c r="J518" s="2">
        <v>1</v>
      </c>
      <c r="K518" s="2">
        <v>5</v>
      </c>
      <c r="L518" s="9">
        <f t="shared" si="33"/>
        <v>4787.5600000000004</v>
      </c>
      <c r="M518" s="9">
        <f t="shared" si="34"/>
        <v>239.37800000000004</v>
      </c>
      <c r="N518" s="10">
        <f t="shared" si="35"/>
        <v>4548.1820000000007</v>
      </c>
      <c r="O518" s="2" t="s">
        <v>38</v>
      </c>
      <c r="P518" s="2" t="s">
        <v>18</v>
      </c>
      <c r="Q518" s="2" t="s">
        <v>19</v>
      </c>
    </row>
    <row r="519" spans="1:17" x14ac:dyDescent="0.25">
      <c r="A519" s="3" t="s">
        <v>849</v>
      </c>
      <c r="B519" s="4">
        <v>45558</v>
      </c>
      <c r="C519" s="4" t="str">
        <f t="shared" si="32"/>
        <v>Sep</v>
      </c>
      <c r="D519" s="3" t="s">
        <v>433</v>
      </c>
      <c r="E519" s="3" t="s">
        <v>87</v>
      </c>
      <c r="F519" s="3" t="s">
        <v>88</v>
      </c>
      <c r="G519" s="3" t="s">
        <v>31</v>
      </c>
      <c r="H519" s="3" t="s">
        <v>70</v>
      </c>
      <c r="I519" s="3">
        <v>589.98</v>
      </c>
      <c r="J519" s="3">
        <v>1</v>
      </c>
      <c r="K519" s="3">
        <v>0</v>
      </c>
      <c r="L519" s="9">
        <f t="shared" si="33"/>
        <v>589.98</v>
      </c>
      <c r="M519" s="9">
        <f t="shared" si="34"/>
        <v>0</v>
      </c>
      <c r="N519" s="10">
        <f t="shared" si="35"/>
        <v>589.98</v>
      </c>
      <c r="O519" s="3" t="s">
        <v>17</v>
      </c>
      <c r="P519" s="3" t="s">
        <v>18</v>
      </c>
      <c r="Q519" s="3" t="s">
        <v>60</v>
      </c>
    </row>
    <row r="520" spans="1:17" x14ac:dyDescent="0.25">
      <c r="A520" s="2" t="s">
        <v>850</v>
      </c>
      <c r="B520" s="4">
        <v>45559</v>
      </c>
      <c r="C520" s="4" t="str">
        <f t="shared" si="32"/>
        <v>Sep</v>
      </c>
      <c r="D520" s="2" t="s">
        <v>851</v>
      </c>
      <c r="E520" s="2" t="s">
        <v>13</v>
      </c>
      <c r="F520" s="2" t="s">
        <v>14</v>
      </c>
      <c r="G520" s="2" t="s">
        <v>31</v>
      </c>
      <c r="H520" s="2" t="s">
        <v>242</v>
      </c>
      <c r="I520" s="2">
        <v>911.68</v>
      </c>
      <c r="J520" s="2">
        <v>3</v>
      </c>
      <c r="K520" s="2">
        <v>15</v>
      </c>
      <c r="L520" s="9">
        <f t="shared" si="33"/>
        <v>2735.04</v>
      </c>
      <c r="M520" s="9">
        <f t="shared" si="34"/>
        <v>410.25599999999997</v>
      </c>
      <c r="N520" s="10">
        <f t="shared" si="35"/>
        <v>2324.7840000000001</v>
      </c>
      <c r="O520" s="2" t="s">
        <v>26</v>
      </c>
      <c r="P520" s="2" t="s">
        <v>18</v>
      </c>
      <c r="Q520" s="2" t="s">
        <v>40</v>
      </c>
    </row>
    <row r="521" spans="1:17" x14ac:dyDescent="0.25">
      <c r="A521" s="3" t="s">
        <v>852</v>
      </c>
      <c r="B521" s="4">
        <v>45560</v>
      </c>
      <c r="C521" s="4" t="str">
        <f t="shared" si="32"/>
        <v>Sep</v>
      </c>
      <c r="D521" s="3" t="s">
        <v>730</v>
      </c>
      <c r="E521" s="3" t="s">
        <v>76</v>
      </c>
      <c r="F521" s="3" t="s">
        <v>77</v>
      </c>
      <c r="G521" s="3" t="s">
        <v>72</v>
      </c>
      <c r="H521" s="3" t="s">
        <v>73</v>
      </c>
      <c r="I521" s="3">
        <v>355.27</v>
      </c>
      <c r="J521" s="3">
        <v>1</v>
      </c>
      <c r="K521" s="3">
        <v>0</v>
      </c>
      <c r="L521" s="9">
        <f t="shared" si="33"/>
        <v>355.27</v>
      </c>
      <c r="M521" s="9">
        <f t="shared" si="34"/>
        <v>0</v>
      </c>
      <c r="N521" s="10">
        <f t="shared" si="35"/>
        <v>355.27</v>
      </c>
      <c r="O521" s="3" t="s">
        <v>33</v>
      </c>
      <c r="P521" s="3" t="s">
        <v>18</v>
      </c>
      <c r="Q521" s="3" t="s">
        <v>60</v>
      </c>
    </row>
    <row r="522" spans="1:17" x14ac:dyDescent="0.25">
      <c r="A522" s="2" t="s">
        <v>853</v>
      </c>
      <c r="B522" s="4">
        <v>45561</v>
      </c>
      <c r="C522" s="4" t="str">
        <f t="shared" si="32"/>
        <v>Sep</v>
      </c>
      <c r="D522" s="2" t="s">
        <v>320</v>
      </c>
      <c r="E522" s="2" t="s">
        <v>22</v>
      </c>
      <c r="F522" s="2" t="s">
        <v>23</v>
      </c>
      <c r="G522" s="2" t="s">
        <v>43</v>
      </c>
      <c r="H522" s="2" t="s">
        <v>89</v>
      </c>
      <c r="I522" s="2">
        <v>4720.78</v>
      </c>
      <c r="J522" s="2">
        <v>5</v>
      </c>
      <c r="K522" s="2">
        <v>10</v>
      </c>
      <c r="L522" s="9">
        <f t="shared" si="33"/>
        <v>23603.899999999998</v>
      </c>
      <c r="M522" s="9">
        <f t="shared" si="34"/>
        <v>2360.39</v>
      </c>
      <c r="N522" s="10">
        <f t="shared" si="35"/>
        <v>21243.51</v>
      </c>
      <c r="O522" s="2" t="s">
        <v>38</v>
      </c>
      <c r="P522" s="2" t="s">
        <v>18</v>
      </c>
      <c r="Q522" s="2" t="s">
        <v>60</v>
      </c>
    </row>
    <row r="523" spans="1:17" x14ac:dyDescent="0.25">
      <c r="A523" s="3" t="s">
        <v>854</v>
      </c>
      <c r="B523" s="4">
        <v>45562</v>
      </c>
      <c r="C523" s="4" t="str">
        <f t="shared" si="32"/>
        <v>Sep</v>
      </c>
      <c r="D523" s="3" t="s">
        <v>539</v>
      </c>
      <c r="E523" s="3" t="s">
        <v>100</v>
      </c>
      <c r="F523" s="3" t="s">
        <v>88</v>
      </c>
      <c r="G523" s="3" t="s">
        <v>72</v>
      </c>
      <c r="H523" s="3" t="s">
        <v>102</v>
      </c>
      <c r="I523" s="3">
        <v>647.52</v>
      </c>
      <c r="J523" s="3">
        <v>2</v>
      </c>
      <c r="K523" s="3">
        <v>0</v>
      </c>
      <c r="L523" s="9">
        <f t="shared" si="33"/>
        <v>1295.04</v>
      </c>
      <c r="M523" s="9">
        <f t="shared" si="34"/>
        <v>0</v>
      </c>
      <c r="N523" s="10">
        <f t="shared" si="35"/>
        <v>1295.04</v>
      </c>
      <c r="O523" s="3" t="s">
        <v>33</v>
      </c>
      <c r="P523" s="3" t="s">
        <v>27</v>
      </c>
      <c r="Q523" s="3" t="s">
        <v>19</v>
      </c>
    </row>
    <row r="524" spans="1:17" x14ac:dyDescent="0.25">
      <c r="A524" s="2" t="s">
        <v>855</v>
      </c>
      <c r="B524" s="4">
        <v>45563</v>
      </c>
      <c r="C524" s="4" t="str">
        <f t="shared" si="32"/>
        <v>Sep</v>
      </c>
      <c r="D524" s="2" t="s">
        <v>771</v>
      </c>
      <c r="E524" s="2" t="s">
        <v>83</v>
      </c>
      <c r="F524" s="2" t="s">
        <v>84</v>
      </c>
      <c r="G524" s="2" t="s">
        <v>24</v>
      </c>
      <c r="H524" s="2" t="s">
        <v>25</v>
      </c>
      <c r="I524" s="2">
        <v>4114.4799999999996</v>
      </c>
      <c r="J524" s="2">
        <v>4</v>
      </c>
      <c r="K524" s="2">
        <v>15</v>
      </c>
      <c r="L524" s="9">
        <f t="shared" si="33"/>
        <v>16457.919999999998</v>
      </c>
      <c r="M524" s="9">
        <f t="shared" si="34"/>
        <v>2468.6880000000001</v>
      </c>
      <c r="N524" s="10">
        <f t="shared" si="35"/>
        <v>13989.231999999998</v>
      </c>
      <c r="O524" s="2" t="s">
        <v>17</v>
      </c>
      <c r="P524" s="2" t="s">
        <v>18</v>
      </c>
      <c r="Q524" s="2" t="s">
        <v>40</v>
      </c>
    </row>
    <row r="525" spans="1:17" x14ac:dyDescent="0.25">
      <c r="A525" s="3" t="s">
        <v>856</v>
      </c>
      <c r="B525" s="4">
        <v>45564</v>
      </c>
      <c r="C525" s="4" t="str">
        <f t="shared" si="32"/>
        <v>Sep</v>
      </c>
      <c r="D525" s="3" t="s">
        <v>530</v>
      </c>
      <c r="E525" s="3" t="s">
        <v>87</v>
      </c>
      <c r="F525" s="3" t="s">
        <v>88</v>
      </c>
      <c r="G525" s="3" t="s">
        <v>31</v>
      </c>
      <c r="H525" s="3" t="s">
        <v>186</v>
      </c>
      <c r="I525" s="3">
        <v>771.32</v>
      </c>
      <c r="J525" s="3">
        <v>5</v>
      </c>
      <c r="K525" s="3">
        <v>0</v>
      </c>
      <c r="L525" s="9">
        <f t="shared" si="33"/>
        <v>3856.6000000000004</v>
      </c>
      <c r="M525" s="9">
        <f t="shared" si="34"/>
        <v>0</v>
      </c>
      <c r="N525" s="10">
        <f t="shared" si="35"/>
        <v>3856.6000000000004</v>
      </c>
      <c r="O525" s="3" t="s">
        <v>68</v>
      </c>
      <c r="P525" s="3" t="s">
        <v>39</v>
      </c>
      <c r="Q525" s="3" t="s">
        <v>34</v>
      </c>
    </row>
    <row r="526" spans="1:17" x14ac:dyDescent="0.25">
      <c r="A526" s="2" t="s">
        <v>857</v>
      </c>
      <c r="B526" s="4">
        <v>45565</v>
      </c>
      <c r="C526" s="4" t="str">
        <f t="shared" si="32"/>
        <v>Sep</v>
      </c>
      <c r="D526" s="2" t="s">
        <v>239</v>
      </c>
      <c r="E526" s="2" t="s">
        <v>76</v>
      </c>
      <c r="F526" s="2" t="s">
        <v>77</v>
      </c>
      <c r="G526" s="2" t="s">
        <v>110</v>
      </c>
      <c r="H526" s="2" t="s">
        <v>153</v>
      </c>
      <c r="I526" s="2">
        <v>3458.32</v>
      </c>
      <c r="J526" s="2">
        <v>2</v>
      </c>
      <c r="K526" s="2">
        <v>0</v>
      </c>
      <c r="L526" s="9">
        <f t="shared" si="33"/>
        <v>6916.64</v>
      </c>
      <c r="M526" s="9">
        <f t="shared" si="34"/>
        <v>0</v>
      </c>
      <c r="N526" s="10">
        <f t="shared" si="35"/>
        <v>6916.64</v>
      </c>
      <c r="O526" s="2" t="s">
        <v>38</v>
      </c>
      <c r="P526" s="2" t="s">
        <v>18</v>
      </c>
      <c r="Q526" s="2" t="s">
        <v>40</v>
      </c>
    </row>
    <row r="527" spans="1:17" x14ac:dyDescent="0.25">
      <c r="A527" s="3" t="s">
        <v>858</v>
      </c>
      <c r="B527" s="4">
        <v>45566</v>
      </c>
      <c r="C527" s="4" t="str">
        <f t="shared" si="32"/>
        <v>Oct</v>
      </c>
      <c r="D527" s="3" t="s">
        <v>411</v>
      </c>
      <c r="E527" s="3" t="s">
        <v>51</v>
      </c>
      <c r="F527" s="3" t="s">
        <v>14</v>
      </c>
      <c r="G527" s="3" t="s">
        <v>110</v>
      </c>
      <c r="H527" s="3" t="s">
        <v>153</v>
      </c>
      <c r="I527" s="3">
        <v>3758.13</v>
      </c>
      <c r="J527" s="3">
        <v>3</v>
      </c>
      <c r="K527" s="3">
        <v>0</v>
      </c>
      <c r="L527" s="9">
        <f t="shared" si="33"/>
        <v>11274.39</v>
      </c>
      <c r="M527" s="9">
        <f t="shared" si="34"/>
        <v>0</v>
      </c>
      <c r="N527" s="10">
        <f t="shared" si="35"/>
        <v>11274.39</v>
      </c>
      <c r="O527" s="3" t="s">
        <v>38</v>
      </c>
      <c r="P527" s="3" t="s">
        <v>27</v>
      </c>
      <c r="Q527" s="3" t="s">
        <v>40</v>
      </c>
    </row>
    <row r="528" spans="1:17" x14ac:dyDescent="0.25">
      <c r="A528" s="2" t="s">
        <v>859</v>
      </c>
      <c r="B528" s="4">
        <v>45567</v>
      </c>
      <c r="C528" s="4" t="str">
        <f t="shared" si="32"/>
        <v>Oct</v>
      </c>
      <c r="D528" s="2" t="s">
        <v>698</v>
      </c>
      <c r="E528" s="2" t="s">
        <v>13</v>
      </c>
      <c r="F528" s="2" t="s">
        <v>14</v>
      </c>
      <c r="G528" s="2" t="s">
        <v>31</v>
      </c>
      <c r="H528" s="2" t="s">
        <v>186</v>
      </c>
      <c r="I528" s="2">
        <v>838.4</v>
      </c>
      <c r="J528" s="2">
        <v>2</v>
      </c>
      <c r="K528" s="2">
        <v>10</v>
      </c>
      <c r="L528" s="9">
        <f t="shared" si="33"/>
        <v>1676.8</v>
      </c>
      <c r="M528" s="9">
        <f t="shared" si="34"/>
        <v>167.68</v>
      </c>
      <c r="N528" s="10">
        <f t="shared" si="35"/>
        <v>1509.12</v>
      </c>
      <c r="O528" s="2" t="s">
        <v>17</v>
      </c>
      <c r="P528" s="2" t="s">
        <v>52</v>
      </c>
      <c r="Q528" s="2" t="s">
        <v>34</v>
      </c>
    </row>
    <row r="529" spans="1:17" x14ac:dyDescent="0.25">
      <c r="A529" s="3" t="s">
        <v>860</v>
      </c>
      <c r="B529" s="4">
        <v>45568</v>
      </c>
      <c r="C529" s="4" t="str">
        <f t="shared" si="32"/>
        <v>Oct</v>
      </c>
      <c r="D529" s="3" t="s">
        <v>751</v>
      </c>
      <c r="E529" s="3" t="s">
        <v>100</v>
      </c>
      <c r="F529" s="3" t="s">
        <v>88</v>
      </c>
      <c r="G529" s="3" t="s">
        <v>15</v>
      </c>
      <c r="H529" s="3" t="s">
        <v>198</v>
      </c>
      <c r="I529" s="3">
        <v>780.26</v>
      </c>
      <c r="J529" s="3">
        <v>5</v>
      </c>
      <c r="K529" s="3">
        <v>0</v>
      </c>
      <c r="L529" s="9">
        <f t="shared" si="33"/>
        <v>3901.3</v>
      </c>
      <c r="M529" s="9">
        <f t="shared" si="34"/>
        <v>0</v>
      </c>
      <c r="N529" s="10">
        <f t="shared" si="35"/>
        <v>3901.3</v>
      </c>
      <c r="O529" s="3" t="s">
        <v>38</v>
      </c>
      <c r="P529" s="3" t="s">
        <v>18</v>
      </c>
      <c r="Q529" s="3" t="s">
        <v>40</v>
      </c>
    </row>
    <row r="530" spans="1:17" x14ac:dyDescent="0.25">
      <c r="A530" s="2" t="s">
        <v>861</v>
      </c>
      <c r="B530" s="4">
        <v>45569</v>
      </c>
      <c r="C530" s="4" t="str">
        <f t="shared" si="32"/>
        <v>Oct</v>
      </c>
      <c r="D530" s="2" t="s">
        <v>439</v>
      </c>
      <c r="E530" s="2" t="s">
        <v>29</v>
      </c>
      <c r="F530" s="2" t="s">
        <v>30</v>
      </c>
      <c r="G530" s="2" t="s">
        <v>31</v>
      </c>
      <c r="H530" s="2" t="s">
        <v>32</v>
      </c>
      <c r="I530" s="2">
        <v>2482.48</v>
      </c>
      <c r="J530" s="2">
        <v>1</v>
      </c>
      <c r="K530" s="2">
        <v>15</v>
      </c>
      <c r="L530" s="9">
        <f t="shared" si="33"/>
        <v>2482.48</v>
      </c>
      <c r="M530" s="9">
        <f t="shared" si="34"/>
        <v>372.37199999999996</v>
      </c>
      <c r="N530" s="10">
        <f t="shared" si="35"/>
        <v>2110.1080000000002</v>
      </c>
      <c r="O530" s="2" t="s">
        <v>33</v>
      </c>
      <c r="P530" s="2" t="s">
        <v>27</v>
      </c>
      <c r="Q530" s="2" t="s">
        <v>34</v>
      </c>
    </row>
    <row r="531" spans="1:17" x14ac:dyDescent="0.25">
      <c r="A531" s="3" t="s">
        <v>862</v>
      </c>
      <c r="B531" s="4">
        <v>45570</v>
      </c>
      <c r="C531" s="4" t="str">
        <f t="shared" si="32"/>
        <v>Oct</v>
      </c>
      <c r="D531" s="3" t="s">
        <v>680</v>
      </c>
      <c r="E531" s="3" t="s">
        <v>22</v>
      </c>
      <c r="F531" s="3" t="s">
        <v>23</v>
      </c>
      <c r="G531" s="3" t="s">
        <v>36</v>
      </c>
      <c r="H531" s="3" t="s">
        <v>338</v>
      </c>
      <c r="I531" s="3">
        <v>69776.34</v>
      </c>
      <c r="J531" s="3">
        <v>4</v>
      </c>
      <c r="K531" s="3">
        <v>0</v>
      </c>
      <c r="L531" s="9">
        <f t="shared" si="33"/>
        <v>279105.36</v>
      </c>
      <c r="M531" s="9">
        <f t="shared" si="34"/>
        <v>0</v>
      </c>
      <c r="N531" s="10">
        <f t="shared" si="35"/>
        <v>279105.36</v>
      </c>
      <c r="O531" s="3" t="s">
        <v>33</v>
      </c>
      <c r="P531" s="3" t="s">
        <v>52</v>
      </c>
      <c r="Q531" s="3" t="s">
        <v>40</v>
      </c>
    </row>
    <row r="532" spans="1:17" x14ac:dyDescent="0.25">
      <c r="A532" s="2" t="s">
        <v>863</v>
      </c>
      <c r="B532" s="4">
        <v>45571</v>
      </c>
      <c r="C532" s="4" t="str">
        <f t="shared" si="32"/>
        <v>Oct</v>
      </c>
      <c r="D532" s="2" t="s">
        <v>751</v>
      </c>
      <c r="E532" s="2" t="s">
        <v>83</v>
      </c>
      <c r="F532" s="2" t="s">
        <v>84</v>
      </c>
      <c r="G532" s="2" t="s">
        <v>36</v>
      </c>
      <c r="H532" s="2" t="s">
        <v>49</v>
      </c>
      <c r="I532" s="2">
        <v>140966.26</v>
      </c>
      <c r="J532" s="2">
        <v>4</v>
      </c>
      <c r="K532" s="2">
        <v>10</v>
      </c>
      <c r="L532" s="9">
        <f t="shared" si="33"/>
        <v>563865.04</v>
      </c>
      <c r="M532" s="9">
        <f t="shared" si="34"/>
        <v>56386.504000000001</v>
      </c>
      <c r="N532" s="10">
        <f t="shared" si="35"/>
        <v>507478.53600000002</v>
      </c>
      <c r="O532" s="2" t="s">
        <v>68</v>
      </c>
      <c r="P532" s="2" t="s">
        <v>18</v>
      </c>
      <c r="Q532" s="2" t="s">
        <v>53</v>
      </c>
    </row>
    <row r="533" spans="1:17" x14ac:dyDescent="0.25">
      <c r="A533" s="3" t="s">
        <v>864</v>
      </c>
      <c r="B533" s="4">
        <v>45572</v>
      </c>
      <c r="C533" s="4" t="str">
        <f t="shared" si="32"/>
        <v>Oct</v>
      </c>
      <c r="D533" s="3" t="s">
        <v>865</v>
      </c>
      <c r="E533" s="3" t="s">
        <v>76</v>
      </c>
      <c r="F533" s="3" t="s">
        <v>77</v>
      </c>
      <c r="G533" s="3" t="s">
        <v>43</v>
      </c>
      <c r="H533" s="3" t="s">
        <v>127</v>
      </c>
      <c r="I533" s="3">
        <v>4970.21</v>
      </c>
      <c r="J533" s="3">
        <v>3</v>
      </c>
      <c r="K533" s="3">
        <v>0</v>
      </c>
      <c r="L533" s="9">
        <f t="shared" si="33"/>
        <v>14910.630000000001</v>
      </c>
      <c r="M533" s="9">
        <f t="shared" si="34"/>
        <v>0</v>
      </c>
      <c r="N533" s="10">
        <f t="shared" si="35"/>
        <v>14910.630000000001</v>
      </c>
      <c r="O533" s="3" t="s">
        <v>38</v>
      </c>
      <c r="P533" s="3" t="s">
        <v>18</v>
      </c>
      <c r="Q533" s="3" t="s">
        <v>19</v>
      </c>
    </row>
    <row r="534" spans="1:17" x14ac:dyDescent="0.25">
      <c r="A534" s="2" t="s">
        <v>866</v>
      </c>
      <c r="B534" s="4">
        <v>45573</v>
      </c>
      <c r="C534" s="4" t="str">
        <f t="shared" si="32"/>
        <v>Oct</v>
      </c>
      <c r="D534" s="2" t="s">
        <v>378</v>
      </c>
      <c r="E534" s="2" t="s">
        <v>47</v>
      </c>
      <c r="F534" s="2" t="s">
        <v>48</v>
      </c>
      <c r="G534" s="2" t="s">
        <v>43</v>
      </c>
      <c r="H534" s="2" t="s">
        <v>44</v>
      </c>
      <c r="I534" s="2">
        <v>3810.9</v>
      </c>
      <c r="J534" s="2">
        <v>3</v>
      </c>
      <c r="K534" s="2">
        <v>15</v>
      </c>
      <c r="L534" s="9">
        <f t="shared" si="33"/>
        <v>11432.7</v>
      </c>
      <c r="M534" s="9">
        <f t="shared" si="34"/>
        <v>1714.905</v>
      </c>
      <c r="N534" s="10">
        <f t="shared" si="35"/>
        <v>9717.7950000000001</v>
      </c>
      <c r="O534" s="2" t="s">
        <v>26</v>
      </c>
      <c r="P534" s="2" t="s">
        <v>18</v>
      </c>
      <c r="Q534" s="2" t="s">
        <v>60</v>
      </c>
    </row>
    <row r="535" spans="1:17" x14ac:dyDescent="0.25">
      <c r="A535" s="3" t="s">
        <v>867</v>
      </c>
      <c r="B535" s="4">
        <v>45574</v>
      </c>
      <c r="C535" s="4" t="str">
        <f t="shared" si="32"/>
        <v>Oct</v>
      </c>
      <c r="D535" s="3" t="s">
        <v>390</v>
      </c>
      <c r="E535" s="3" t="s">
        <v>65</v>
      </c>
      <c r="F535" s="3" t="s">
        <v>66</v>
      </c>
      <c r="G535" s="3" t="s">
        <v>110</v>
      </c>
      <c r="H535" s="3" t="s">
        <v>111</v>
      </c>
      <c r="I535" s="3">
        <v>10208.129999999999</v>
      </c>
      <c r="J535" s="3">
        <v>2</v>
      </c>
      <c r="K535" s="3">
        <v>5</v>
      </c>
      <c r="L535" s="9">
        <f t="shared" si="33"/>
        <v>20416.259999999998</v>
      </c>
      <c r="M535" s="9">
        <f t="shared" si="34"/>
        <v>1020.8129999999999</v>
      </c>
      <c r="N535" s="10">
        <f t="shared" si="35"/>
        <v>19395.447</v>
      </c>
      <c r="O535" s="3" t="s">
        <v>26</v>
      </c>
      <c r="P535" s="3" t="s">
        <v>52</v>
      </c>
      <c r="Q535" s="3" t="s">
        <v>53</v>
      </c>
    </row>
    <row r="536" spans="1:17" x14ac:dyDescent="0.25">
      <c r="A536" s="2" t="s">
        <v>868</v>
      </c>
      <c r="B536" s="4">
        <v>45575</v>
      </c>
      <c r="C536" s="4" t="str">
        <f t="shared" si="32"/>
        <v>Oct</v>
      </c>
      <c r="D536" s="2" t="s">
        <v>120</v>
      </c>
      <c r="E536" s="2" t="s">
        <v>87</v>
      </c>
      <c r="F536" s="2" t="s">
        <v>88</v>
      </c>
      <c r="G536" s="2" t="s">
        <v>43</v>
      </c>
      <c r="H536" s="2" t="s">
        <v>89</v>
      </c>
      <c r="I536" s="2">
        <v>4168.59</v>
      </c>
      <c r="J536" s="2">
        <v>2</v>
      </c>
      <c r="K536" s="2">
        <v>0</v>
      </c>
      <c r="L536" s="9">
        <f t="shared" si="33"/>
        <v>8337.18</v>
      </c>
      <c r="M536" s="9">
        <f t="shared" si="34"/>
        <v>0</v>
      </c>
      <c r="N536" s="10">
        <f t="shared" si="35"/>
        <v>8337.18</v>
      </c>
      <c r="O536" s="2" t="s">
        <v>17</v>
      </c>
      <c r="P536" s="2" t="s">
        <v>27</v>
      </c>
      <c r="Q536" s="2" t="s">
        <v>53</v>
      </c>
    </row>
    <row r="537" spans="1:17" x14ac:dyDescent="0.25">
      <c r="A537" s="3" t="s">
        <v>869</v>
      </c>
      <c r="B537" s="4">
        <v>45576</v>
      </c>
      <c r="C537" s="4" t="str">
        <f t="shared" si="32"/>
        <v>Oct</v>
      </c>
      <c r="D537" s="3" t="s">
        <v>495</v>
      </c>
      <c r="E537" s="3" t="s">
        <v>83</v>
      </c>
      <c r="F537" s="3" t="s">
        <v>84</v>
      </c>
      <c r="G537" s="3" t="s">
        <v>24</v>
      </c>
      <c r="H537" s="3" t="s">
        <v>134</v>
      </c>
      <c r="I537" s="3">
        <v>2747.84</v>
      </c>
      <c r="J537" s="3">
        <v>2</v>
      </c>
      <c r="K537" s="3">
        <v>0</v>
      </c>
      <c r="L537" s="9">
        <f t="shared" si="33"/>
        <v>5495.68</v>
      </c>
      <c r="M537" s="9">
        <f t="shared" si="34"/>
        <v>0</v>
      </c>
      <c r="N537" s="10">
        <f t="shared" si="35"/>
        <v>5495.68</v>
      </c>
      <c r="O537" s="3" t="s">
        <v>17</v>
      </c>
      <c r="P537" s="3" t="s">
        <v>18</v>
      </c>
      <c r="Q537" s="3" t="s">
        <v>34</v>
      </c>
    </row>
    <row r="538" spans="1:17" x14ac:dyDescent="0.25">
      <c r="A538" s="2" t="s">
        <v>870</v>
      </c>
      <c r="B538" s="4">
        <v>45577</v>
      </c>
      <c r="C538" s="4" t="str">
        <f t="shared" si="32"/>
        <v>Oct</v>
      </c>
      <c r="D538" s="2" t="s">
        <v>519</v>
      </c>
      <c r="E538" s="2" t="s">
        <v>22</v>
      </c>
      <c r="F538" s="2" t="s">
        <v>23</v>
      </c>
      <c r="G538" s="2" t="s">
        <v>24</v>
      </c>
      <c r="H538" s="2" t="s">
        <v>108</v>
      </c>
      <c r="I538" s="2">
        <v>8543.24</v>
      </c>
      <c r="J538" s="2">
        <v>2</v>
      </c>
      <c r="K538" s="2">
        <v>0</v>
      </c>
      <c r="L538" s="9">
        <f t="shared" si="33"/>
        <v>17086.48</v>
      </c>
      <c r="M538" s="9">
        <f t="shared" si="34"/>
        <v>0</v>
      </c>
      <c r="N538" s="10">
        <f t="shared" si="35"/>
        <v>17086.48</v>
      </c>
      <c r="O538" s="2" t="s">
        <v>38</v>
      </c>
      <c r="P538" s="2" t="s">
        <v>18</v>
      </c>
      <c r="Q538" s="2" t="s">
        <v>60</v>
      </c>
    </row>
    <row r="539" spans="1:17" x14ac:dyDescent="0.25">
      <c r="A539" s="3" t="s">
        <v>871</v>
      </c>
      <c r="B539" s="4">
        <v>45578</v>
      </c>
      <c r="C539" s="4" t="str">
        <f t="shared" si="32"/>
        <v>Oct</v>
      </c>
      <c r="D539" s="3" t="s">
        <v>256</v>
      </c>
      <c r="E539" s="3" t="s">
        <v>47</v>
      </c>
      <c r="F539" s="3" t="s">
        <v>48</v>
      </c>
      <c r="G539" s="3" t="s">
        <v>24</v>
      </c>
      <c r="H539" s="3" t="s">
        <v>25</v>
      </c>
      <c r="I539" s="3">
        <v>4146.09</v>
      </c>
      <c r="J539" s="3">
        <v>2</v>
      </c>
      <c r="K539" s="3">
        <v>10</v>
      </c>
      <c r="L539" s="9">
        <f t="shared" si="33"/>
        <v>8292.18</v>
      </c>
      <c r="M539" s="9">
        <f t="shared" si="34"/>
        <v>829.21800000000007</v>
      </c>
      <c r="N539" s="10">
        <f t="shared" si="35"/>
        <v>7462.9620000000004</v>
      </c>
      <c r="O539" s="3" t="s">
        <v>17</v>
      </c>
      <c r="P539" s="3" t="s">
        <v>52</v>
      </c>
      <c r="Q539" s="3" t="s">
        <v>34</v>
      </c>
    </row>
    <row r="540" spans="1:17" x14ac:dyDescent="0.25">
      <c r="A540" s="2" t="s">
        <v>872</v>
      </c>
      <c r="B540" s="4">
        <v>45579</v>
      </c>
      <c r="C540" s="4" t="str">
        <f t="shared" si="32"/>
        <v>Oct</v>
      </c>
      <c r="D540" s="2" t="s">
        <v>115</v>
      </c>
      <c r="E540" s="2" t="s">
        <v>51</v>
      </c>
      <c r="F540" s="2" t="s">
        <v>14</v>
      </c>
      <c r="G540" s="2" t="s">
        <v>110</v>
      </c>
      <c r="H540" s="2" t="s">
        <v>153</v>
      </c>
      <c r="I540" s="2">
        <v>3311.64</v>
      </c>
      <c r="J540" s="2">
        <v>1</v>
      </c>
      <c r="K540" s="2">
        <v>0</v>
      </c>
      <c r="L540" s="9">
        <f t="shared" si="33"/>
        <v>3311.64</v>
      </c>
      <c r="M540" s="9">
        <f t="shared" si="34"/>
        <v>0</v>
      </c>
      <c r="N540" s="10">
        <f t="shared" si="35"/>
        <v>3311.64</v>
      </c>
      <c r="O540" s="2" t="s">
        <v>68</v>
      </c>
      <c r="P540" s="2" t="s">
        <v>27</v>
      </c>
      <c r="Q540" s="2" t="s">
        <v>60</v>
      </c>
    </row>
    <row r="541" spans="1:17" x14ac:dyDescent="0.25">
      <c r="A541" s="3" t="s">
        <v>873</v>
      </c>
      <c r="B541" s="4">
        <v>45580</v>
      </c>
      <c r="C541" s="4" t="str">
        <f t="shared" si="32"/>
        <v>Oct</v>
      </c>
      <c r="D541" s="3" t="s">
        <v>228</v>
      </c>
      <c r="E541" s="3" t="s">
        <v>76</v>
      </c>
      <c r="F541" s="3" t="s">
        <v>77</v>
      </c>
      <c r="G541" s="3" t="s">
        <v>15</v>
      </c>
      <c r="H541" s="3" t="s">
        <v>16</v>
      </c>
      <c r="I541" s="3">
        <v>1405.19</v>
      </c>
      <c r="J541" s="3">
        <v>4</v>
      </c>
      <c r="K541" s="3">
        <v>0</v>
      </c>
      <c r="L541" s="9">
        <f t="shared" si="33"/>
        <v>5620.76</v>
      </c>
      <c r="M541" s="9">
        <f t="shared" si="34"/>
        <v>0</v>
      </c>
      <c r="N541" s="10">
        <f t="shared" si="35"/>
        <v>5620.76</v>
      </c>
      <c r="O541" s="3" t="s">
        <v>33</v>
      </c>
      <c r="P541" s="3" t="s">
        <v>18</v>
      </c>
      <c r="Q541" s="3" t="s">
        <v>53</v>
      </c>
    </row>
    <row r="542" spans="1:17" x14ac:dyDescent="0.25">
      <c r="A542" s="2" t="s">
        <v>874</v>
      </c>
      <c r="B542" s="4">
        <v>45581</v>
      </c>
      <c r="C542" s="4" t="str">
        <f t="shared" si="32"/>
        <v>Oct</v>
      </c>
      <c r="D542" s="2" t="s">
        <v>875</v>
      </c>
      <c r="E542" s="2" t="s">
        <v>65</v>
      </c>
      <c r="F542" s="2" t="s">
        <v>66</v>
      </c>
      <c r="G542" s="2" t="s">
        <v>72</v>
      </c>
      <c r="H542" s="2" t="s">
        <v>81</v>
      </c>
      <c r="I542" s="2">
        <v>1627.63</v>
      </c>
      <c r="J542" s="2">
        <v>4</v>
      </c>
      <c r="K542" s="2">
        <v>0</v>
      </c>
      <c r="L542" s="9">
        <f t="shared" si="33"/>
        <v>6510.52</v>
      </c>
      <c r="M542" s="9">
        <f t="shared" si="34"/>
        <v>0</v>
      </c>
      <c r="N542" s="10">
        <f t="shared" si="35"/>
        <v>6510.52</v>
      </c>
      <c r="O542" s="2" t="s">
        <v>26</v>
      </c>
      <c r="P542" s="2" t="s">
        <v>39</v>
      </c>
      <c r="Q542" s="2" t="s">
        <v>53</v>
      </c>
    </row>
    <row r="543" spans="1:17" x14ac:dyDescent="0.25">
      <c r="A543" s="3" t="s">
        <v>876</v>
      </c>
      <c r="B543" s="4">
        <v>45582</v>
      </c>
      <c r="C543" s="4" t="str">
        <f t="shared" si="32"/>
        <v>Oct</v>
      </c>
      <c r="D543" s="3" t="s">
        <v>402</v>
      </c>
      <c r="E543" s="3" t="s">
        <v>29</v>
      </c>
      <c r="F543" s="3" t="s">
        <v>30</v>
      </c>
      <c r="G543" s="3" t="s">
        <v>43</v>
      </c>
      <c r="H543" s="3" t="s">
        <v>105</v>
      </c>
      <c r="I543" s="3">
        <v>3005.39</v>
      </c>
      <c r="J543" s="3">
        <v>2</v>
      </c>
      <c r="K543" s="3">
        <v>10</v>
      </c>
      <c r="L543" s="9">
        <f t="shared" si="33"/>
        <v>6010.78</v>
      </c>
      <c r="M543" s="9">
        <f t="shared" si="34"/>
        <v>601.07799999999997</v>
      </c>
      <c r="N543" s="10">
        <f t="shared" si="35"/>
        <v>5409.7019999999993</v>
      </c>
      <c r="O543" s="3" t="s">
        <v>33</v>
      </c>
      <c r="P543" s="3" t="s">
        <v>39</v>
      </c>
      <c r="Q543" s="3" t="s">
        <v>40</v>
      </c>
    </row>
    <row r="544" spans="1:17" x14ac:dyDescent="0.25">
      <c r="A544" s="2" t="s">
        <v>877</v>
      </c>
      <c r="B544" s="4">
        <v>45583</v>
      </c>
      <c r="C544" s="4" t="str">
        <f t="shared" si="32"/>
        <v>Oct</v>
      </c>
      <c r="D544" s="2" t="s">
        <v>730</v>
      </c>
      <c r="E544" s="2" t="s">
        <v>87</v>
      </c>
      <c r="F544" s="2" t="s">
        <v>88</v>
      </c>
      <c r="G544" s="2" t="s">
        <v>43</v>
      </c>
      <c r="H544" s="2" t="s">
        <v>89</v>
      </c>
      <c r="I544" s="2">
        <v>4895.2299999999996</v>
      </c>
      <c r="J544" s="2">
        <v>5</v>
      </c>
      <c r="K544" s="2">
        <v>10</v>
      </c>
      <c r="L544" s="9">
        <f t="shared" si="33"/>
        <v>24476.149999999998</v>
      </c>
      <c r="M544" s="9">
        <f t="shared" si="34"/>
        <v>2447.6149999999998</v>
      </c>
      <c r="N544" s="10">
        <f t="shared" si="35"/>
        <v>22028.534999999996</v>
      </c>
      <c r="O544" s="2" t="s">
        <v>17</v>
      </c>
      <c r="P544" s="2" t="s">
        <v>52</v>
      </c>
      <c r="Q544" s="2" t="s">
        <v>40</v>
      </c>
    </row>
    <row r="545" spans="1:17" x14ac:dyDescent="0.25">
      <c r="A545" s="3" t="s">
        <v>878</v>
      </c>
      <c r="B545" s="4">
        <v>45584</v>
      </c>
      <c r="C545" s="4" t="str">
        <f t="shared" si="32"/>
        <v>Oct</v>
      </c>
      <c r="D545" s="3" t="s">
        <v>559</v>
      </c>
      <c r="E545" s="3" t="s">
        <v>76</v>
      </c>
      <c r="F545" s="3" t="s">
        <v>77</v>
      </c>
      <c r="G545" s="3" t="s">
        <v>72</v>
      </c>
      <c r="H545" s="3" t="s">
        <v>81</v>
      </c>
      <c r="I545" s="3">
        <v>1613.33</v>
      </c>
      <c r="J545" s="3">
        <v>2</v>
      </c>
      <c r="K545" s="3">
        <v>10</v>
      </c>
      <c r="L545" s="9">
        <f t="shared" si="33"/>
        <v>3226.66</v>
      </c>
      <c r="M545" s="9">
        <f t="shared" si="34"/>
        <v>322.666</v>
      </c>
      <c r="N545" s="10">
        <f t="shared" si="35"/>
        <v>2903.9939999999997</v>
      </c>
      <c r="O545" s="3" t="s">
        <v>17</v>
      </c>
      <c r="P545" s="3" t="s">
        <v>18</v>
      </c>
      <c r="Q545" s="3" t="s">
        <v>40</v>
      </c>
    </row>
    <row r="546" spans="1:17" x14ac:dyDescent="0.25">
      <c r="A546" s="2" t="s">
        <v>879</v>
      </c>
      <c r="B546" s="4">
        <v>45585</v>
      </c>
      <c r="C546" s="4" t="str">
        <f t="shared" si="32"/>
        <v>Oct</v>
      </c>
      <c r="D546" s="2" t="s">
        <v>334</v>
      </c>
      <c r="E546" s="2" t="s">
        <v>13</v>
      </c>
      <c r="F546" s="2" t="s">
        <v>14</v>
      </c>
      <c r="G546" s="2" t="s">
        <v>24</v>
      </c>
      <c r="H546" s="2" t="s">
        <v>108</v>
      </c>
      <c r="I546" s="2">
        <v>7903.29</v>
      </c>
      <c r="J546" s="2">
        <v>3</v>
      </c>
      <c r="K546" s="2">
        <v>0</v>
      </c>
      <c r="L546" s="9">
        <f t="shared" si="33"/>
        <v>23709.87</v>
      </c>
      <c r="M546" s="9">
        <f t="shared" si="34"/>
        <v>0</v>
      </c>
      <c r="N546" s="10">
        <f t="shared" si="35"/>
        <v>23709.87</v>
      </c>
      <c r="O546" s="2" t="s">
        <v>33</v>
      </c>
      <c r="P546" s="2" t="s">
        <v>18</v>
      </c>
      <c r="Q546" s="2" t="s">
        <v>60</v>
      </c>
    </row>
    <row r="547" spans="1:17" x14ac:dyDescent="0.25">
      <c r="A547" s="3" t="s">
        <v>880</v>
      </c>
      <c r="B547" s="4">
        <v>45586</v>
      </c>
      <c r="C547" s="4" t="str">
        <f t="shared" si="32"/>
        <v>Oct</v>
      </c>
      <c r="D547" s="3" t="s">
        <v>197</v>
      </c>
      <c r="E547" s="3" t="s">
        <v>83</v>
      </c>
      <c r="F547" s="3" t="s">
        <v>84</v>
      </c>
      <c r="G547" s="3" t="s">
        <v>24</v>
      </c>
      <c r="H547" s="3" t="s">
        <v>134</v>
      </c>
      <c r="I547" s="3">
        <v>2664.95</v>
      </c>
      <c r="J547" s="3">
        <v>4</v>
      </c>
      <c r="K547" s="3">
        <v>10</v>
      </c>
      <c r="L547" s="9">
        <f t="shared" si="33"/>
        <v>10659.8</v>
      </c>
      <c r="M547" s="9">
        <f t="shared" si="34"/>
        <v>1065.98</v>
      </c>
      <c r="N547" s="10">
        <f t="shared" si="35"/>
        <v>9593.82</v>
      </c>
      <c r="O547" s="3" t="s">
        <v>17</v>
      </c>
      <c r="P547" s="3" t="s">
        <v>18</v>
      </c>
      <c r="Q547" s="3" t="s">
        <v>53</v>
      </c>
    </row>
    <row r="548" spans="1:17" x14ac:dyDescent="0.25">
      <c r="A548" s="2" t="s">
        <v>881</v>
      </c>
      <c r="B548" s="4">
        <v>45587</v>
      </c>
      <c r="C548" s="4" t="str">
        <f t="shared" si="32"/>
        <v>Oct</v>
      </c>
      <c r="D548" s="2" t="s">
        <v>500</v>
      </c>
      <c r="E548" s="2" t="s">
        <v>100</v>
      </c>
      <c r="F548" s="2" t="s">
        <v>88</v>
      </c>
      <c r="G548" s="2" t="s">
        <v>43</v>
      </c>
      <c r="H548" s="2" t="s">
        <v>145</v>
      </c>
      <c r="I548" s="2">
        <v>11576.31</v>
      </c>
      <c r="J548" s="2">
        <v>1</v>
      </c>
      <c r="K548" s="2">
        <v>5</v>
      </c>
      <c r="L548" s="9">
        <f t="shared" si="33"/>
        <v>11576.31</v>
      </c>
      <c r="M548" s="9">
        <f t="shared" si="34"/>
        <v>578.81549999999993</v>
      </c>
      <c r="N548" s="10">
        <f t="shared" si="35"/>
        <v>10997.494499999999</v>
      </c>
      <c r="O548" s="2" t="s">
        <v>33</v>
      </c>
      <c r="P548" s="2" t="s">
        <v>52</v>
      </c>
      <c r="Q548" s="2" t="s">
        <v>53</v>
      </c>
    </row>
    <row r="549" spans="1:17" x14ac:dyDescent="0.25">
      <c r="A549" s="3" t="s">
        <v>882</v>
      </c>
      <c r="B549" s="4">
        <v>45588</v>
      </c>
      <c r="C549" s="4" t="str">
        <f t="shared" si="32"/>
        <v>Oct</v>
      </c>
      <c r="D549" s="3" t="s">
        <v>369</v>
      </c>
      <c r="E549" s="3" t="s">
        <v>87</v>
      </c>
      <c r="F549" s="3" t="s">
        <v>88</v>
      </c>
      <c r="G549" s="3" t="s">
        <v>15</v>
      </c>
      <c r="H549" s="3" t="s">
        <v>163</v>
      </c>
      <c r="I549" s="3">
        <v>2609.19</v>
      </c>
      <c r="J549" s="3">
        <v>1</v>
      </c>
      <c r="K549" s="3">
        <v>15</v>
      </c>
      <c r="L549" s="9">
        <f t="shared" si="33"/>
        <v>2609.19</v>
      </c>
      <c r="M549" s="9">
        <f t="shared" si="34"/>
        <v>391.37849999999997</v>
      </c>
      <c r="N549" s="10">
        <f t="shared" si="35"/>
        <v>2217.8115000000003</v>
      </c>
      <c r="O549" s="3" t="s">
        <v>68</v>
      </c>
      <c r="P549" s="3" t="s">
        <v>27</v>
      </c>
      <c r="Q549" s="3" t="s">
        <v>60</v>
      </c>
    </row>
    <row r="550" spans="1:17" x14ac:dyDescent="0.25">
      <c r="A550" s="2" t="s">
        <v>883</v>
      </c>
      <c r="B550" s="4">
        <v>45589</v>
      </c>
      <c r="C550" s="4" t="str">
        <f t="shared" si="32"/>
        <v>Oct</v>
      </c>
      <c r="D550" s="2" t="s">
        <v>451</v>
      </c>
      <c r="E550" s="2" t="s">
        <v>83</v>
      </c>
      <c r="F550" s="2" t="s">
        <v>84</v>
      </c>
      <c r="G550" s="2" t="s">
        <v>15</v>
      </c>
      <c r="H550" s="2" t="s">
        <v>95</v>
      </c>
      <c r="I550" s="2">
        <v>1254.45</v>
      </c>
      <c r="J550" s="2">
        <v>5</v>
      </c>
      <c r="K550" s="2">
        <v>5</v>
      </c>
      <c r="L550" s="9">
        <f t="shared" si="33"/>
        <v>6272.25</v>
      </c>
      <c r="M550" s="9">
        <f t="shared" si="34"/>
        <v>313.61250000000001</v>
      </c>
      <c r="N550" s="10">
        <f t="shared" si="35"/>
        <v>5958.6374999999998</v>
      </c>
      <c r="O550" s="2" t="s">
        <v>26</v>
      </c>
      <c r="P550" s="2" t="s">
        <v>18</v>
      </c>
      <c r="Q550" s="2" t="s">
        <v>19</v>
      </c>
    </row>
    <row r="551" spans="1:17" x14ac:dyDescent="0.25">
      <c r="A551" s="3" t="s">
        <v>884</v>
      </c>
      <c r="B551" s="4">
        <v>45590</v>
      </c>
      <c r="C551" s="4" t="str">
        <f t="shared" si="32"/>
        <v>Oct</v>
      </c>
      <c r="D551" s="3" t="s">
        <v>442</v>
      </c>
      <c r="E551" s="3" t="s">
        <v>87</v>
      </c>
      <c r="F551" s="3" t="s">
        <v>88</v>
      </c>
      <c r="G551" s="3" t="s">
        <v>110</v>
      </c>
      <c r="H551" s="3" t="s">
        <v>153</v>
      </c>
      <c r="I551" s="3">
        <v>3263.49</v>
      </c>
      <c r="J551" s="3">
        <v>2</v>
      </c>
      <c r="K551" s="3">
        <v>0</v>
      </c>
      <c r="L551" s="9">
        <f t="shared" si="33"/>
        <v>6526.98</v>
      </c>
      <c r="M551" s="9">
        <f t="shared" si="34"/>
        <v>0</v>
      </c>
      <c r="N551" s="10">
        <f t="shared" si="35"/>
        <v>6526.98</v>
      </c>
      <c r="O551" s="3" t="s">
        <v>68</v>
      </c>
      <c r="P551" s="3" t="s">
        <v>18</v>
      </c>
      <c r="Q551" s="3" t="s">
        <v>34</v>
      </c>
    </row>
    <row r="552" spans="1:17" x14ac:dyDescent="0.25">
      <c r="A552" s="2" t="s">
        <v>885</v>
      </c>
      <c r="B552" s="4">
        <v>45591</v>
      </c>
      <c r="C552" s="4" t="str">
        <f t="shared" si="32"/>
        <v>Oct</v>
      </c>
      <c r="D552" s="2" t="s">
        <v>746</v>
      </c>
      <c r="E552" s="2" t="s">
        <v>47</v>
      </c>
      <c r="F552" s="2" t="s">
        <v>48</v>
      </c>
      <c r="G552" s="2" t="s">
        <v>15</v>
      </c>
      <c r="H552" s="2" t="s">
        <v>163</v>
      </c>
      <c r="I552" s="2">
        <v>2308.7800000000002</v>
      </c>
      <c r="J552" s="2">
        <v>2</v>
      </c>
      <c r="K552" s="2">
        <v>0</v>
      </c>
      <c r="L552" s="9">
        <f t="shared" si="33"/>
        <v>4617.5600000000004</v>
      </c>
      <c r="M552" s="9">
        <f t="shared" si="34"/>
        <v>0</v>
      </c>
      <c r="N552" s="10">
        <f t="shared" si="35"/>
        <v>4617.5600000000004</v>
      </c>
      <c r="O552" s="2" t="s">
        <v>68</v>
      </c>
      <c r="P552" s="2" t="s">
        <v>52</v>
      </c>
      <c r="Q552" s="2" t="s">
        <v>34</v>
      </c>
    </row>
    <row r="553" spans="1:17" x14ac:dyDescent="0.25">
      <c r="A553" s="3" t="s">
        <v>886</v>
      </c>
      <c r="B553" s="4">
        <v>45592</v>
      </c>
      <c r="C553" s="4" t="str">
        <f t="shared" si="32"/>
        <v>Oct</v>
      </c>
      <c r="D553" s="3" t="s">
        <v>698</v>
      </c>
      <c r="E553" s="3" t="s">
        <v>76</v>
      </c>
      <c r="F553" s="3" t="s">
        <v>77</v>
      </c>
      <c r="G553" s="3" t="s">
        <v>110</v>
      </c>
      <c r="H553" s="3" t="s">
        <v>207</v>
      </c>
      <c r="I553" s="3">
        <v>8683.57</v>
      </c>
      <c r="J553" s="3">
        <v>4</v>
      </c>
      <c r="K553" s="3">
        <v>5</v>
      </c>
      <c r="L553" s="9">
        <f t="shared" si="33"/>
        <v>34734.28</v>
      </c>
      <c r="M553" s="9">
        <f t="shared" si="34"/>
        <v>1736.7139999999999</v>
      </c>
      <c r="N553" s="10">
        <f t="shared" si="35"/>
        <v>32997.565999999999</v>
      </c>
      <c r="O553" s="3" t="s">
        <v>26</v>
      </c>
      <c r="P553" s="3" t="s">
        <v>52</v>
      </c>
      <c r="Q553" s="3" t="s">
        <v>60</v>
      </c>
    </row>
    <row r="554" spans="1:17" x14ac:dyDescent="0.25">
      <c r="A554" s="2" t="s">
        <v>887</v>
      </c>
      <c r="B554" s="4">
        <v>45593</v>
      </c>
      <c r="C554" s="4" t="str">
        <f t="shared" si="32"/>
        <v>Oct</v>
      </c>
      <c r="D554" s="2" t="s">
        <v>796</v>
      </c>
      <c r="E554" s="2" t="s">
        <v>22</v>
      </c>
      <c r="F554" s="2" t="s">
        <v>23</v>
      </c>
      <c r="G554" s="2" t="s">
        <v>110</v>
      </c>
      <c r="H554" s="2" t="s">
        <v>111</v>
      </c>
      <c r="I554" s="2">
        <v>8562.49</v>
      </c>
      <c r="J554" s="2">
        <v>5</v>
      </c>
      <c r="K554" s="2">
        <v>0</v>
      </c>
      <c r="L554" s="9">
        <f t="shared" si="33"/>
        <v>42812.45</v>
      </c>
      <c r="M554" s="9">
        <f t="shared" si="34"/>
        <v>0</v>
      </c>
      <c r="N554" s="10">
        <f t="shared" si="35"/>
        <v>42812.45</v>
      </c>
      <c r="O554" s="2" t="s">
        <v>17</v>
      </c>
      <c r="P554" s="2" t="s">
        <v>27</v>
      </c>
      <c r="Q554" s="2" t="s">
        <v>19</v>
      </c>
    </row>
    <row r="555" spans="1:17" x14ac:dyDescent="0.25">
      <c r="A555" s="3" t="s">
        <v>888</v>
      </c>
      <c r="B555" s="4">
        <v>45594</v>
      </c>
      <c r="C555" s="4" t="str">
        <f t="shared" si="32"/>
        <v>Oct</v>
      </c>
      <c r="D555" s="3" t="s">
        <v>442</v>
      </c>
      <c r="E555" s="3" t="s">
        <v>100</v>
      </c>
      <c r="F555" s="3" t="s">
        <v>88</v>
      </c>
      <c r="G555" s="3" t="s">
        <v>36</v>
      </c>
      <c r="H555" s="3" t="s">
        <v>121</v>
      </c>
      <c r="I555" s="3">
        <v>92131.38</v>
      </c>
      <c r="J555" s="3">
        <v>2</v>
      </c>
      <c r="K555" s="3">
        <v>0</v>
      </c>
      <c r="L555" s="9">
        <f t="shared" si="33"/>
        <v>184262.76</v>
      </c>
      <c r="M555" s="9">
        <f t="shared" si="34"/>
        <v>0</v>
      </c>
      <c r="N555" s="10">
        <f t="shared" si="35"/>
        <v>184262.76</v>
      </c>
      <c r="O555" s="3" t="s">
        <v>17</v>
      </c>
      <c r="P555" s="3" t="s">
        <v>39</v>
      </c>
      <c r="Q555" s="3" t="s">
        <v>19</v>
      </c>
    </row>
    <row r="556" spans="1:17" x14ac:dyDescent="0.25">
      <c r="A556" s="2" t="s">
        <v>889</v>
      </c>
      <c r="B556" s="4">
        <v>45595</v>
      </c>
      <c r="C556" s="4" t="str">
        <f t="shared" si="32"/>
        <v>Oct</v>
      </c>
      <c r="D556" s="2" t="s">
        <v>890</v>
      </c>
      <c r="E556" s="2" t="s">
        <v>13</v>
      </c>
      <c r="F556" s="2" t="s">
        <v>14</v>
      </c>
      <c r="G556" s="2" t="s">
        <v>36</v>
      </c>
      <c r="H556" s="2" t="s">
        <v>37</v>
      </c>
      <c r="I556" s="2">
        <v>13184.96</v>
      </c>
      <c r="J556" s="2">
        <v>2</v>
      </c>
      <c r="K556" s="2">
        <v>10</v>
      </c>
      <c r="L556" s="9">
        <f t="shared" si="33"/>
        <v>26369.919999999998</v>
      </c>
      <c r="M556" s="9">
        <f t="shared" si="34"/>
        <v>2636.9919999999997</v>
      </c>
      <c r="N556" s="10">
        <f t="shared" si="35"/>
        <v>23732.928</v>
      </c>
      <c r="O556" s="2" t="s">
        <v>38</v>
      </c>
      <c r="P556" s="2" t="s">
        <v>52</v>
      </c>
      <c r="Q556" s="2" t="s">
        <v>19</v>
      </c>
    </row>
    <row r="557" spans="1:17" x14ac:dyDescent="0.25">
      <c r="A557" s="3" t="s">
        <v>891</v>
      </c>
      <c r="B557" s="4">
        <v>45596</v>
      </c>
      <c r="C557" s="4" t="str">
        <f t="shared" si="32"/>
        <v>Oct</v>
      </c>
      <c r="D557" s="3" t="s">
        <v>892</v>
      </c>
      <c r="E557" s="3" t="s">
        <v>76</v>
      </c>
      <c r="F557" s="3" t="s">
        <v>77</v>
      </c>
      <c r="G557" s="3" t="s">
        <v>15</v>
      </c>
      <c r="H557" s="3" t="s">
        <v>56</v>
      </c>
      <c r="I557" s="3">
        <v>1749.67</v>
      </c>
      <c r="J557" s="3">
        <v>1</v>
      </c>
      <c r="K557" s="3">
        <v>5</v>
      </c>
      <c r="L557" s="9">
        <f t="shared" si="33"/>
        <v>1749.67</v>
      </c>
      <c r="M557" s="9">
        <f t="shared" si="34"/>
        <v>87.483500000000006</v>
      </c>
      <c r="N557" s="10">
        <f t="shared" si="35"/>
        <v>1662.1865</v>
      </c>
      <c r="O557" s="3" t="s">
        <v>38</v>
      </c>
      <c r="P557" s="3" t="s">
        <v>18</v>
      </c>
      <c r="Q557" s="3" t="s">
        <v>34</v>
      </c>
    </row>
    <row r="558" spans="1:17" x14ac:dyDescent="0.25">
      <c r="A558" s="2" t="s">
        <v>893</v>
      </c>
      <c r="B558" s="4">
        <v>45597</v>
      </c>
      <c r="C558" s="4" t="str">
        <f t="shared" si="32"/>
        <v>Nov</v>
      </c>
      <c r="D558" s="2" t="s">
        <v>64</v>
      </c>
      <c r="E558" s="2" t="s">
        <v>83</v>
      </c>
      <c r="F558" s="2" t="s">
        <v>84</v>
      </c>
      <c r="G558" s="2" t="s">
        <v>36</v>
      </c>
      <c r="H558" s="2" t="s">
        <v>338</v>
      </c>
      <c r="I558" s="2">
        <v>64620.62</v>
      </c>
      <c r="J558" s="2">
        <v>1</v>
      </c>
      <c r="K558" s="2">
        <v>5</v>
      </c>
      <c r="L558" s="9">
        <f t="shared" si="33"/>
        <v>64620.62</v>
      </c>
      <c r="M558" s="9">
        <f t="shared" si="34"/>
        <v>3231.0310000000004</v>
      </c>
      <c r="N558" s="10">
        <f t="shared" si="35"/>
        <v>61389.589</v>
      </c>
      <c r="O558" s="2" t="s">
        <v>38</v>
      </c>
      <c r="P558" s="2" t="s">
        <v>18</v>
      </c>
      <c r="Q558" s="2" t="s">
        <v>19</v>
      </c>
    </row>
    <row r="559" spans="1:17" x14ac:dyDescent="0.25">
      <c r="A559" s="3" t="s">
        <v>894</v>
      </c>
      <c r="B559" s="4">
        <v>45598</v>
      </c>
      <c r="C559" s="4" t="str">
        <f t="shared" si="32"/>
        <v>Nov</v>
      </c>
      <c r="D559" s="3" t="s">
        <v>94</v>
      </c>
      <c r="E559" s="3" t="s">
        <v>51</v>
      </c>
      <c r="F559" s="3" t="s">
        <v>14</v>
      </c>
      <c r="G559" s="3" t="s">
        <v>110</v>
      </c>
      <c r="H559" s="3" t="s">
        <v>207</v>
      </c>
      <c r="I559" s="3">
        <v>7835.81</v>
      </c>
      <c r="J559" s="3">
        <v>5</v>
      </c>
      <c r="K559" s="3">
        <v>15</v>
      </c>
      <c r="L559" s="9">
        <f t="shared" si="33"/>
        <v>39179.050000000003</v>
      </c>
      <c r="M559" s="9">
        <f t="shared" si="34"/>
        <v>5876.8575000000001</v>
      </c>
      <c r="N559" s="10">
        <f t="shared" si="35"/>
        <v>33302.192500000005</v>
      </c>
      <c r="O559" s="3" t="s">
        <v>33</v>
      </c>
      <c r="P559" s="3" t="s">
        <v>27</v>
      </c>
      <c r="Q559" s="3" t="s">
        <v>19</v>
      </c>
    </row>
    <row r="560" spans="1:17" x14ac:dyDescent="0.25">
      <c r="A560" s="2" t="s">
        <v>895</v>
      </c>
      <c r="B560" s="4">
        <v>45599</v>
      </c>
      <c r="C560" s="4" t="str">
        <f t="shared" si="32"/>
        <v>Nov</v>
      </c>
      <c r="D560" s="2" t="s">
        <v>618</v>
      </c>
      <c r="E560" s="2" t="s">
        <v>29</v>
      </c>
      <c r="F560" s="2" t="s">
        <v>30</v>
      </c>
      <c r="G560" s="2" t="s">
        <v>72</v>
      </c>
      <c r="H560" s="2" t="s">
        <v>137</v>
      </c>
      <c r="I560" s="2">
        <v>2094.25</v>
      </c>
      <c r="J560" s="2">
        <v>5</v>
      </c>
      <c r="K560" s="2">
        <v>10</v>
      </c>
      <c r="L560" s="9">
        <f t="shared" si="33"/>
        <v>10471.25</v>
      </c>
      <c r="M560" s="9">
        <f t="shared" si="34"/>
        <v>1047.125</v>
      </c>
      <c r="N560" s="10">
        <f t="shared" si="35"/>
        <v>9424.125</v>
      </c>
      <c r="O560" s="2" t="s">
        <v>38</v>
      </c>
      <c r="P560" s="2" t="s">
        <v>18</v>
      </c>
      <c r="Q560" s="2" t="s">
        <v>19</v>
      </c>
    </row>
    <row r="561" spans="1:17" x14ac:dyDescent="0.25">
      <c r="A561" s="3" t="s">
        <v>896</v>
      </c>
      <c r="B561" s="4">
        <v>45600</v>
      </c>
      <c r="C561" s="4" t="str">
        <f t="shared" si="32"/>
        <v>Nov</v>
      </c>
      <c r="D561" s="3" t="s">
        <v>700</v>
      </c>
      <c r="E561" s="3" t="s">
        <v>76</v>
      </c>
      <c r="F561" s="3" t="s">
        <v>77</v>
      </c>
      <c r="G561" s="3" t="s">
        <v>43</v>
      </c>
      <c r="H561" s="3" t="s">
        <v>127</v>
      </c>
      <c r="I561" s="3">
        <v>5922.03</v>
      </c>
      <c r="J561" s="3">
        <v>2</v>
      </c>
      <c r="K561" s="3">
        <v>0</v>
      </c>
      <c r="L561" s="9">
        <f t="shared" si="33"/>
        <v>11844.06</v>
      </c>
      <c r="M561" s="9">
        <f t="shared" si="34"/>
        <v>0</v>
      </c>
      <c r="N561" s="10">
        <f t="shared" si="35"/>
        <v>11844.06</v>
      </c>
      <c r="O561" s="3" t="s">
        <v>38</v>
      </c>
      <c r="P561" s="3" t="s">
        <v>18</v>
      </c>
      <c r="Q561" s="3" t="s">
        <v>40</v>
      </c>
    </row>
    <row r="562" spans="1:17" x14ac:dyDescent="0.25">
      <c r="A562" s="2" t="s">
        <v>897</v>
      </c>
      <c r="B562" s="4">
        <v>45601</v>
      </c>
      <c r="C562" s="4" t="str">
        <f t="shared" si="32"/>
        <v>Nov</v>
      </c>
      <c r="D562" s="2" t="s">
        <v>645</v>
      </c>
      <c r="E562" s="2" t="s">
        <v>22</v>
      </c>
      <c r="F562" s="2" t="s">
        <v>23</v>
      </c>
      <c r="G562" s="2" t="s">
        <v>15</v>
      </c>
      <c r="H562" s="2" t="s">
        <v>163</v>
      </c>
      <c r="I562" s="2">
        <v>2649.78</v>
      </c>
      <c r="J562" s="2">
        <v>4</v>
      </c>
      <c r="K562" s="2">
        <v>10</v>
      </c>
      <c r="L562" s="9">
        <f t="shared" si="33"/>
        <v>10599.12</v>
      </c>
      <c r="M562" s="9">
        <f t="shared" si="34"/>
        <v>1059.912</v>
      </c>
      <c r="N562" s="10">
        <f t="shared" si="35"/>
        <v>9539.2080000000005</v>
      </c>
      <c r="O562" s="2" t="s">
        <v>68</v>
      </c>
      <c r="P562" s="2" t="s">
        <v>18</v>
      </c>
      <c r="Q562" s="2" t="s">
        <v>34</v>
      </c>
    </row>
    <row r="563" spans="1:17" x14ac:dyDescent="0.25">
      <c r="A563" s="3" t="s">
        <v>898</v>
      </c>
      <c r="B563" s="4">
        <v>45602</v>
      </c>
      <c r="C563" s="4" t="str">
        <f t="shared" si="32"/>
        <v>Nov</v>
      </c>
      <c r="D563" s="3" t="s">
        <v>246</v>
      </c>
      <c r="E563" s="3" t="s">
        <v>13</v>
      </c>
      <c r="F563" s="3" t="s">
        <v>14</v>
      </c>
      <c r="G563" s="3" t="s">
        <v>15</v>
      </c>
      <c r="H563" s="3" t="s">
        <v>163</v>
      </c>
      <c r="I563" s="3">
        <v>2595.0100000000002</v>
      </c>
      <c r="J563" s="3">
        <v>3</v>
      </c>
      <c r="K563" s="3">
        <v>10</v>
      </c>
      <c r="L563" s="9">
        <f t="shared" si="33"/>
        <v>7785.0300000000007</v>
      </c>
      <c r="M563" s="9">
        <f t="shared" si="34"/>
        <v>778.50300000000004</v>
      </c>
      <c r="N563" s="10">
        <f t="shared" si="35"/>
        <v>7006.527000000001</v>
      </c>
      <c r="O563" s="3" t="s">
        <v>38</v>
      </c>
      <c r="P563" s="3" t="s">
        <v>18</v>
      </c>
      <c r="Q563" s="3" t="s">
        <v>19</v>
      </c>
    </row>
    <row r="564" spans="1:17" x14ac:dyDescent="0.25">
      <c r="A564" s="2" t="s">
        <v>899</v>
      </c>
      <c r="B564" s="4">
        <v>45603</v>
      </c>
      <c r="C564" s="4" t="str">
        <f t="shared" si="32"/>
        <v>Nov</v>
      </c>
      <c r="D564" s="2" t="s">
        <v>687</v>
      </c>
      <c r="E564" s="2" t="s">
        <v>22</v>
      </c>
      <c r="F564" s="2" t="s">
        <v>23</v>
      </c>
      <c r="G564" s="2" t="s">
        <v>15</v>
      </c>
      <c r="H564" s="2" t="s">
        <v>16</v>
      </c>
      <c r="I564" s="2">
        <v>1452.41</v>
      </c>
      <c r="J564" s="2">
        <v>5</v>
      </c>
      <c r="K564" s="2">
        <v>0</v>
      </c>
      <c r="L564" s="9">
        <f t="shared" si="33"/>
        <v>7262.05</v>
      </c>
      <c r="M564" s="9">
        <f t="shared" si="34"/>
        <v>0</v>
      </c>
      <c r="N564" s="10">
        <f t="shared" si="35"/>
        <v>7262.05</v>
      </c>
      <c r="O564" s="2" t="s">
        <v>68</v>
      </c>
      <c r="P564" s="2" t="s">
        <v>39</v>
      </c>
      <c r="Q564" s="2" t="s">
        <v>53</v>
      </c>
    </row>
    <row r="565" spans="1:17" x14ac:dyDescent="0.25">
      <c r="A565" s="3" t="s">
        <v>900</v>
      </c>
      <c r="B565" s="4">
        <v>45604</v>
      </c>
      <c r="C565" s="4" t="str">
        <f t="shared" si="32"/>
        <v>Nov</v>
      </c>
      <c r="D565" s="3" t="s">
        <v>736</v>
      </c>
      <c r="E565" s="3" t="s">
        <v>76</v>
      </c>
      <c r="F565" s="3" t="s">
        <v>77</v>
      </c>
      <c r="G565" s="3" t="s">
        <v>43</v>
      </c>
      <c r="H565" s="3" t="s">
        <v>44</v>
      </c>
      <c r="I565" s="3">
        <v>3601.96</v>
      </c>
      <c r="J565" s="3">
        <v>4</v>
      </c>
      <c r="K565" s="3">
        <v>0</v>
      </c>
      <c r="L565" s="9">
        <f t="shared" si="33"/>
        <v>14407.84</v>
      </c>
      <c r="M565" s="9">
        <f t="shared" si="34"/>
        <v>0</v>
      </c>
      <c r="N565" s="10">
        <f t="shared" si="35"/>
        <v>14407.84</v>
      </c>
      <c r="O565" s="3" t="s">
        <v>33</v>
      </c>
      <c r="P565" s="3" t="s">
        <v>39</v>
      </c>
      <c r="Q565" s="3" t="s">
        <v>19</v>
      </c>
    </row>
    <row r="566" spans="1:17" x14ac:dyDescent="0.25">
      <c r="A566" s="2" t="s">
        <v>901</v>
      </c>
      <c r="B566" s="4">
        <v>45605</v>
      </c>
      <c r="C566" s="4" t="str">
        <f t="shared" si="32"/>
        <v>Nov</v>
      </c>
      <c r="D566" s="2" t="s">
        <v>55</v>
      </c>
      <c r="E566" s="2" t="s">
        <v>13</v>
      </c>
      <c r="F566" s="2" t="s">
        <v>14</v>
      </c>
      <c r="G566" s="2" t="s">
        <v>72</v>
      </c>
      <c r="H566" s="2" t="s">
        <v>73</v>
      </c>
      <c r="I566" s="2">
        <v>335.95</v>
      </c>
      <c r="J566" s="2">
        <v>3</v>
      </c>
      <c r="K566" s="2">
        <v>10</v>
      </c>
      <c r="L566" s="9">
        <f t="shared" si="33"/>
        <v>1007.8499999999999</v>
      </c>
      <c r="M566" s="9">
        <f t="shared" si="34"/>
        <v>100.785</v>
      </c>
      <c r="N566" s="10">
        <f t="shared" si="35"/>
        <v>907.06499999999994</v>
      </c>
      <c r="O566" s="2" t="s">
        <v>17</v>
      </c>
      <c r="P566" s="2" t="s">
        <v>18</v>
      </c>
      <c r="Q566" s="2" t="s">
        <v>53</v>
      </c>
    </row>
    <row r="567" spans="1:17" x14ac:dyDescent="0.25">
      <c r="A567" s="3" t="s">
        <v>902</v>
      </c>
      <c r="B567" s="4">
        <v>45606</v>
      </c>
      <c r="C567" s="4" t="str">
        <f t="shared" si="32"/>
        <v>Nov</v>
      </c>
      <c r="D567" s="3" t="s">
        <v>680</v>
      </c>
      <c r="E567" s="3" t="s">
        <v>87</v>
      </c>
      <c r="F567" s="3" t="s">
        <v>88</v>
      </c>
      <c r="G567" s="3" t="s">
        <v>36</v>
      </c>
      <c r="H567" s="3" t="s">
        <v>49</v>
      </c>
      <c r="I567" s="3">
        <v>143413.79999999999</v>
      </c>
      <c r="J567" s="3">
        <v>1</v>
      </c>
      <c r="K567" s="3">
        <v>0</v>
      </c>
      <c r="L567" s="9">
        <f t="shared" si="33"/>
        <v>143413.79999999999</v>
      </c>
      <c r="M567" s="9">
        <f t="shared" si="34"/>
        <v>0</v>
      </c>
      <c r="N567" s="10">
        <f t="shared" si="35"/>
        <v>143413.79999999999</v>
      </c>
      <c r="O567" s="3" t="s">
        <v>33</v>
      </c>
      <c r="P567" s="3" t="s">
        <v>27</v>
      </c>
      <c r="Q567" s="3" t="s">
        <v>19</v>
      </c>
    </row>
    <row r="568" spans="1:17" x14ac:dyDescent="0.25">
      <c r="A568" s="2" t="s">
        <v>903</v>
      </c>
      <c r="B568" s="4">
        <v>45607</v>
      </c>
      <c r="C568" s="4" t="str">
        <f t="shared" si="32"/>
        <v>Nov</v>
      </c>
      <c r="D568" s="2" t="s">
        <v>115</v>
      </c>
      <c r="E568" s="2" t="s">
        <v>65</v>
      </c>
      <c r="F568" s="2" t="s">
        <v>66</v>
      </c>
      <c r="G568" s="2" t="s">
        <v>24</v>
      </c>
      <c r="H568" s="2" t="s">
        <v>59</v>
      </c>
      <c r="I568" s="2">
        <v>4616.84</v>
      </c>
      <c r="J568" s="2">
        <v>3</v>
      </c>
      <c r="K568" s="2">
        <v>0</v>
      </c>
      <c r="L568" s="9">
        <f t="shared" si="33"/>
        <v>13850.52</v>
      </c>
      <c r="M568" s="9">
        <f t="shared" si="34"/>
        <v>0</v>
      </c>
      <c r="N568" s="10">
        <f t="shared" si="35"/>
        <v>13850.52</v>
      </c>
      <c r="O568" s="2" t="s">
        <v>38</v>
      </c>
      <c r="P568" s="2" t="s">
        <v>27</v>
      </c>
      <c r="Q568" s="2" t="s">
        <v>40</v>
      </c>
    </row>
    <row r="569" spans="1:17" x14ac:dyDescent="0.25">
      <c r="A569" s="3" t="s">
        <v>904</v>
      </c>
      <c r="B569" s="4">
        <v>45608</v>
      </c>
      <c r="C569" s="4" t="str">
        <f t="shared" si="32"/>
        <v>Nov</v>
      </c>
      <c r="D569" s="3" t="s">
        <v>281</v>
      </c>
      <c r="E569" s="3" t="s">
        <v>76</v>
      </c>
      <c r="F569" s="3" t="s">
        <v>77</v>
      </c>
      <c r="G569" s="3" t="s">
        <v>24</v>
      </c>
      <c r="H569" s="3" t="s">
        <v>108</v>
      </c>
      <c r="I569" s="3">
        <v>7923.05</v>
      </c>
      <c r="J569" s="3">
        <v>3</v>
      </c>
      <c r="K569" s="3">
        <v>0</v>
      </c>
      <c r="L569" s="9">
        <f t="shared" si="33"/>
        <v>23769.15</v>
      </c>
      <c r="M569" s="9">
        <f t="shared" si="34"/>
        <v>0</v>
      </c>
      <c r="N569" s="10">
        <f t="shared" si="35"/>
        <v>23769.15</v>
      </c>
      <c r="O569" s="3" t="s">
        <v>17</v>
      </c>
      <c r="P569" s="3" t="s">
        <v>18</v>
      </c>
      <c r="Q569" s="3" t="s">
        <v>53</v>
      </c>
    </row>
    <row r="570" spans="1:17" x14ac:dyDescent="0.25">
      <c r="A570" s="2" t="s">
        <v>905</v>
      </c>
      <c r="B570" s="4">
        <v>45609</v>
      </c>
      <c r="C570" s="4" t="str">
        <f t="shared" si="32"/>
        <v>Nov</v>
      </c>
      <c r="D570" s="2" t="s">
        <v>351</v>
      </c>
      <c r="E570" s="2" t="s">
        <v>51</v>
      </c>
      <c r="F570" s="2" t="s">
        <v>14</v>
      </c>
      <c r="G570" s="2" t="s">
        <v>36</v>
      </c>
      <c r="H570" s="2" t="s">
        <v>37</v>
      </c>
      <c r="I570" s="2">
        <v>12014.39</v>
      </c>
      <c r="J570" s="2">
        <v>4</v>
      </c>
      <c r="K570" s="2">
        <v>5</v>
      </c>
      <c r="L570" s="9">
        <f t="shared" si="33"/>
        <v>48057.56</v>
      </c>
      <c r="M570" s="9">
        <f t="shared" si="34"/>
        <v>2402.8779999999997</v>
      </c>
      <c r="N570" s="10">
        <f t="shared" si="35"/>
        <v>45654.682000000001</v>
      </c>
      <c r="O570" s="2" t="s">
        <v>26</v>
      </c>
      <c r="P570" s="2" t="s">
        <v>18</v>
      </c>
      <c r="Q570" s="2" t="s">
        <v>34</v>
      </c>
    </row>
    <row r="571" spans="1:17" x14ac:dyDescent="0.25">
      <c r="A571" s="3" t="s">
        <v>906</v>
      </c>
      <c r="B571" s="4">
        <v>45610</v>
      </c>
      <c r="C571" s="4" t="str">
        <f t="shared" si="32"/>
        <v>Nov</v>
      </c>
      <c r="D571" s="3" t="s">
        <v>572</v>
      </c>
      <c r="E571" s="3" t="s">
        <v>47</v>
      </c>
      <c r="F571" s="3" t="s">
        <v>48</v>
      </c>
      <c r="G571" s="3" t="s">
        <v>72</v>
      </c>
      <c r="H571" s="3" t="s">
        <v>137</v>
      </c>
      <c r="I571" s="3">
        <v>2043.05</v>
      </c>
      <c r="J571" s="3">
        <v>1</v>
      </c>
      <c r="K571" s="3">
        <v>5</v>
      </c>
      <c r="L571" s="9">
        <f t="shared" si="33"/>
        <v>2043.05</v>
      </c>
      <c r="M571" s="9">
        <f t="shared" si="34"/>
        <v>102.1525</v>
      </c>
      <c r="N571" s="10">
        <f t="shared" si="35"/>
        <v>1940.8975</v>
      </c>
      <c r="O571" s="3" t="s">
        <v>26</v>
      </c>
      <c r="P571" s="3" t="s">
        <v>18</v>
      </c>
      <c r="Q571" s="3" t="s">
        <v>40</v>
      </c>
    </row>
    <row r="572" spans="1:17" x14ac:dyDescent="0.25">
      <c r="A572" s="2" t="s">
        <v>907</v>
      </c>
      <c r="B572" s="4">
        <v>45611</v>
      </c>
      <c r="C572" s="4" t="str">
        <f t="shared" si="32"/>
        <v>Nov</v>
      </c>
      <c r="D572" s="2" t="s">
        <v>908</v>
      </c>
      <c r="E572" s="2" t="s">
        <v>83</v>
      </c>
      <c r="F572" s="2" t="s">
        <v>84</v>
      </c>
      <c r="G572" s="2" t="s">
        <v>36</v>
      </c>
      <c r="H572" s="2" t="s">
        <v>78</v>
      </c>
      <c r="I572" s="2">
        <v>81786.679999999993</v>
      </c>
      <c r="J572" s="2">
        <v>1</v>
      </c>
      <c r="K572" s="2">
        <v>0</v>
      </c>
      <c r="L572" s="9">
        <f t="shared" si="33"/>
        <v>81786.679999999993</v>
      </c>
      <c r="M572" s="9">
        <f t="shared" si="34"/>
        <v>0</v>
      </c>
      <c r="N572" s="10">
        <f t="shared" si="35"/>
        <v>81786.679999999993</v>
      </c>
      <c r="O572" s="2" t="s">
        <v>17</v>
      </c>
      <c r="P572" s="2" t="s">
        <v>39</v>
      </c>
      <c r="Q572" s="2" t="s">
        <v>40</v>
      </c>
    </row>
    <row r="573" spans="1:17" x14ac:dyDescent="0.25">
      <c r="A573" s="3" t="s">
        <v>909</v>
      </c>
      <c r="B573" s="4">
        <v>45612</v>
      </c>
      <c r="C573" s="4" t="str">
        <f t="shared" si="32"/>
        <v>Nov</v>
      </c>
      <c r="D573" s="3" t="s">
        <v>359</v>
      </c>
      <c r="E573" s="3" t="s">
        <v>22</v>
      </c>
      <c r="F573" s="3" t="s">
        <v>23</v>
      </c>
      <c r="G573" s="3" t="s">
        <v>110</v>
      </c>
      <c r="H573" s="3" t="s">
        <v>215</v>
      </c>
      <c r="I573" s="3">
        <v>2261.2399999999998</v>
      </c>
      <c r="J573" s="3">
        <v>3</v>
      </c>
      <c r="K573" s="3">
        <v>0</v>
      </c>
      <c r="L573" s="9">
        <f t="shared" si="33"/>
        <v>6783.7199999999993</v>
      </c>
      <c r="M573" s="9">
        <f t="shared" si="34"/>
        <v>0</v>
      </c>
      <c r="N573" s="10">
        <f t="shared" si="35"/>
        <v>6783.7199999999993</v>
      </c>
      <c r="O573" s="3" t="s">
        <v>26</v>
      </c>
      <c r="P573" s="3" t="s">
        <v>18</v>
      </c>
      <c r="Q573" s="3" t="s">
        <v>53</v>
      </c>
    </row>
    <row r="574" spans="1:17" x14ac:dyDescent="0.25">
      <c r="A574" s="2" t="s">
        <v>910</v>
      </c>
      <c r="B574" s="4">
        <v>45613</v>
      </c>
      <c r="C574" s="4" t="str">
        <f t="shared" si="32"/>
        <v>Nov</v>
      </c>
      <c r="D574" s="2" t="s">
        <v>579</v>
      </c>
      <c r="E574" s="2" t="s">
        <v>83</v>
      </c>
      <c r="F574" s="2" t="s">
        <v>84</v>
      </c>
      <c r="G574" s="2" t="s">
        <v>31</v>
      </c>
      <c r="H574" s="2" t="s">
        <v>70</v>
      </c>
      <c r="I574" s="2">
        <v>620.53</v>
      </c>
      <c r="J574" s="2">
        <v>3</v>
      </c>
      <c r="K574" s="2">
        <v>0</v>
      </c>
      <c r="L574" s="9">
        <f t="shared" si="33"/>
        <v>1861.59</v>
      </c>
      <c r="M574" s="9">
        <f t="shared" si="34"/>
        <v>0</v>
      </c>
      <c r="N574" s="10">
        <f t="shared" si="35"/>
        <v>1861.59</v>
      </c>
      <c r="O574" s="2" t="s">
        <v>26</v>
      </c>
      <c r="P574" s="2" t="s">
        <v>18</v>
      </c>
      <c r="Q574" s="2" t="s">
        <v>40</v>
      </c>
    </row>
    <row r="575" spans="1:17" x14ac:dyDescent="0.25">
      <c r="A575" s="3" t="s">
        <v>911</v>
      </c>
      <c r="B575" s="4">
        <v>45614</v>
      </c>
      <c r="C575" s="4" t="str">
        <f t="shared" si="32"/>
        <v>Nov</v>
      </c>
      <c r="D575" s="3" t="s">
        <v>275</v>
      </c>
      <c r="E575" s="3" t="s">
        <v>83</v>
      </c>
      <c r="F575" s="3" t="s">
        <v>84</v>
      </c>
      <c r="G575" s="3" t="s">
        <v>36</v>
      </c>
      <c r="H575" s="3" t="s">
        <v>49</v>
      </c>
      <c r="I575" s="3">
        <v>151275.85999999999</v>
      </c>
      <c r="J575" s="3">
        <v>5</v>
      </c>
      <c r="K575" s="3">
        <v>10</v>
      </c>
      <c r="L575" s="9">
        <f t="shared" si="33"/>
        <v>756379.29999999993</v>
      </c>
      <c r="M575" s="9">
        <f t="shared" si="34"/>
        <v>75637.929999999993</v>
      </c>
      <c r="N575" s="10">
        <f t="shared" si="35"/>
        <v>680741.36999999988</v>
      </c>
      <c r="O575" s="3" t="s">
        <v>38</v>
      </c>
      <c r="P575" s="3" t="s">
        <v>18</v>
      </c>
      <c r="Q575" s="3" t="s">
        <v>34</v>
      </c>
    </row>
    <row r="576" spans="1:17" x14ac:dyDescent="0.25">
      <c r="A576" s="2" t="s">
        <v>912</v>
      </c>
      <c r="B576" s="4">
        <v>45615</v>
      </c>
      <c r="C576" s="4" t="str">
        <f t="shared" si="32"/>
        <v>Nov</v>
      </c>
      <c r="D576" s="2" t="s">
        <v>200</v>
      </c>
      <c r="E576" s="2" t="s">
        <v>22</v>
      </c>
      <c r="F576" s="2" t="s">
        <v>23</v>
      </c>
      <c r="G576" s="2" t="s">
        <v>31</v>
      </c>
      <c r="H576" s="2" t="s">
        <v>242</v>
      </c>
      <c r="I576" s="2">
        <v>970.6</v>
      </c>
      <c r="J576" s="2">
        <v>5</v>
      </c>
      <c r="K576" s="2">
        <v>5</v>
      </c>
      <c r="L576" s="9">
        <f t="shared" si="33"/>
        <v>4853</v>
      </c>
      <c r="M576" s="9">
        <f t="shared" si="34"/>
        <v>242.65</v>
      </c>
      <c r="N576" s="10">
        <f t="shared" si="35"/>
        <v>4610.3500000000004</v>
      </c>
      <c r="O576" s="2" t="s">
        <v>68</v>
      </c>
      <c r="P576" s="2" t="s">
        <v>18</v>
      </c>
      <c r="Q576" s="2" t="s">
        <v>40</v>
      </c>
    </row>
    <row r="577" spans="1:17" x14ac:dyDescent="0.25">
      <c r="A577" s="3" t="s">
        <v>913</v>
      </c>
      <c r="B577" s="4">
        <v>45616</v>
      </c>
      <c r="C577" s="4" t="str">
        <f t="shared" si="32"/>
        <v>Nov</v>
      </c>
      <c r="D577" s="3" t="s">
        <v>194</v>
      </c>
      <c r="E577" s="3" t="s">
        <v>22</v>
      </c>
      <c r="F577" s="3" t="s">
        <v>23</v>
      </c>
      <c r="G577" s="3" t="s">
        <v>43</v>
      </c>
      <c r="H577" s="3" t="s">
        <v>44</v>
      </c>
      <c r="I577" s="3">
        <v>3210.28</v>
      </c>
      <c r="J577" s="3">
        <v>4</v>
      </c>
      <c r="K577" s="3">
        <v>10</v>
      </c>
      <c r="L577" s="9">
        <f t="shared" si="33"/>
        <v>12841.12</v>
      </c>
      <c r="M577" s="9">
        <f t="shared" si="34"/>
        <v>1284.1120000000001</v>
      </c>
      <c r="N577" s="10">
        <f t="shared" si="35"/>
        <v>11557.008000000002</v>
      </c>
      <c r="O577" s="3" t="s">
        <v>17</v>
      </c>
      <c r="P577" s="3" t="s">
        <v>52</v>
      </c>
      <c r="Q577" s="3" t="s">
        <v>60</v>
      </c>
    </row>
    <row r="578" spans="1:17" x14ac:dyDescent="0.25">
      <c r="A578" s="2" t="s">
        <v>914</v>
      </c>
      <c r="B578" s="4">
        <v>45617</v>
      </c>
      <c r="C578" s="4" t="str">
        <f t="shared" ref="C578:C641" si="36">TEXT(B578,"mmm")</f>
        <v>Nov</v>
      </c>
      <c r="D578" s="2" t="s">
        <v>311</v>
      </c>
      <c r="E578" s="2" t="s">
        <v>87</v>
      </c>
      <c r="F578" s="2" t="s">
        <v>88</v>
      </c>
      <c r="G578" s="2" t="s">
        <v>72</v>
      </c>
      <c r="H578" s="2" t="s">
        <v>102</v>
      </c>
      <c r="I578" s="2">
        <v>677.68</v>
      </c>
      <c r="J578" s="2">
        <v>5</v>
      </c>
      <c r="K578" s="2">
        <v>0</v>
      </c>
      <c r="L578" s="9">
        <f t="shared" ref="L578:L641" si="37">J578*I578</f>
        <v>3388.3999999999996</v>
      </c>
      <c r="M578" s="9">
        <f t="shared" ref="M578:M641" si="38">L578*K578/100</f>
        <v>0</v>
      </c>
      <c r="N578" s="10">
        <f t="shared" ref="N578:N641" si="39">L578-M578</f>
        <v>3388.3999999999996</v>
      </c>
      <c r="O578" s="2" t="s">
        <v>33</v>
      </c>
      <c r="P578" s="2" t="s">
        <v>52</v>
      </c>
      <c r="Q578" s="2" t="s">
        <v>53</v>
      </c>
    </row>
    <row r="579" spans="1:17" x14ac:dyDescent="0.25">
      <c r="A579" s="3" t="s">
        <v>915</v>
      </c>
      <c r="B579" s="4">
        <v>45618</v>
      </c>
      <c r="C579" s="4" t="str">
        <f t="shared" si="36"/>
        <v>Nov</v>
      </c>
      <c r="D579" s="3" t="s">
        <v>107</v>
      </c>
      <c r="E579" s="3" t="s">
        <v>22</v>
      </c>
      <c r="F579" s="3" t="s">
        <v>23</v>
      </c>
      <c r="G579" s="3" t="s">
        <v>43</v>
      </c>
      <c r="H579" s="3" t="s">
        <v>105</v>
      </c>
      <c r="I579" s="3">
        <v>2903.31</v>
      </c>
      <c r="J579" s="3">
        <v>4</v>
      </c>
      <c r="K579" s="3">
        <v>10</v>
      </c>
      <c r="L579" s="9">
        <f t="shared" si="37"/>
        <v>11613.24</v>
      </c>
      <c r="M579" s="9">
        <f t="shared" si="38"/>
        <v>1161.3239999999998</v>
      </c>
      <c r="N579" s="10">
        <f t="shared" si="39"/>
        <v>10451.915999999999</v>
      </c>
      <c r="O579" s="3" t="s">
        <v>26</v>
      </c>
      <c r="P579" s="3" t="s">
        <v>18</v>
      </c>
      <c r="Q579" s="3" t="s">
        <v>53</v>
      </c>
    </row>
    <row r="580" spans="1:17" x14ac:dyDescent="0.25">
      <c r="A580" s="2" t="s">
        <v>916</v>
      </c>
      <c r="B580" s="4">
        <v>45619</v>
      </c>
      <c r="C580" s="4" t="str">
        <f t="shared" si="36"/>
        <v>Nov</v>
      </c>
      <c r="D580" s="2" t="s">
        <v>917</v>
      </c>
      <c r="E580" s="2" t="s">
        <v>65</v>
      </c>
      <c r="F580" s="2" t="s">
        <v>66</v>
      </c>
      <c r="G580" s="2" t="s">
        <v>24</v>
      </c>
      <c r="H580" s="2" t="s">
        <v>170</v>
      </c>
      <c r="I580" s="2">
        <v>1300.1400000000001</v>
      </c>
      <c r="J580" s="2">
        <v>3</v>
      </c>
      <c r="K580" s="2">
        <v>0</v>
      </c>
      <c r="L580" s="9">
        <f t="shared" si="37"/>
        <v>3900.42</v>
      </c>
      <c r="M580" s="9">
        <f t="shared" si="38"/>
        <v>0</v>
      </c>
      <c r="N580" s="10">
        <f t="shared" si="39"/>
        <v>3900.42</v>
      </c>
      <c r="O580" s="2" t="s">
        <v>33</v>
      </c>
      <c r="P580" s="2" t="s">
        <v>18</v>
      </c>
      <c r="Q580" s="2" t="s">
        <v>40</v>
      </c>
    </row>
    <row r="581" spans="1:17" x14ac:dyDescent="0.25">
      <c r="A581" s="3" t="s">
        <v>918</v>
      </c>
      <c r="B581" s="4">
        <v>45620</v>
      </c>
      <c r="C581" s="4" t="str">
        <f t="shared" si="36"/>
        <v>Nov</v>
      </c>
      <c r="D581" s="3" t="s">
        <v>919</v>
      </c>
      <c r="E581" s="3" t="s">
        <v>87</v>
      </c>
      <c r="F581" s="3" t="s">
        <v>88</v>
      </c>
      <c r="G581" s="3" t="s">
        <v>43</v>
      </c>
      <c r="H581" s="3" t="s">
        <v>145</v>
      </c>
      <c r="I581" s="3">
        <v>12829.84</v>
      </c>
      <c r="J581" s="3">
        <v>3</v>
      </c>
      <c r="K581" s="3">
        <v>10</v>
      </c>
      <c r="L581" s="9">
        <f t="shared" si="37"/>
        <v>38489.520000000004</v>
      </c>
      <c r="M581" s="9">
        <f t="shared" si="38"/>
        <v>3848.9520000000007</v>
      </c>
      <c r="N581" s="10">
        <f t="shared" si="39"/>
        <v>34640.568000000007</v>
      </c>
      <c r="O581" s="3" t="s">
        <v>17</v>
      </c>
      <c r="P581" s="3" t="s">
        <v>52</v>
      </c>
      <c r="Q581" s="3" t="s">
        <v>53</v>
      </c>
    </row>
    <row r="582" spans="1:17" x14ac:dyDescent="0.25">
      <c r="A582" s="2" t="s">
        <v>920</v>
      </c>
      <c r="B582" s="4">
        <v>45621</v>
      </c>
      <c r="C582" s="4" t="str">
        <f t="shared" si="36"/>
        <v>Nov</v>
      </c>
      <c r="D582" s="2" t="s">
        <v>139</v>
      </c>
      <c r="E582" s="2" t="s">
        <v>22</v>
      </c>
      <c r="F582" s="2" t="s">
        <v>23</v>
      </c>
      <c r="G582" s="2" t="s">
        <v>31</v>
      </c>
      <c r="H582" s="2" t="s">
        <v>242</v>
      </c>
      <c r="I582" s="2">
        <v>926.9</v>
      </c>
      <c r="J582" s="2">
        <v>3</v>
      </c>
      <c r="K582" s="2">
        <v>5</v>
      </c>
      <c r="L582" s="9">
        <f t="shared" si="37"/>
        <v>2780.7</v>
      </c>
      <c r="M582" s="9">
        <f t="shared" si="38"/>
        <v>139.035</v>
      </c>
      <c r="N582" s="10">
        <f t="shared" si="39"/>
        <v>2641.665</v>
      </c>
      <c r="O582" s="2" t="s">
        <v>33</v>
      </c>
      <c r="P582" s="2" t="s">
        <v>18</v>
      </c>
      <c r="Q582" s="2" t="s">
        <v>19</v>
      </c>
    </row>
    <row r="583" spans="1:17" x14ac:dyDescent="0.25">
      <c r="A583" s="3" t="s">
        <v>921</v>
      </c>
      <c r="B583" s="4">
        <v>45622</v>
      </c>
      <c r="C583" s="4" t="str">
        <f t="shared" si="36"/>
        <v>Nov</v>
      </c>
      <c r="D583" s="3" t="s">
        <v>268</v>
      </c>
      <c r="E583" s="3" t="s">
        <v>51</v>
      </c>
      <c r="F583" s="3" t="s">
        <v>14</v>
      </c>
      <c r="G583" s="3" t="s">
        <v>110</v>
      </c>
      <c r="H583" s="3" t="s">
        <v>153</v>
      </c>
      <c r="I583" s="3">
        <v>3831.72</v>
      </c>
      <c r="J583" s="3">
        <v>4</v>
      </c>
      <c r="K583" s="3">
        <v>5</v>
      </c>
      <c r="L583" s="9">
        <f t="shared" si="37"/>
        <v>15326.88</v>
      </c>
      <c r="M583" s="9">
        <f t="shared" si="38"/>
        <v>766.34399999999994</v>
      </c>
      <c r="N583" s="10">
        <f t="shared" si="39"/>
        <v>14560.536</v>
      </c>
      <c r="O583" s="3" t="s">
        <v>38</v>
      </c>
      <c r="P583" s="3" t="s">
        <v>18</v>
      </c>
      <c r="Q583" s="3" t="s">
        <v>19</v>
      </c>
    </row>
    <row r="584" spans="1:17" x14ac:dyDescent="0.25">
      <c r="A584" s="2" t="s">
        <v>922</v>
      </c>
      <c r="B584" s="4">
        <v>45623</v>
      </c>
      <c r="C584" s="4" t="str">
        <f t="shared" si="36"/>
        <v>Nov</v>
      </c>
      <c r="D584" s="2" t="s">
        <v>923</v>
      </c>
      <c r="E584" s="2" t="s">
        <v>87</v>
      </c>
      <c r="F584" s="2" t="s">
        <v>88</v>
      </c>
      <c r="G584" s="2" t="s">
        <v>110</v>
      </c>
      <c r="H584" s="2" t="s">
        <v>153</v>
      </c>
      <c r="I584" s="2">
        <v>3271.16</v>
      </c>
      <c r="J584" s="2">
        <v>1</v>
      </c>
      <c r="K584" s="2">
        <v>0</v>
      </c>
      <c r="L584" s="9">
        <f t="shared" si="37"/>
        <v>3271.16</v>
      </c>
      <c r="M584" s="9">
        <f t="shared" si="38"/>
        <v>0</v>
      </c>
      <c r="N584" s="10">
        <f t="shared" si="39"/>
        <v>3271.16</v>
      </c>
      <c r="O584" s="2" t="s">
        <v>17</v>
      </c>
      <c r="P584" s="2" t="s">
        <v>39</v>
      </c>
      <c r="Q584" s="2" t="s">
        <v>60</v>
      </c>
    </row>
    <row r="585" spans="1:17" x14ac:dyDescent="0.25">
      <c r="A585" s="3" t="s">
        <v>924</v>
      </c>
      <c r="B585" s="4">
        <v>45624</v>
      </c>
      <c r="C585" s="4" t="str">
        <f t="shared" si="36"/>
        <v>Nov</v>
      </c>
      <c r="D585" s="3" t="s">
        <v>115</v>
      </c>
      <c r="E585" s="3" t="s">
        <v>76</v>
      </c>
      <c r="F585" s="3" t="s">
        <v>77</v>
      </c>
      <c r="G585" s="3" t="s">
        <v>31</v>
      </c>
      <c r="H585" s="3" t="s">
        <v>242</v>
      </c>
      <c r="I585" s="3">
        <v>827.58</v>
      </c>
      <c r="J585" s="3">
        <v>4</v>
      </c>
      <c r="K585" s="3">
        <v>10</v>
      </c>
      <c r="L585" s="9">
        <f t="shared" si="37"/>
        <v>3310.32</v>
      </c>
      <c r="M585" s="9">
        <f t="shared" si="38"/>
        <v>331.03200000000004</v>
      </c>
      <c r="N585" s="10">
        <f t="shared" si="39"/>
        <v>2979.288</v>
      </c>
      <c r="O585" s="3" t="s">
        <v>38</v>
      </c>
      <c r="P585" s="3" t="s">
        <v>18</v>
      </c>
      <c r="Q585" s="3" t="s">
        <v>40</v>
      </c>
    </row>
    <row r="586" spans="1:17" x14ac:dyDescent="0.25">
      <c r="A586" s="2" t="s">
        <v>925</v>
      </c>
      <c r="B586" s="4">
        <v>45625</v>
      </c>
      <c r="C586" s="4" t="str">
        <f t="shared" si="36"/>
        <v>Nov</v>
      </c>
      <c r="D586" s="2" t="s">
        <v>816</v>
      </c>
      <c r="E586" s="2" t="s">
        <v>29</v>
      </c>
      <c r="F586" s="2" t="s">
        <v>30</v>
      </c>
      <c r="G586" s="2" t="s">
        <v>72</v>
      </c>
      <c r="H586" s="2" t="s">
        <v>129</v>
      </c>
      <c r="I586" s="2">
        <v>1737.87</v>
      </c>
      <c r="J586" s="2">
        <v>1</v>
      </c>
      <c r="K586" s="2">
        <v>10</v>
      </c>
      <c r="L586" s="9">
        <f t="shared" si="37"/>
        <v>1737.87</v>
      </c>
      <c r="M586" s="9">
        <f t="shared" si="38"/>
        <v>173.78699999999998</v>
      </c>
      <c r="N586" s="10">
        <f t="shared" si="39"/>
        <v>1564.0829999999999</v>
      </c>
      <c r="O586" s="2" t="s">
        <v>26</v>
      </c>
      <c r="P586" s="2" t="s">
        <v>39</v>
      </c>
      <c r="Q586" s="2" t="s">
        <v>53</v>
      </c>
    </row>
    <row r="587" spans="1:17" x14ac:dyDescent="0.25">
      <c r="A587" s="3" t="s">
        <v>926</v>
      </c>
      <c r="B587" s="4">
        <v>45626</v>
      </c>
      <c r="C587" s="4" t="str">
        <f t="shared" si="36"/>
        <v>Nov</v>
      </c>
      <c r="D587" s="3" t="s">
        <v>290</v>
      </c>
      <c r="E587" s="3" t="s">
        <v>100</v>
      </c>
      <c r="F587" s="3" t="s">
        <v>88</v>
      </c>
      <c r="G587" s="3" t="s">
        <v>15</v>
      </c>
      <c r="H587" s="3" t="s">
        <v>163</v>
      </c>
      <c r="I587" s="3">
        <v>2476.4899999999998</v>
      </c>
      <c r="J587" s="3">
        <v>3</v>
      </c>
      <c r="K587" s="3">
        <v>0</v>
      </c>
      <c r="L587" s="9">
        <f t="shared" si="37"/>
        <v>7429.4699999999993</v>
      </c>
      <c r="M587" s="9">
        <f t="shared" si="38"/>
        <v>0</v>
      </c>
      <c r="N587" s="10">
        <f t="shared" si="39"/>
        <v>7429.4699999999993</v>
      </c>
      <c r="O587" s="3" t="s">
        <v>17</v>
      </c>
      <c r="P587" s="3" t="s">
        <v>52</v>
      </c>
      <c r="Q587" s="3" t="s">
        <v>60</v>
      </c>
    </row>
    <row r="588" spans="1:17" x14ac:dyDescent="0.25">
      <c r="A588" s="2" t="s">
        <v>927</v>
      </c>
      <c r="B588" s="4">
        <v>45627</v>
      </c>
      <c r="C588" s="4" t="str">
        <f t="shared" si="36"/>
        <v>Dec</v>
      </c>
      <c r="D588" s="2" t="s">
        <v>717</v>
      </c>
      <c r="E588" s="2" t="s">
        <v>87</v>
      </c>
      <c r="F588" s="2" t="s">
        <v>88</v>
      </c>
      <c r="G588" s="2" t="s">
        <v>31</v>
      </c>
      <c r="H588" s="2" t="s">
        <v>242</v>
      </c>
      <c r="I588" s="2">
        <v>952.98</v>
      </c>
      <c r="J588" s="2">
        <v>3</v>
      </c>
      <c r="K588" s="2">
        <v>0</v>
      </c>
      <c r="L588" s="9">
        <f t="shared" si="37"/>
        <v>2858.94</v>
      </c>
      <c r="M588" s="9">
        <f t="shared" si="38"/>
        <v>0</v>
      </c>
      <c r="N588" s="10">
        <f t="shared" si="39"/>
        <v>2858.94</v>
      </c>
      <c r="O588" s="2" t="s">
        <v>38</v>
      </c>
      <c r="P588" s="2" t="s">
        <v>18</v>
      </c>
      <c r="Q588" s="2" t="s">
        <v>19</v>
      </c>
    </row>
    <row r="589" spans="1:17" x14ac:dyDescent="0.25">
      <c r="A589" s="3" t="s">
        <v>928</v>
      </c>
      <c r="B589" s="4">
        <v>45628</v>
      </c>
      <c r="C589" s="4" t="str">
        <f t="shared" si="36"/>
        <v>Dec</v>
      </c>
      <c r="D589" s="3" t="s">
        <v>275</v>
      </c>
      <c r="E589" s="3" t="s">
        <v>65</v>
      </c>
      <c r="F589" s="3" t="s">
        <v>66</v>
      </c>
      <c r="G589" s="3" t="s">
        <v>72</v>
      </c>
      <c r="H589" s="3" t="s">
        <v>102</v>
      </c>
      <c r="I589" s="3">
        <v>695.83</v>
      </c>
      <c r="J589" s="3">
        <v>1</v>
      </c>
      <c r="K589" s="3">
        <v>15</v>
      </c>
      <c r="L589" s="9">
        <f t="shared" si="37"/>
        <v>695.83</v>
      </c>
      <c r="M589" s="9">
        <f t="shared" si="38"/>
        <v>104.37450000000001</v>
      </c>
      <c r="N589" s="10">
        <f t="shared" si="39"/>
        <v>591.45550000000003</v>
      </c>
      <c r="O589" s="3" t="s">
        <v>17</v>
      </c>
      <c r="P589" s="3" t="s">
        <v>18</v>
      </c>
      <c r="Q589" s="3" t="s">
        <v>40</v>
      </c>
    </row>
    <row r="590" spans="1:17" x14ac:dyDescent="0.25">
      <c r="A590" s="2" t="s">
        <v>929</v>
      </c>
      <c r="B590" s="4">
        <v>45629</v>
      </c>
      <c r="C590" s="4" t="str">
        <f t="shared" si="36"/>
        <v>Dec</v>
      </c>
      <c r="D590" s="2" t="s">
        <v>641</v>
      </c>
      <c r="E590" s="2" t="s">
        <v>22</v>
      </c>
      <c r="F590" s="2" t="s">
        <v>23</v>
      </c>
      <c r="G590" s="2" t="s">
        <v>72</v>
      </c>
      <c r="H590" s="2" t="s">
        <v>137</v>
      </c>
      <c r="I590" s="2">
        <v>2360.9</v>
      </c>
      <c r="J590" s="2">
        <v>2</v>
      </c>
      <c r="K590" s="2">
        <v>15</v>
      </c>
      <c r="L590" s="9">
        <f t="shared" si="37"/>
        <v>4721.8</v>
      </c>
      <c r="M590" s="9">
        <f t="shared" si="38"/>
        <v>708.27</v>
      </c>
      <c r="N590" s="10">
        <f t="shared" si="39"/>
        <v>4013.53</v>
      </c>
      <c r="O590" s="2" t="s">
        <v>17</v>
      </c>
      <c r="P590" s="2" t="s">
        <v>18</v>
      </c>
      <c r="Q590" s="2" t="s">
        <v>34</v>
      </c>
    </row>
    <row r="591" spans="1:17" x14ac:dyDescent="0.25">
      <c r="A591" s="3" t="s">
        <v>930</v>
      </c>
      <c r="B591" s="4">
        <v>45630</v>
      </c>
      <c r="C591" s="4" t="str">
        <f t="shared" si="36"/>
        <v>Dec</v>
      </c>
      <c r="D591" s="3" t="s">
        <v>418</v>
      </c>
      <c r="E591" s="3" t="s">
        <v>65</v>
      </c>
      <c r="F591" s="3" t="s">
        <v>66</v>
      </c>
      <c r="G591" s="3" t="s">
        <v>43</v>
      </c>
      <c r="H591" s="3" t="s">
        <v>89</v>
      </c>
      <c r="I591" s="3">
        <v>4240.09</v>
      </c>
      <c r="J591" s="3">
        <v>2</v>
      </c>
      <c r="K591" s="3">
        <v>5</v>
      </c>
      <c r="L591" s="9">
        <f t="shared" si="37"/>
        <v>8480.18</v>
      </c>
      <c r="M591" s="9">
        <f t="shared" si="38"/>
        <v>424.00900000000001</v>
      </c>
      <c r="N591" s="10">
        <f t="shared" si="39"/>
        <v>8056.1710000000003</v>
      </c>
      <c r="O591" s="3" t="s">
        <v>26</v>
      </c>
      <c r="P591" s="3" t="s">
        <v>18</v>
      </c>
      <c r="Q591" s="3" t="s">
        <v>19</v>
      </c>
    </row>
    <row r="592" spans="1:17" x14ac:dyDescent="0.25">
      <c r="A592" s="2" t="s">
        <v>931</v>
      </c>
      <c r="B592" s="4">
        <v>45631</v>
      </c>
      <c r="C592" s="4" t="str">
        <f t="shared" si="36"/>
        <v>Dec</v>
      </c>
      <c r="D592" s="2" t="s">
        <v>470</v>
      </c>
      <c r="E592" s="2" t="s">
        <v>100</v>
      </c>
      <c r="F592" s="2" t="s">
        <v>88</v>
      </c>
      <c r="G592" s="2" t="s">
        <v>31</v>
      </c>
      <c r="H592" s="2" t="s">
        <v>186</v>
      </c>
      <c r="I592" s="2">
        <v>741.48</v>
      </c>
      <c r="J592" s="2">
        <v>1</v>
      </c>
      <c r="K592" s="2">
        <v>15</v>
      </c>
      <c r="L592" s="9">
        <f t="shared" si="37"/>
        <v>741.48</v>
      </c>
      <c r="M592" s="9">
        <f t="shared" si="38"/>
        <v>111.22200000000001</v>
      </c>
      <c r="N592" s="10">
        <f t="shared" si="39"/>
        <v>630.25800000000004</v>
      </c>
      <c r="O592" s="2" t="s">
        <v>68</v>
      </c>
      <c r="P592" s="2" t="s">
        <v>18</v>
      </c>
      <c r="Q592" s="2" t="s">
        <v>60</v>
      </c>
    </row>
    <row r="593" spans="1:17" x14ac:dyDescent="0.25">
      <c r="A593" s="3" t="s">
        <v>932</v>
      </c>
      <c r="B593" s="4">
        <v>45632</v>
      </c>
      <c r="C593" s="4" t="str">
        <f t="shared" si="36"/>
        <v>Dec</v>
      </c>
      <c r="D593" s="3" t="s">
        <v>299</v>
      </c>
      <c r="E593" s="3" t="s">
        <v>22</v>
      </c>
      <c r="F593" s="3" t="s">
        <v>23</v>
      </c>
      <c r="G593" s="3" t="s">
        <v>24</v>
      </c>
      <c r="H593" s="3" t="s">
        <v>170</v>
      </c>
      <c r="I593" s="3">
        <v>1273.43</v>
      </c>
      <c r="J593" s="3">
        <v>4</v>
      </c>
      <c r="K593" s="3">
        <v>0</v>
      </c>
      <c r="L593" s="9">
        <f t="shared" si="37"/>
        <v>5093.72</v>
      </c>
      <c r="M593" s="9">
        <f t="shared" si="38"/>
        <v>0</v>
      </c>
      <c r="N593" s="10">
        <f t="shared" si="39"/>
        <v>5093.72</v>
      </c>
      <c r="O593" s="3" t="s">
        <v>17</v>
      </c>
      <c r="P593" s="3" t="s">
        <v>18</v>
      </c>
      <c r="Q593" s="3" t="s">
        <v>19</v>
      </c>
    </row>
    <row r="594" spans="1:17" x14ac:dyDescent="0.25">
      <c r="A594" s="2" t="s">
        <v>933</v>
      </c>
      <c r="B594" s="4">
        <v>45633</v>
      </c>
      <c r="C594" s="4" t="str">
        <f t="shared" si="36"/>
        <v>Dec</v>
      </c>
      <c r="D594" s="2" t="s">
        <v>42</v>
      </c>
      <c r="E594" s="2" t="s">
        <v>65</v>
      </c>
      <c r="F594" s="2" t="s">
        <v>66</v>
      </c>
      <c r="G594" s="2" t="s">
        <v>110</v>
      </c>
      <c r="H594" s="2" t="s">
        <v>67</v>
      </c>
      <c r="I594" s="2">
        <v>4396.24</v>
      </c>
      <c r="J594" s="2">
        <v>2</v>
      </c>
      <c r="K594" s="2">
        <v>10</v>
      </c>
      <c r="L594" s="9">
        <f t="shared" si="37"/>
        <v>8792.48</v>
      </c>
      <c r="M594" s="9">
        <f t="shared" si="38"/>
        <v>879.24799999999993</v>
      </c>
      <c r="N594" s="10">
        <f t="shared" si="39"/>
        <v>7913.232</v>
      </c>
      <c r="O594" s="2" t="s">
        <v>33</v>
      </c>
      <c r="P594" s="2" t="s">
        <v>52</v>
      </c>
      <c r="Q594" s="2" t="s">
        <v>40</v>
      </c>
    </row>
    <row r="595" spans="1:17" x14ac:dyDescent="0.25">
      <c r="A595" s="3" t="s">
        <v>934</v>
      </c>
      <c r="B595" s="4">
        <v>45634</v>
      </c>
      <c r="C595" s="4" t="str">
        <f t="shared" si="36"/>
        <v>Dec</v>
      </c>
      <c r="D595" s="3" t="s">
        <v>353</v>
      </c>
      <c r="E595" s="3" t="s">
        <v>51</v>
      </c>
      <c r="F595" s="3" t="s">
        <v>14</v>
      </c>
      <c r="G595" s="3" t="s">
        <v>15</v>
      </c>
      <c r="H595" s="3" t="s">
        <v>56</v>
      </c>
      <c r="I595" s="3">
        <v>1716.93</v>
      </c>
      <c r="J595" s="3">
        <v>5</v>
      </c>
      <c r="K595" s="3">
        <v>10</v>
      </c>
      <c r="L595" s="9">
        <f t="shared" si="37"/>
        <v>8584.65</v>
      </c>
      <c r="M595" s="9">
        <f t="shared" si="38"/>
        <v>858.46500000000003</v>
      </c>
      <c r="N595" s="10">
        <f t="shared" si="39"/>
        <v>7726.1849999999995</v>
      </c>
      <c r="O595" s="3" t="s">
        <v>38</v>
      </c>
      <c r="P595" s="3" t="s">
        <v>18</v>
      </c>
      <c r="Q595" s="3" t="s">
        <v>40</v>
      </c>
    </row>
    <row r="596" spans="1:17" x14ac:dyDescent="0.25">
      <c r="A596" s="2" t="s">
        <v>935</v>
      </c>
      <c r="B596" s="4">
        <v>45635</v>
      </c>
      <c r="C596" s="4" t="str">
        <f t="shared" si="36"/>
        <v>Dec</v>
      </c>
      <c r="D596" s="2" t="s">
        <v>353</v>
      </c>
      <c r="E596" s="2" t="s">
        <v>87</v>
      </c>
      <c r="F596" s="2" t="s">
        <v>88</v>
      </c>
      <c r="G596" s="2" t="s">
        <v>36</v>
      </c>
      <c r="H596" s="2" t="s">
        <v>113</v>
      </c>
      <c r="I596" s="2">
        <v>119556.79</v>
      </c>
      <c r="J596" s="2">
        <v>1</v>
      </c>
      <c r="K596" s="2">
        <v>5</v>
      </c>
      <c r="L596" s="9">
        <f t="shared" si="37"/>
        <v>119556.79</v>
      </c>
      <c r="M596" s="9">
        <f t="shared" si="38"/>
        <v>5977.8394999999991</v>
      </c>
      <c r="N596" s="10">
        <f t="shared" si="39"/>
        <v>113578.95049999999</v>
      </c>
      <c r="O596" s="2" t="s">
        <v>17</v>
      </c>
      <c r="P596" s="2" t="s">
        <v>39</v>
      </c>
      <c r="Q596" s="2" t="s">
        <v>34</v>
      </c>
    </row>
    <row r="597" spans="1:17" x14ac:dyDescent="0.25">
      <c r="A597" s="3" t="s">
        <v>936</v>
      </c>
      <c r="B597" s="4">
        <v>45636</v>
      </c>
      <c r="C597" s="4" t="str">
        <f t="shared" si="36"/>
        <v>Dec</v>
      </c>
      <c r="D597" s="3" t="s">
        <v>53</v>
      </c>
      <c r="E597" s="3" t="s">
        <v>83</v>
      </c>
      <c r="F597" s="3" t="s">
        <v>84</v>
      </c>
      <c r="G597" s="3" t="s">
        <v>110</v>
      </c>
      <c r="H597" s="3" t="s">
        <v>207</v>
      </c>
      <c r="I597" s="3">
        <v>8066.89</v>
      </c>
      <c r="J597" s="3">
        <v>1</v>
      </c>
      <c r="K597" s="3">
        <v>0</v>
      </c>
      <c r="L597" s="9">
        <f t="shared" si="37"/>
        <v>8066.89</v>
      </c>
      <c r="M597" s="9">
        <f t="shared" si="38"/>
        <v>0</v>
      </c>
      <c r="N597" s="10">
        <f t="shared" si="39"/>
        <v>8066.89</v>
      </c>
      <c r="O597" s="3" t="s">
        <v>17</v>
      </c>
      <c r="P597" s="3" t="s">
        <v>39</v>
      </c>
      <c r="Q597" s="3" t="s">
        <v>19</v>
      </c>
    </row>
    <row r="598" spans="1:17" x14ac:dyDescent="0.25">
      <c r="A598" s="2" t="s">
        <v>937</v>
      </c>
      <c r="B598" s="4">
        <v>45637</v>
      </c>
      <c r="C598" s="4" t="str">
        <f t="shared" si="36"/>
        <v>Dec</v>
      </c>
      <c r="D598" s="2" t="s">
        <v>197</v>
      </c>
      <c r="E598" s="2" t="s">
        <v>87</v>
      </c>
      <c r="F598" s="2" t="s">
        <v>88</v>
      </c>
      <c r="G598" s="2" t="s">
        <v>110</v>
      </c>
      <c r="H598" s="2" t="s">
        <v>207</v>
      </c>
      <c r="I598" s="2">
        <v>8447.08</v>
      </c>
      <c r="J598" s="2">
        <v>5</v>
      </c>
      <c r="K598" s="2">
        <v>5</v>
      </c>
      <c r="L598" s="9">
        <f t="shared" si="37"/>
        <v>42235.4</v>
      </c>
      <c r="M598" s="9">
        <f t="shared" si="38"/>
        <v>2111.77</v>
      </c>
      <c r="N598" s="10">
        <f t="shared" si="39"/>
        <v>40123.630000000005</v>
      </c>
      <c r="O598" s="2" t="s">
        <v>17</v>
      </c>
      <c r="P598" s="2" t="s">
        <v>27</v>
      </c>
      <c r="Q598" s="2" t="s">
        <v>34</v>
      </c>
    </row>
    <row r="599" spans="1:17" x14ac:dyDescent="0.25">
      <c r="A599" s="3" t="s">
        <v>938</v>
      </c>
      <c r="B599" s="4">
        <v>45638</v>
      </c>
      <c r="C599" s="4" t="str">
        <f t="shared" si="36"/>
        <v>Dec</v>
      </c>
      <c r="D599" s="3" t="s">
        <v>311</v>
      </c>
      <c r="E599" s="3" t="s">
        <v>47</v>
      </c>
      <c r="F599" s="3" t="s">
        <v>48</v>
      </c>
      <c r="G599" s="3" t="s">
        <v>24</v>
      </c>
      <c r="H599" s="3" t="s">
        <v>92</v>
      </c>
      <c r="I599" s="3">
        <v>1558.52</v>
      </c>
      <c r="J599" s="3">
        <v>5</v>
      </c>
      <c r="K599" s="3">
        <v>15</v>
      </c>
      <c r="L599" s="9">
        <f t="shared" si="37"/>
        <v>7792.6</v>
      </c>
      <c r="M599" s="9">
        <f t="shared" si="38"/>
        <v>1168.8900000000001</v>
      </c>
      <c r="N599" s="10">
        <f t="shared" si="39"/>
        <v>6623.71</v>
      </c>
      <c r="O599" s="3" t="s">
        <v>17</v>
      </c>
      <c r="P599" s="3" t="s">
        <v>18</v>
      </c>
      <c r="Q599" s="3" t="s">
        <v>40</v>
      </c>
    </row>
    <row r="600" spans="1:17" x14ac:dyDescent="0.25">
      <c r="A600" s="2" t="s">
        <v>939</v>
      </c>
      <c r="B600" s="4">
        <v>45639</v>
      </c>
      <c r="C600" s="4" t="str">
        <f t="shared" si="36"/>
        <v>Dec</v>
      </c>
      <c r="D600" s="2" t="s">
        <v>751</v>
      </c>
      <c r="E600" s="2" t="s">
        <v>100</v>
      </c>
      <c r="F600" s="2" t="s">
        <v>88</v>
      </c>
      <c r="G600" s="2" t="s">
        <v>110</v>
      </c>
      <c r="H600" s="2" t="s">
        <v>207</v>
      </c>
      <c r="I600" s="2">
        <v>8765.74</v>
      </c>
      <c r="J600" s="2">
        <v>3</v>
      </c>
      <c r="K600" s="2">
        <v>0</v>
      </c>
      <c r="L600" s="9">
        <f t="shared" si="37"/>
        <v>26297.22</v>
      </c>
      <c r="M600" s="9">
        <f t="shared" si="38"/>
        <v>0</v>
      </c>
      <c r="N600" s="10">
        <f t="shared" si="39"/>
        <v>26297.22</v>
      </c>
      <c r="O600" s="2" t="s">
        <v>68</v>
      </c>
      <c r="P600" s="2" t="s">
        <v>18</v>
      </c>
      <c r="Q600" s="2" t="s">
        <v>60</v>
      </c>
    </row>
    <row r="601" spans="1:17" x14ac:dyDescent="0.25">
      <c r="A601" s="3" t="s">
        <v>940</v>
      </c>
      <c r="B601" s="4">
        <v>45640</v>
      </c>
      <c r="C601" s="4" t="str">
        <f t="shared" si="36"/>
        <v>Dec</v>
      </c>
      <c r="D601" s="3" t="s">
        <v>651</v>
      </c>
      <c r="E601" s="3" t="s">
        <v>22</v>
      </c>
      <c r="F601" s="3" t="s">
        <v>23</v>
      </c>
      <c r="G601" s="3" t="s">
        <v>72</v>
      </c>
      <c r="H601" s="3" t="s">
        <v>137</v>
      </c>
      <c r="I601" s="3">
        <v>2090.9</v>
      </c>
      <c r="J601" s="3">
        <v>5</v>
      </c>
      <c r="K601" s="3">
        <v>0</v>
      </c>
      <c r="L601" s="9">
        <f t="shared" si="37"/>
        <v>10454.5</v>
      </c>
      <c r="M601" s="9">
        <f t="shared" si="38"/>
        <v>0</v>
      </c>
      <c r="N601" s="10">
        <f t="shared" si="39"/>
        <v>10454.5</v>
      </c>
      <c r="O601" s="3" t="s">
        <v>38</v>
      </c>
      <c r="P601" s="3" t="s">
        <v>39</v>
      </c>
      <c r="Q601" s="3" t="s">
        <v>34</v>
      </c>
    </row>
    <row r="602" spans="1:17" x14ac:dyDescent="0.25">
      <c r="A602" s="2" t="s">
        <v>941</v>
      </c>
      <c r="B602" s="4">
        <v>45641</v>
      </c>
      <c r="C602" s="4" t="str">
        <f t="shared" si="36"/>
        <v>Dec</v>
      </c>
      <c r="D602" s="2" t="s">
        <v>942</v>
      </c>
      <c r="E602" s="2" t="s">
        <v>29</v>
      </c>
      <c r="F602" s="2" t="s">
        <v>30</v>
      </c>
      <c r="G602" s="2" t="s">
        <v>24</v>
      </c>
      <c r="H602" s="2" t="s">
        <v>59</v>
      </c>
      <c r="I602" s="2">
        <v>5238.97</v>
      </c>
      <c r="J602" s="2">
        <v>4</v>
      </c>
      <c r="K602" s="2">
        <v>5</v>
      </c>
      <c r="L602" s="9">
        <f t="shared" si="37"/>
        <v>20955.88</v>
      </c>
      <c r="M602" s="9">
        <f t="shared" si="38"/>
        <v>1047.7940000000001</v>
      </c>
      <c r="N602" s="10">
        <f t="shared" si="39"/>
        <v>19908.085999999999</v>
      </c>
      <c r="O602" s="2" t="s">
        <v>26</v>
      </c>
      <c r="P602" s="2" t="s">
        <v>18</v>
      </c>
      <c r="Q602" s="2" t="s">
        <v>53</v>
      </c>
    </row>
    <row r="603" spans="1:17" x14ac:dyDescent="0.25">
      <c r="A603" s="3" t="s">
        <v>943</v>
      </c>
      <c r="B603" s="4">
        <v>45642</v>
      </c>
      <c r="C603" s="4" t="str">
        <f t="shared" si="36"/>
        <v>Dec</v>
      </c>
      <c r="D603" s="3" t="s">
        <v>791</v>
      </c>
      <c r="E603" s="3" t="s">
        <v>13</v>
      </c>
      <c r="F603" s="3" t="s">
        <v>14</v>
      </c>
      <c r="G603" s="3" t="s">
        <v>31</v>
      </c>
      <c r="H603" s="3" t="s">
        <v>32</v>
      </c>
      <c r="I603" s="3">
        <v>2733.67</v>
      </c>
      <c r="J603" s="3">
        <v>5</v>
      </c>
      <c r="K603" s="3">
        <v>5</v>
      </c>
      <c r="L603" s="9">
        <f t="shared" si="37"/>
        <v>13668.35</v>
      </c>
      <c r="M603" s="9">
        <f t="shared" si="38"/>
        <v>683.41750000000002</v>
      </c>
      <c r="N603" s="10">
        <f t="shared" si="39"/>
        <v>12984.932500000001</v>
      </c>
      <c r="O603" s="3" t="s">
        <v>33</v>
      </c>
      <c r="P603" s="3" t="s">
        <v>39</v>
      </c>
      <c r="Q603" s="3" t="s">
        <v>60</v>
      </c>
    </row>
    <row r="604" spans="1:17" x14ac:dyDescent="0.25">
      <c r="A604" s="2" t="s">
        <v>944</v>
      </c>
      <c r="B604" s="4">
        <v>45643</v>
      </c>
      <c r="C604" s="4" t="str">
        <f t="shared" si="36"/>
        <v>Dec</v>
      </c>
      <c r="D604" s="2" t="s">
        <v>605</v>
      </c>
      <c r="E604" s="2" t="s">
        <v>76</v>
      </c>
      <c r="F604" s="2" t="s">
        <v>77</v>
      </c>
      <c r="G604" s="2" t="s">
        <v>15</v>
      </c>
      <c r="H604" s="2" t="s">
        <v>163</v>
      </c>
      <c r="I604" s="2">
        <v>2355.4299999999998</v>
      </c>
      <c r="J604" s="2">
        <v>3</v>
      </c>
      <c r="K604" s="2">
        <v>0</v>
      </c>
      <c r="L604" s="9">
        <f t="shared" si="37"/>
        <v>7066.2899999999991</v>
      </c>
      <c r="M604" s="9">
        <f t="shared" si="38"/>
        <v>0</v>
      </c>
      <c r="N604" s="10">
        <f t="shared" si="39"/>
        <v>7066.2899999999991</v>
      </c>
      <c r="O604" s="2" t="s">
        <v>38</v>
      </c>
      <c r="P604" s="2" t="s">
        <v>39</v>
      </c>
      <c r="Q604" s="2" t="s">
        <v>40</v>
      </c>
    </row>
    <row r="605" spans="1:17" x14ac:dyDescent="0.25">
      <c r="A605" s="3" t="s">
        <v>945</v>
      </c>
      <c r="B605" s="4">
        <v>45644</v>
      </c>
      <c r="C605" s="4" t="str">
        <f t="shared" si="36"/>
        <v>Dec</v>
      </c>
      <c r="D605" s="3" t="s">
        <v>402</v>
      </c>
      <c r="E605" s="3" t="s">
        <v>65</v>
      </c>
      <c r="F605" s="3" t="s">
        <v>66</v>
      </c>
      <c r="G605" s="3" t="s">
        <v>43</v>
      </c>
      <c r="H605" s="3" t="s">
        <v>105</v>
      </c>
      <c r="I605" s="3">
        <v>2786.71</v>
      </c>
      <c r="J605" s="3">
        <v>5</v>
      </c>
      <c r="K605" s="3">
        <v>5</v>
      </c>
      <c r="L605" s="9">
        <f t="shared" si="37"/>
        <v>13933.55</v>
      </c>
      <c r="M605" s="9">
        <f t="shared" si="38"/>
        <v>696.67750000000001</v>
      </c>
      <c r="N605" s="10">
        <f t="shared" si="39"/>
        <v>13236.872499999999</v>
      </c>
      <c r="O605" s="3" t="s">
        <v>33</v>
      </c>
      <c r="P605" s="3" t="s">
        <v>27</v>
      </c>
      <c r="Q605" s="3" t="s">
        <v>60</v>
      </c>
    </row>
    <row r="606" spans="1:17" x14ac:dyDescent="0.25">
      <c r="A606" s="2" t="s">
        <v>946</v>
      </c>
      <c r="B606" s="4">
        <v>45645</v>
      </c>
      <c r="C606" s="4" t="str">
        <f t="shared" si="36"/>
        <v>Dec</v>
      </c>
      <c r="D606" s="2" t="s">
        <v>62</v>
      </c>
      <c r="E606" s="2" t="s">
        <v>83</v>
      </c>
      <c r="F606" s="2" t="s">
        <v>84</v>
      </c>
      <c r="G606" s="2" t="s">
        <v>72</v>
      </c>
      <c r="H606" s="2" t="s">
        <v>129</v>
      </c>
      <c r="I606" s="2">
        <v>1624.27</v>
      </c>
      <c r="J606" s="2">
        <v>4</v>
      </c>
      <c r="K606" s="2">
        <v>0</v>
      </c>
      <c r="L606" s="9">
        <f t="shared" si="37"/>
        <v>6497.08</v>
      </c>
      <c r="M606" s="9">
        <f t="shared" si="38"/>
        <v>0</v>
      </c>
      <c r="N606" s="10">
        <f t="shared" si="39"/>
        <v>6497.08</v>
      </c>
      <c r="O606" s="2" t="s">
        <v>38</v>
      </c>
      <c r="P606" s="2" t="s">
        <v>52</v>
      </c>
      <c r="Q606" s="2" t="s">
        <v>40</v>
      </c>
    </row>
    <row r="607" spans="1:17" x14ac:dyDescent="0.25">
      <c r="A607" s="3" t="s">
        <v>947</v>
      </c>
      <c r="B607" s="4">
        <v>45646</v>
      </c>
      <c r="C607" s="4" t="str">
        <f t="shared" si="36"/>
        <v>Dec</v>
      </c>
      <c r="D607" s="3" t="s">
        <v>318</v>
      </c>
      <c r="E607" s="3" t="s">
        <v>87</v>
      </c>
      <c r="F607" s="3" t="s">
        <v>88</v>
      </c>
      <c r="G607" s="3" t="s">
        <v>72</v>
      </c>
      <c r="H607" s="3" t="s">
        <v>129</v>
      </c>
      <c r="I607" s="3">
        <v>1839.77</v>
      </c>
      <c r="J607" s="3">
        <v>3</v>
      </c>
      <c r="K607" s="3">
        <v>0</v>
      </c>
      <c r="L607" s="9">
        <f t="shared" si="37"/>
        <v>5519.3099999999995</v>
      </c>
      <c r="M607" s="9">
        <f t="shared" si="38"/>
        <v>0</v>
      </c>
      <c r="N607" s="10">
        <f t="shared" si="39"/>
        <v>5519.3099999999995</v>
      </c>
      <c r="O607" s="3" t="s">
        <v>38</v>
      </c>
      <c r="P607" s="3" t="s">
        <v>18</v>
      </c>
      <c r="Q607" s="3" t="s">
        <v>40</v>
      </c>
    </row>
    <row r="608" spans="1:17" x14ac:dyDescent="0.25">
      <c r="A608" s="2" t="s">
        <v>948</v>
      </c>
      <c r="B608" s="4">
        <v>45647</v>
      </c>
      <c r="C608" s="4" t="str">
        <f t="shared" si="36"/>
        <v>Dec</v>
      </c>
      <c r="D608" s="2" t="s">
        <v>616</v>
      </c>
      <c r="E608" s="2" t="s">
        <v>65</v>
      </c>
      <c r="F608" s="2" t="s">
        <v>66</v>
      </c>
      <c r="G608" s="2" t="s">
        <v>43</v>
      </c>
      <c r="H608" s="2" t="s">
        <v>127</v>
      </c>
      <c r="I608" s="2">
        <v>5757.74</v>
      </c>
      <c r="J608" s="2">
        <v>5</v>
      </c>
      <c r="K608" s="2">
        <v>0</v>
      </c>
      <c r="L608" s="9">
        <f t="shared" si="37"/>
        <v>28788.699999999997</v>
      </c>
      <c r="M608" s="9">
        <f t="shared" si="38"/>
        <v>0</v>
      </c>
      <c r="N608" s="10">
        <f t="shared" si="39"/>
        <v>28788.699999999997</v>
      </c>
      <c r="O608" s="2" t="s">
        <v>17</v>
      </c>
      <c r="P608" s="2" t="s">
        <v>18</v>
      </c>
      <c r="Q608" s="2" t="s">
        <v>53</v>
      </c>
    </row>
    <row r="609" spans="1:17" x14ac:dyDescent="0.25">
      <c r="A609" s="3" t="s">
        <v>949</v>
      </c>
      <c r="B609" s="4">
        <v>45648</v>
      </c>
      <c r="C609" s="4" t="str">
        <f t="shared" si="36"/>
        <v>Dec</v>
      </c>
      <c r="D609" s="3" t="s">
        <v>169</v>
      </c>
      <c r="E609" s="3" t="s">
        <v>13</v>
      </c>
      <c r="F609" s="3" t="s">
        <v>14</v>
      </c>
      <c r="G609" s="3" t="s">
        <v>72</v>
      </c>
      <c r="H609" s="3" t="s">
        <v>81</v>
      </c>
      <c r="I609" s="3">
        <v>1353.59</v>
      </c>
      <c r="J609" s="3">
        <v>1</v>
      </c>
      <c r="K609" s="3">
        <v>0</v>
      </c>
      <c r="L609" s="9">
        <f t="shared" si="37"/>
        <v>1353.59</v>
      </c>
      <c r="M609" s="9">
        <f t="shared" si="38"/>
        <v>0</v>
      </c>
      <c r="N609" s="10">
        <f t="shared" si="39"/>
        <v>1353.59</v>
      </c>
      <c r="O609" s="3" t="s">
        <v>68</v>
      </c>
      <c r="P609" s="3" t="s">
        <v>27</v>
      </c>
      <c r="Q609" s="3" t="s">
        <v>60</v>
      </c>
    </row>
    <row r="610" spans="1:17" x14ac:dyDescent="0.25">
      <c r="A610" s="2" t="s">
        <v>950</v>
      </c>
      <c r="B610" s="4">
        <v>45649</v>
      </c>
      <c r="C610" s="4" t="str">
        <f t="shared" si="36"/>
        <v>Dec</v>
      </c>
      <c r="D610" s="2" t="s">
        <v>482</v>
      </c>
      <c r="E610" s="2" t="s">
        <v>47</v>
      </c>
      <c r="F610" s="2" t="s">
        <v>48</v>
      </c>
      <c r="G610" s="2" t="s">
        <v>31</v>
      </c>
      <c r="H610" s="2" t="s">
        <v>186</v>
      </c>
      <c r="I610" s="2">
        <v>725.45</v>
      </c>
      <c r="J610" s="2">
        <v>5</v>
      </c>
      <c r="K610" s="2">
        <v>10</v>
      </c>
      <c r="L610" s="9">
        <f t="shared" si="37"/>
        <v>3627.25</v>
      </c>
      <c r="M610" s="9">
        <f t="shared" si="38"/>
        <v>362.72500000000002</v>
      </c>
      <c r="N610" s="10">
        <f t="shared" si="39"/>
        <v>3264.5250000000001</v>
      </c>
      <c r="O610" s="2" t="s">
        <v>68</v>
      </c>
      <c r="P610" s="2" t="s">
        <v>52</v>
      </c>
      <c r="Q610" s="2" t="s">
        <v>53</v>
      </c>
    </row>
    <row r="611" spans="1:17" x14ac:dyDescent="0.25">
      <c r="A611" s="3" t="s">
        <v>951</v>
      </c>
      <c r="B611" s="4">
        <v>45650</v>
      </c>
      <c r="C611" s="4" t="str">
        <f t="shared" si="36"/>
        <v>Dec</v>
      </c>
      <c r="D611" s="3" t="s">
        <v>12</v>
      </c>
      <c r="E611" s="3" t="s">
        <v>22</v>
      </c>
      <c r="F611" s="3" t="s">
        <v>23</v>
      </c>
      <c r="G611" s="3" t="s">
        <v>36</v>
      </c>
      <c r="H611" s="3" t="s">
        <v>113</v>
      </c>
      <c r="I611" s="3">
        <v>111117.77</v>
      </c>
      <c r="J611" s="3">
        <v>5</v>
      </c>
      <c r="K611" s="3">
        <v>0</v>
      </c>
      <c r="L611" s="9">
        <f t="shared" si="37"/>
        <v>555588.85</v>
      </c>
      <c r="M611" s="9">
        <f t="shared" si="38"/>
        <v>0</v>
      </c>
      <c r="N611" s="10">
        <f t="shared" si="39"/>
        <v>555588.85</v>
      </c>
      <c r="O611" s="3" t="s">
        <v>68</v>
      </c>
      <c r="P611" s="3" t="s">
        <v>27</v>
      </c>
      <c r="Q611" s="3" t="s">
        <v>53</v>
      </c>
    </row>
    <row r="612" spans="1:17" x14ac:dyDescent="0.25">
      <c r="A612" s="2" t="s">
        <v>952</v>
      </c>
      <c r="B612" s="4">
        <v>45651</v>
      </c>
      <c r="C612" s="4" t="str">
        <f t="shared" si="36"/>
        <v>Dec</v>
      </c>
      <c r="D612" s="2" t="s">
        <v>490</v>
      </c>
      <c r="E612" s="2" t="s">
        <v>22</v>
      </c>
      <c r="F612" s="2" t="s">
        <v>23</v>
      </c>
      <c r="G612" s="2" t="s">
        <v>15</v>
      </c>
      <c r="H612" s="2" t="s">
        <v>95</v>
      </c>
      <c r="I612" s="2">
        <v>1301.45</v>
      </c>
      <c r="J612" s="2">
        <v>3</v>
      </c>
      <c r="K612" s="2">
        <v>0</v>
      </c>
      <c r="L612" s="9">
        <f t="shared" si="37"/>
        <v>3904.3500000000004</v>
      </c>
      <c r="M612" s="9">
        <f t="shared" si="38"/>
        <v>0</v>
      </c>
      <c r="N612" s="10">
        <f t="shared" si="39"/>
        <v>3904.3500000000004</v>
      </c>
      <c r="O612" s="2" t="s">
        <v>38</v>
      </c>
      <c r="P612" s="2" t="s">
        <v>18</v>
      </c>
      <c r="Q612" s="2" t="s">
        <v>53</v>
      </c>
    </row>
    <row r="613" spans="1:17" x14ac:dyDescent="0.25">
      <c r="A613" s="3" t="s">
        <v>953</v>
      </c>
      <c r="B613" s="4">
        <v>45652</v>
      </c>
      <c r="C613" s="4" t="str">
        <f t="shared" si="36"/>
        <v>Dec</v>
      </c>
      <c r="D613" s="3" t="s">
        <v>474</v>
      </c>
      <c r="E613" s="3" t="s">
        <v>65</v>
      </c>
      <c r="F613" s="3" t="s">
        <v>66</v>
      </c>
      <c r="G613" s="3" t="s">
        <v>43</v>
      </c>
      <c r="H613" s="3" t="s">
        <v>105</v>
      </c>
      <c r="I613" s="3">
        <v>3077.74</v>
      </c>
      <c r="J613" s="3">
        <v>3</v>
      </c>
      <c r="K613" s="3">
        <v>5</v>
      </c>
      <c r="L613" s="9">
        <f t="shared" si="37"/>
        <v>9233.2199999999993</v>
      </c>
      <c r="M613" s="9">
        <f t="shared" si="38"/>
        <v>461.661</v>
      </c>
      <c r="N613" s="10">
        <f t="shared" si="39"/>
        <v>8771.5589999999993</v>
      </c>
      <c r="O613" s="3" t="s">
        <v>26</v>
      </c>
      <c r="P613" s="3" t="s">
        <v>18</v>
      </c>
      <c r="Q613" s="3" t="s">
        <v>40</v>
      </c>
    </row>
    <row r="614" spans="1:17" x14ac:dyDescent="0.25">
      <c r="A614" s="2" t="s">
        <v>954</v>
      </c>
      <c r="B614" s="4">
        <v>45653</v>
      </c>
      <c r="C614" s="4" t="str">
        <f t="shared" si="36"/>
        <v>Dec</v>
      </c>
      <c r="D614" s="2" t="s">
        <v>453</v>
      </c>
      <c r="E614" s="2" t="s">
        <v>65</v>
      </c>
      <c r="F614" s="2" t="s">
        <v>66</v>
      </c>
      <c r="G614" s="2" t="s">
        <v>24</v>
      </c>
      <c r="H614" s="2" t="s">
        <v>170</v>
      </c>
      <c r="I614" s="2">
        <v>1198.0899999999999</v>
      </c>
      <c r="J614" s="2">
        <v>2</v>
      </c>
      <c r="K614" s="2">
        <v>15</v>
      </c>
      <c r="L614" s="9">
        <f t="shared" si="37"/>
        <v>2396.1799999999998</v>
      </c>
      <c r="M614" s="9">
        <f t="shared" si="38"/>
        <v>359.42699999999996</v>
      </c>
      <c r="N614" s="10">
        <f t="shared" si="39"/>
        <v>2036.7529999999999</v>
      </c>
      <c r="O614" s="2" t="s">
        <v>33</v>
      </c>
      <c r="P614" s="2" t="s">
        <v>18</v>
      </c>
      <c r="Q614" s="2" t="s">
        <v>19</v>
      </c>
    </row>
    <row r="615" spans="1:17" x14ac:dyDescent="0.25">
      <c r="A615" s="3" t="s">
        <v>955</v>
      </c>
      <c r="B615" s="4">
        <v>45654</v>
      </c>
      <c r="C615" s="4" t="str">
        <f t="shared" si="36"/>
        <v>Dec</v>
      </c>
      <c r="D615" s="3" t="s">
        <v>559</v>
      </c>
      <c r="E615" s="3" t="s">
        <v>47</v>
      </c>
      <c r="F615" s="3" t="s">
        <v>48</v>
      </c>
      <c r="G615" s="3" t="s">
        <v>36</v>
      </c>
      <c r="H615" s="3" t="s">
        <v>78</v>
      </c>
      <c r="I615" s="3">
        <v>77739.63</v>
      </c>
      <c r="J615" s="3">
        <v>5</v>
      </c>
      <c r="K615" s="3">
        <v>0</v>
      </c>
      <c r="L615" s="9">
        <f t="shared" si="37"/>
        <v>388698.15</v>
      </c>
      <c r="M615" s="9">
        <f t="shared" si="38"/>
        <v>0</v>
      </c>
      <c r="N615" s="10">
        <f t="shared" si="39"/>
        <v>388698.15</v>
      </c>
      <c r="O615" s="3" t="s">
        <v>33</v>
      </c>
      <c r="P615" s="3" t="s">
        <v>18</v>
      </c>
      <c r="Q615" s="3" t="s">
        <v>60</v>
      </c>
    </row>
    <row r="616" spans="1:17" x14ac:dyDescent="0.25">
      <c r="A616" s="2" t="s">
        <v>956</v>
      </c>
      <c r="B616" s="4">
        <v>45655</v>
      </c>
      <c r="C616" s="4" t="str">
        <f t="shared" si="36"/>
        <v>Dec</v>
      </c>
      <c r="D616" s="2" t="s">
        <v>97</v>
      </c>
      <c r="E616" s="2" t="s">
        <v>13</v>
      </c>
      <c r="F616" s="2" t="s">
        <v>14</v>
      </c>
      <c r="G616" s="2" t="s">
        <v>36</v>
      </c>
      <c r="H616" s="2" t="s">
        <v>121</v>
      </c>
      <c r="I616" s="2">
        <v>92919.19</v>
      </c>
      <c r="J616" s="2">
        <v>2</v>
      </c>
      <c r="K616" s="2">
        <v>0</v>
      </c>
      <c r="L616" s="9">
        <f t="shared" si="37"/>
        <v>185838.38</v>
      </c>
      <c r="M616" s="9">
        <f t="shared" si="38"/>
        <v>0</v>
      </c>
      <c r="N616" s="10">
        <f t="shared" si="39"/>
        <v>185838.38</v>
      </c>
      <c r="O616" s="2" t="s">
        <v>38</v>
      </c>
      <c r="P616" s="2" t="s">
        <v>18</v>
      </c>
      <c r="Q616" s="2" t="s">
        <v>19</v>
      </c>
    </row>
    <row r="617" spans="1:17" x14ac:dyDescent="0.25">
      <c r="A617" s="3" t="s">
        <v>957</v>
      </c>
      <c r="B617" s="4">
        <v>45656</v>
      </c>
      <c r="C617" s="4" t="str">
        <f t="shared" si="36"/>
        <v>Dec</v>
      </c>
      <c r="D617" s="3" t="s">
        <v>423</v>
      </c>
      <c r="E617" s="3" t="s">
        <v>76</v>
      </c>
      <c r="F617" s="3" t="s">
        <v>77</v>
      </c>
      <c r="G617" s="3" t="s">
        <v>43</v>
      </c>
      <c r="H617" s="3" t="s">
        <v>145</v>
      </c>
      <c r="I617" s="3">
        <v>11769.39</v>
      </c>
      <c r="J617" s="3">
        <v>1</v>
      </c>
      <c r="K617" s="3">
        <v>15</v>
      </c>
      <c r="L617" s="9">
        <f t="shared" si="37"/>
        <v>11769.39</v>
      </c>
      <c r="M617" s="9">
        <f t="shared" si="38"/>
        <v>1765.4084999999998</v>
      </c>
      <c r="N617" s="10">
        <f t="shared" si="39"/>
        <v>10003.9815</v>
      </c>
      <c r="O617" s="3" t="s">
        <v>26</v>
      </c>
      <c r="P617" s="3" t="s">
        <v>18</v>
      </c>
      <c r="Q617" s="3" t="s">
        <v>60</v>
      </c>
    </row>
    <row r="618" spans="1:17" x14ac:dyDescent="0.25">
      <c r="A618" s="2" t="s">
        <v>958</v>
      </c>
      <c r="B618" s="4">
        <v>45657</v>
      </c>
      <c r="C618" s="4" t="str">
        <f t="shared" si="36"/>
        <v>Dec</v>
      </c>
      <c r="D618" s="2" t="s">
        <v>919</v>
      </c>
      <c r="E618" s="2" t="s">
        <v>29</v>
      </c>
      <c r="F618" s="2" t="s">
        <v>30</v>
      </c>
      <c r="G618" s="2" t="s">
        <v>110</v>
      </c>
      <c r="H618" s="2" t="s">
        <v>215</v>
      </c>
      <c r="I618" s="2">
        <v>2416.7199999999998</v>
      </c>
      <c r="J618" s="2">
        <v>3</v>
      </c>
      <c r="K618" s="2">
        <v>0</v>
      </c>
      <c r="L618" s="9">
        <f t="shared" si="37"/>
        <v>7250.16</v>
      </c>
      <c r="M618" s="9">
        <f t="shared" si="38"/>
        <v>0</v>
      </c>
      <c r="N618" s="10">
        <f t="shared" si="39"/>
        <v>7250.16</v>
      </c>
      <c r="O618" s="2" t="s">
        <v>68</v>
      </c>
      <c r="P618" s="2" t="s">
        <v>27</v>
      </c>
      <c r="Q618" s="2" t="s">
        <v>40</v>
      </c>
    </row>
    <row r="619" spans="1:17" x14ac:dyDescent="0.25">
      <c r="A619" s="3" t="s">
        <v>959</v>
      </c>
      <c r="B619" s="4">
        <v>45658</v>
      </c>
      <c r="C619" s="4" t="str">
        <f t="shared" si="36"/>
        <v>Jan</v>
      </c>
      <c r="D619" s="3" t="s">
        <v>641</v>
      </c>
      <c r="E619" s="3" t="s">
        <v>22</v>
      </c>
      <c r="F619" s="3" t="s">
        <v>23</v>
      </c>
      <c r="G619" s="3" t="s">
        <v>72</v>
      </c>
      <c r="H619" s="3" t="s">
        <v>129</v>
      </c>
      <c r="I619" s="3">
        <v>1893.76</v>
      </c>
      <c r="J619" s="3">
        <v>3</v>
      </c>
      <c r="K619" s="3">
        <v>0</v>
      </c>
      <c r="L619" s="9">
        <f t="shared" si="37"/>
        <v>5681.28</v>
      </c>
      <c r="M619" s="9">
        <f t="shared" si="38"/>
        <v>0</v>
      </c>
      <c r="N619" s="10">
        <f t="shared" si="39"/>
        <v>5681.28</v>
      </c>
      <c r="O619" s="3" t="s">
        <v>26</v>
      </c>
      <c r="P619" s="3" t="s">
        <v>18</v>
      </c>
      <c r="Q619" s="3" t="s">
        <v>19</v>
      </c>
    </row>
    <row r="620" spans="1:17" x14ac:dyDescent="0.25">
      <c r="A620" s="2" t="s">
        <v>960</v>
      </c>
      <c r="B620" s="4">
        <v>45659</v>
      </c>
      <c r="C620" s="4" t="str">
        <f t="shared" si="36"/>
        <v>Jan</v>
      </c>
      <c r="D620" s="2" t="s">
        <v>143</v>
      </c>
      <c r="E620" s="2" t="s">
        <v>51</v>
      </c>
      <c r="F620" s="2" t="s">
        <v>14</v>
      </c>
      <c r="G620" s="2" t="s">
        <v>31</v>
      </c>
      <c r="H620" s="2" t="s">
        <v>70</v>
      </c>
      <c r="I620" s="2">
        <v>647.58000000000004</v>
      </c>
      <c r="J620" s="2">
        <v>3</v>
      </c>
      <c r="K620" s="2">
        <v>15</v>
      </c>
      <c r="L620" s="9">
        <f t="shared" si="37"/>
        <v>1942.7400000000002</v>
      </c>
      <c r="M620" s="9">
        <f t="shared" si="38"/>
        <v>291.411</v>
      </c>
      <c r="N620" s="10">
        <f t="shared" si="39"/>
        <v>1651.3290000000002</v>
      </c>
      <c r="O620" s="2" t="s">
        <v>68</v>
      </c>
      <c r="P620" s="2" t="s">
        <v>27</v>
      </c>
      <c r="Q620" s="2" t="s">
        <v>60</v>
      </c>
    </row>
    <row r="621" spans="1:17" x14ac:dyDescent="0.25">
      <c r="A621" s="3" t="s">
        <v>961</v>
      </c>
      <c r="B621" s="4">
        <v>45660</v>
      </c>
      <c r="C621" s="4" t="str">
        <f t="shared" si="36"/>
        <v>Jan</v>
      </c>
      <c r="D621" s="3" t="s">
        <v>285</v>
      </c>
      <c r="E621" s="3" t="s">
        <v>13</v>
      </c>
      <c r="F621" s="3" t="s">
        <v>14</v>
      </c>
      <c r="G621" s="3" t="s">
        <v>24</v>
      </c>
      <c r="H621" s="3" t="s">
        <v>92</v>
      </c>
      <c r="I621" s="3">
        <v>1565.92</v>
      </c>
      <c r="J621" s="3">
        <v>5</v>
      </c>
      <c r="K621" s="3">
        <v>10</v>
      </c>
      <c r="L621" s="9">
        <f t="shared" si="37"/>
        <v>7829.6</v>
      </c>
      <c r="M621" s="9">
        <f t="shared" si="38"/>
        <v>782.96</v>
      </c>
      <c r="N621" s="10">
        <f t="shared" si="39"/>
        <v>7046.64</v>
      </c>
      <c r="O621" s="3" t="s">
        <v>33</v>
      </c>
      <c r="P621" s="3" t="s">
        <v>18</v>
      </c>
      <c r="Q621" s="3" t="s">
        <v>40</v>
      </c>
    </row>
    <row r="622" spans="1:17" x14ac:dyDescent="0.25">
      <c r="A622" s="2" t="s">
        <v>962</v>
      </c>
      <c r="B622" s="4">
        <v>45661</v>
      </c>
      <c r="C622" s="4" t="str">
        <f t="shared" si="36"/>
        <v>Jan</v>
      </c>
      <c r="D622" s="2" t="s">
        <v>118</v>
      </c>
      <c r="E622" s="2" t="s">
        <v>76</v>
      </c>
      <c r="F622" s="2" t="s">
        <v>77</v>
      </c>
      <c r="G622" s="2" t="s">
        <v>110</v>
      </c>
      <c r="H622" s="2" t="s">
        <v>67</v>
      </c>
      <c r="I622" s="2">
        <v>4919.92</v>
      </c>
      <c r="J622" s="2">
        <v>1</v>
      </c>
      <c r="K622" s="2">
        <v>15</v>
      </c>
      <c r="L622" s="9">
        <f t="shared" si="37"/>
        <v>4919.92</v>
      </c>
      <c r="M622" s="9">
        <f t="shared" si="38"/>
        <v>737.98800000000006</v>
      </c>
      <c r="N622" s="10">
        <f t="shared" si="39"/>
        <v>4181.9319999999998</v>
      </c>
      <c r="O622" s="2" t="s">
        <v>38</v>
      </c>
      <c r="P622" s="2" t="s">
        <v>18</v>
      </c>
      <c r="Q622" s="2" t="s">
        <v>34</v>
      </c>
    </row>
    <row r="623" spans="1:17" x14ac:dyDescent="0.25">
      <c r="A623" s="3" t="s">
        <v>963</v>
      </c>
      <c r="B623" s="4">
        <v>45662</v>
      </c>
      <c r="C623" s="4" t="str">
        <f t="shared" si="36"/>
        <v>Jan</v>
      </c>
      <c r="D623" s="3" t="s">
        <v>301</v>
      </c>
      <c r="E623" s="3" t="s">
        <v>22</v>
      </c>
      <c r="F623" s="3" t="s">
        <v>23</v>
      </c>
      <c r="G623" s="3" t="s">
        <v>24</v>
      </c>
      <c r="H623" s="3" t="s">
        <v>170</v>
      </c>
      <c r="I623" s="3">
        <v>1240.1600000000001</v>
      </c>
      <c r="J623" s="3">
        <v>4</v>
      </c>
      <c r="K623" s="3">
        <v>0</v>
      </c>
      <c r="L623" s="9">
        <f t="shared" si="37"/>
        <v>4960.6400000000003</v>
      </c>
      <c r="M623" s="9">
        <f t="shared" si="38"/>
        <v>0</v>
      </c>
      <c r="N623" s="10">
        <f t="shared" si="39"/>
        <v>4960.6400000000003</v>
      </c>
      <c r="O623" s="3" t="s">
        <v>17</v>
      </c>
      <c r="P623" s="3" t="s">
        <v>18</v>
      </c>
      <c r="Q623" s="3" t="s">
        <v>19</v>
      </c>
    </row>
    <row r="624" spans="1:17" x14ac:dyDescent="0.25">
      <c r="A624" s="2" t="s">
        <v>964</v>
      </c>
      <c r="B624" s="4">
        <v>45663</v>
      </c>
      <c r="C624" s="4" t="str">
        <f t="shared" si="36"/>
        <v>Jan</v>
      </c>
      <c r="D624" s="2" t="s">
        <v>433</v>
      </c>
      <c r="E624" s="2" t="s">
        <v>100</v>
      </c>
      <c r="F624" s="2" t="s">
        <v>88</v>
      </c>
      <c r="G624" s="2" t="s">
        <v>43</v>
      </c>
      <c r="H624" s="2" t="s">
        <v>44</v>
      </c>
      <c r="I624" s="2">
        <v>3479.85</v>
      </c>
      <c r="J624" s="2">
        <v>5</v>
      </c>
      <c r="K624" s="2">
        <v>0</v>
      </c>
      <c r="L624" s="9">
        <f t="shared" si="37"/>
        <v>17399.25</v>
      </c>
      <c r="M624" s="9">
        <f t="shared" si="38"/>
        <v>0</v>
      </c>
      <c r="N624" s="10">
        <f t="shared" si="39"/>
        <v>17399.25</v>
      </c>
      <c r="O624" s="2" t="s">
        <v>26</v>
      </c>
      <c r="P624" s="2" t="s">
        <v>27</v>
      </c>
      <c r="Q624" s="2" t="s">
        <v>53</v>
      </c>
    </row>
    <row r="625" spans="1:17" x14ac:dyDescent="0.25">
      <c r="A625" s="3" t="s">
        <v>965</v>
      </c>
      <c r="B625" s="4">
        <v>45664</v>
      </c>
      <c r="C625" s="4" t="str">
        <f t="shared" si="36"/>
        <v>Jan</v>
      </c>
      <c r="D625" s="3" t="s">
        <v>966</v>
      </c>
      <c r="E625" s="3" t="s">
        <v>13</v>
      </c>
      <c r="F625" s="3" t="s">
        <v>14</v>
      </c>
      <c r="G625" s="3" t="s">
        <v>31</v>
      </c>
      <c r="H625" s="3" t="s">
        <v>32</v>
      </c>
      <c r="I625" s="3">
        <v>2478.09</v>
      </c>
      <c r="J625" s="3">
        <v>2</v>
      </c>
      <c r="K625" s="3">
        <v>0</v>
      </c>
      <c r="L625" s="9">
        <f t="shared" si="37"/>
        <v>4956.18</v>
      </c>
      <c r="M625" s="9">
        <f t="shared" si="38"/>
        <v>0</v>
      </c>
      <c r="N625" s="10">
        <f t="shared" si="39"/>
        <v>4956.18</v>
      </c>
      <c r="O625" s="3" t="s">
        <v>68</v>
      </c>
      <c r="P625" s="3" t="s">
        <v>39</v>
      </c>
      <c r="Q625" s="3" t="s">
        <v>40</v>
      </c>
    </row>
    <row r="626" spans="1:17" x14ac:dyDescent="0.25">
      <c r="A626" s="2" t="s">
        <v>967</v>
      </c>
      <c r="B626" s="4">
        <v>45665</v>
      </c>
      <c r="C626" s="4" t="str">
        <f t="shared" si="36"/>
        <v>Jan</v>
      </c>
      <c r="D626" s="2" t="s">
        <v>751</v>
      </c>
      <c r="E626" s="2" t="s">
        <v>29</v>
      </c>
      <c r="F626" s="2" t="s">
        <v>30</v>
      </c>
      <c r="G626" s="2" t="s">
        <v>24</v>
      </c>
      <c r="H626" s="2" t="s">
        <v>92</v>
      </c>
      <c r="I626" s="2">
        <v>1591.34</v>
      </c>
      <c r="J626" s="2">
        <v>4</v>
      </c>
      <c r="K626" s="2">
        <v>15</v>
      </c>
      <c r="L626" s="9">
        <f t="shared" si="37"/>
        <v>6365.36</v>
      </c>
      <c r="M626" s="9">
        <f t="shared" si="38"/>
        <v>954.80399999999997</v>
      </c>
      <c r="N626" s="10">
        <f t="shared" si="39"/>
        <v>5410.5559999999996</v>
      </c>
      <c r="O626" s="2" t="s">
        <v>33</v>
      </c>
      <c r="P626" s="2" t="s">
        <v>18</v>
      </c>
      <c r="Q626" s="2" t="s">
        <v>40</v>
      </c>
    </row>
    <row r="627" spans="1:17" x14ac:dyDescent="0.25">
      <c r="A627" s="3" t="s">
        <v>968</v>
      </c>
      <c r="B627" s="4">
        <v>45666</v>
      </c>
      <c r="C627" s="4" t="str">
        <f t="shared" si="36"/>
        <v>Jan</v>
      </c>
      <c r="D627" s="3" t="s">
        <v>126</v>
      </c>
      <c r="E627" s="3" t="s">
        <v>100</v>
      </c>
      <c r="F627" s="3" t="s">
        <v>88</v>
      </c>
      <c r="G627" s="3" t="s">
        <v>31</v>
      </c>
      <c r="H627" s="3" t="s">
        <v>186</v>
      </c>
      <c r="I627" s="3">
        <v>842.28</v>
      </c>
      <c r="J627" s="3">
        <v>5</v>
      </c>
      <c r="K627" s="3">
        <v>0</v>
      </c>
      <c r="L627" s="9">
        <f t="shared" si="37"/>
        <v>4211.3999999999996</v>
      </c>
      <c r="M627" s="9">
        <f t="shared" si="38"/>
        <v>0</v>
      </c>
      <c r="N627" s="10">
        <f t="shared" si="39"/>
        <v>4211.3999999999996</v>
      </c>
      <c r="O627" s="3" t="s">
        <v>38</v>
      </c>
      <c r="P627" s="3" t="s">
        <v>18</v>
      </c>
      <c r="Q627" s="3" t="s">
        <v>40</v>
      </c>
    </row>
    <row r="628" spans="1:17" x14ac:dyDescent="0.25">
      <c r="A628" s="2" t="s">
        <v>969</v>
      </c>
      <c r="B628" s="4">
        <v>45667</v>
      </c>
      <c r="C628" s="4" t="str">
        <f t="shared" si="36"/>
        <v>Jan</v>
      </c>
      <c r="D628" s="2" t="s">
        <v>541</v>
      </c>
      <c r="E628" s="2" t="s">
        <v>100</v>
      </c>
      <c r="F628" s="2" t="s">
        <v>88</v>
      </c>
      <c r="G628" s="2" t="s">
        <v>15</v>
      </c>
      <c r="H628" s="2" t="s">
        <v>16</v>
      </c>
      <c r="I628" s="2">
        <v>1516.02</v>
      </c>
      <c r="J628" s="2">
        <v>4</v>
      </c>
      <c r="K628" s="2">
        <v>0</v>
      </c>
      <c r="L628" s="9">
        <f t="shared" si="37"/>
        <v>6064.08</v>
      </c>
      <c r="M628" s="9">
        <f t="shared" si="38"/>
        <v>0</v>
      </c>
      <c r="N628" s="10">
        <f t="shared" si="39"/>
        <v>6064.08</v>
      </c>
      <c r="O628" s="2" t="s">
        <v>17</v>
      </c>
      <c r="P628" s="2" t="s">
        <v>18</v>
      </c>
      <c r="Q628" s="2" t="s">
        <v>53</v>
      </c>
    </row>
    <row r="629" spans="1:17" x14ac:dyDescent="0.25">
      <c r="A629" s="3" t="s">
        <v>970</v>
      </c>
      <c r="B629" s="4">
        <v>45668</v>
      </c>
      <c r="C629" s="4" t="str">
        <f t="shared" si="36"/>
        <v>Jan</v>
      </c>
      <c r="D629" s="3" t="s">
        <v>616</v>
      </c>
      <c r="E629" s="3" t="s">
        <v>65</v>
      </c>
      <c r="F629" s="3" t="s">
        <v>66</v>
      </c>
      <c r="G629" s="3" t="s">
        <v>72</v>
      </c>
      <c r="H629" s="3" t="s">
        <v>102</v>
      </c>
      <c r="I629" s="3">
        <v>587.03</v>
      </c>
      <c r="J629" s="3">
        <v>4</v>
      </c>
      <c r="K629" s="3">
        <v>0</v>
      </c>
      <c r="L629" s="9">
        <f t="shared" si="37"/>
        <v>2348.12</v>
      </c>
      <c r="M629" s="9">
        <f t="shared" si="38"/>
        <v>0</v>
      </c>
      <c r="N629" s="10">
        <f t="shared" si="39"/>
        <v>2348.12</v>
      </c>
      <c r="O629" s="3" t="s">
        <v>68</v>
      </c>
      <c r="P629" s="3" t="s">
        <v>18</v>
      </c>
      <c r="Q629" s="3" t="s">
        <v>53</v>
      </c>
    </row>
    <row r="630" spans="1:17" x14ac:dyDescent="0.25">
      <c r="A630" s="2" t="s">
        <v>971</v>
      </c>
      <c r="B630" s="4">
        <v>45669</v>
      </c>
      <c r="C630" s="4" t="str">
        <f t="shared" si="36"/>
        <v>Jan</v>
      </c>
      <c r="D630" s="2" t="s">
        <v>647</v>
      </c>
      <c r="E630" s="2" t="s">
        <v>29</v>
      </c>
      <c r="F630" s="2" t="s">
        <v>30</v>
      </c>
      <c r="G630" s="2" t="s">
        <v>31</v>
      </c>
      <c r="H630" s="2" t="s">
        <v>70</v>
      </c>
      <c r="I630" s="2">
        <v>623.22</v>
      </c>
      <c r="J630" s="2">
        <v>4</v>
      </c>
      <c r="K630" s="2">
        <v>15</v>
      </c>
      <c r="L630" s="9">
        <f t="shared" si="37"/>
        <v>2492.88</v>
      </c>
      <c r="M630" s="9">
        <f t="shared" si="38"/>
        <v>373.93200000000002</v>
      </c>
      <c r="N630" s="10">
        <f t="shared" si="39"/>
        <v>2118.9480000000003</v>
      </c>
      <c r="O630" s="2" t="s">
        <v>26</v>
      </c>
      <c r="P630" s="2" t="s">
        <v>18</v>
      </c>
      <c r="Q630" s="2" t="s">
        <v>53</v>
      </c>
    </row>
    <row r="631" spans="1:17" x14ac:dyDescent="0.25">
      <c r="A631" s="3" t="s">
        <v>972</v>
      </c>
      <c r="B631" s="4">
        <v>45670</v>
      </c>
      <c r="C631" s="4" t="str">
        <f t="shared" si="36"/>
        <v>Jan</v>
      </c>
      <c r="D631" s="3" t="s">
        <v>217</v>
      </c>
      <c r="E631" s="3" t="s">
        <v>76</v>
      </c>
      <c r="F631" s="3" t="s">
        <v>77</v>
      </c>
      <c r="G631" s="3" t="s">
        <v>43</v>
      </c>
      <c r="H631" s="3" t="s">
        <v>127</v>
      </c>
      <c r="I631" s="3">
        <v>5981.9</v>
      </c>
      <c r="J631" s="3">
        <v>5</v>
      </c>
      <c r="K631" s="3">
        <v>15</v>
      </c>
      <c r="L631" s="9">
        <f t="shared" si="37"/>
        <v>29909.5</v>
      </c>
      <c r="M631" s="9">
        <f t="shared" si="38"/>
        <v>4486.4250000000002</v>
      </c>
      <c r="N631" s="10">
        <f t="shared" si="39"/>
        <v>25423.075000000001</v>
      </c>
      <c r="O631" s="3" t="s">
        <v>68</v>
      </c>
      <c r="P631" s="3" t="s">
        <v>52</v>
      </c>
      <c r="Q631" s="3" t="s">
        <v>53</v>
      </c>
    </row>
    <row r="632" spans="1:17" x14ac:dyDescent="0.25">
      <c r="A632" s="2" t="s">
        <v>973</v>
      </c>
      <c r="B632" s="4">
        <v>45671</v>
      </c>
      <c r="C632" s="4" t="str">
        <f t="shared" si="36"/>
        <v>Jan</v>
      </c>
      <c r="D632" s="2" t="s">
        <v>751</v>
      </c>
      <c r="E632" s="2" t="s">
        <v>22</v>
      </c>
      <c r="F632" s="2" t="s">
        <v>23</v>
      </c>
      <c r="G632" s="2" t="s">
        <v>15</v>
      </c>
      <c r="H632" s="2" t="s">
        <v>16</v>
      </c>
      <c r="I632" s="2">
        <v>1454.36</v>
      </c>
      <c r="J632" s="2">
        <v>1</v>
      </c>
      <c r="K632" s="2">
        <v>10</v>
      </c>
      <c r="L632" s="9">
        <f t="shared" si="37"/>
        <v>1454.36</v>
      </c>
      <c r="M632" s="9">
        <f t="shared" si="38"/>
        <v>145.43599999999998</v>
      </c>
      <c r="N632" s="10">
        <f t="shared" si="39"/>
        <v>1308.924</v>
      </c>
      <c r="O632" s="2" t="s">
        <v>26</v>
      </c>
      <c r="P632" s="2" t="s">
        <v>18</v>
      </c>
      <c r="Q632" s="2" t="s">
        <v>40</v>
      </c>
    </row>
    <row r="633" spans="1:17" x14ac:dyDescent="0.25">
      <c r="A633" s="3" t="s">
        <v>974</v>
      </c>
      <c r="B633" s="4">
        <v>45672</v>
      </c>
      <c r="C633" s="4" t="str">
        <f t="shared" si="36"/>
        <v>Jan</v>
      </c>
      <c r="D633" s="3" t="s">
        <v>628</v>
      </c>
      <c r="E633" s="3" t="s">
        <v>87</v>
      </c>
      <c r="F633" s="3" t="s">
        <v>88</v>
      </c>
      <c r="G633" s="3" t="s">
        <v>72</v>
      </c>
      <c r="H633" s="3" t="s">
        <v>73</v>
      </c>
      <c r="I633" s="3">
        <v>350.53</v>
      </c>
      <c r="J633" s="3">
        <v>4</v>
      </c>
      <c r="K633" s="3">
        <v>0</v>
      </c>
      <c r="L633" s="9">
        <f t="shared" si="37"/>
        <v>1402.12</v>
      </c>
      <c r="M633" s="9">
        <f t="shared" si="38"/>
        <v>0</v>
      </c>
      <c r="N633" s="10">
        <f t="shared" si="39"/>
        <v>1402.12</v>
      </c>
      <c r="O633" s="3" t="s">
        <v>26</v>
      </c>
      <c r="P633" s="3" t="s">
        <v>18</v>
      </c>
      <c r="Q633" s="3" t="s">
        <v>40</v>
      </c>
    </row>
    <row r="634" spans="1:17" x14ac:dyDescent="0.25">
      <c r="A634" s="2" t="s">
        <v>975</v>
      </c>
      <c r="B634" s="4">
        <v>45673</v>
      </c>
      <c r="C634" s="4" t="str">
        <f t="shared" si="36"/>
        <v>Jan</v>
      </c>
      <c r="D634" s="2" t="s">
        <v>545</v>
      </c>
      <c r="E634" s="2" t="s">
        <v>76</v>
      </c>
      <c r="F634" s="2" t="s">
        <v>77</v>
      </c>
      <c r="G634" s="2" t="s">
        <v>43</v>
      </c>
      <c r="H634" s="2" t="s">
        <v>127</v>
      </c>
      <c r="I634" s="2">
        <v>5125.74</v>
      </c>
      <c r="J634" s="2">
        <v>1</v>
      </c>
      <c r="K634" s="2">
        <v>5</v>
      </c>
      <c r="L634" s="9">
        <f t="shared" si="37"/>
        <v>5125.74</v>
      </c>
      <c r="M634" s="9">
        <f t="shared" si="38"/>
        <v>256.28699999999998</v>
      </c>
      <c r="N634" s="10">
        <f t="shared" si="39"/>
        <v>4869.4529999999995</v>
      </c>
      <c r="O634" s="2" t="s">
        <v>38</v>
      </c>
      <c r="P634" s="2" t="s">
        <v>18</v>
      </c>
      <c r="Q634" s="2" t="s">
        <v>53</v>
      </c>
    </row>
    <row r="635" spans="1:17" x14ac:dyDescent="0.25">
      <c r="A635" s="3" t="s">
        <v>976</v>
      </c>
      <c r="B635" s="4">
        <v>45674</v>
      </c>
      <c r="C635" s="4" t="str">
        <f t="shared" si="36"/>
        <v>Jan</v>
      </c>
      <c r="D635" s="3" t="s">
        <v>917</v>
      </c>
      <c r="E635" s="3" t="s">
        <v>29</v>
      </c>
      <c r="F635" s="3" t="s">
        <v>30</v>
      </c>
      <c r="G635" s="3" t="s">
        <v>72</v>
      </c>
      <c r="H635" s="3" t="s">
        <v>129</v>
      </c>
      <c r="I635" s="3">
        <v>1635.59</v>
      </c>
      <c r="J635" s="3">
        <v>1</v>
      </c>
      <c r="K635" s="3">
        <v>5</v>
      </c>
      <c r="L635" s="9">
        <f t="shared" si="37"/>
        <v>1635.59</v>
      </c>
      <c r="M635" s="9">
        <f t="shared" si="38"/>
        <v>81.779499999999999</v>
      </c>
      <c r="N635" s="10">
        <f t="shared" si="39"/>
        <v>1553.8104999999998</v>
      </c>
      <c r="O635" s="3" t="s">
        <v>26</v>
      </c>
      <c r="P635" s="3" t="s">
        <v>18</v>
      </c>
      <c r="Q635" s="3" t="s">
        <v>40</v>
      </c>
    </row>
    <row r="636" spans="1:17" x14ac:dyDescent="0.25">
      <c r="A636" s="2" t="s">
        <v>977</v>
      </c>
      <c r="B636" s="4">
        <v>45675</v>
      </c>
      <c r="C636" s="4" t="str">
        <f t="shared" si="36"/>
        <v>Jan</v>
      </c>
      <c r="D636" s="2" t="s">
        <v>53</v>
      </c>
      <c r="E636" s="2" t="s">
        <v>22</v>
      </c>
      <c r="F636" s="2" t="s">
        <v>23</v>
      </c>
      <c r="G636" s="2" t="s">
        <v>24</v>
      </c>
      <c r="H636" s="2" t="s">
        <v>170</v>
      </c>
      <c r="I636" s="2">
        <v>1186.76</v>
      </c>
      <c r="J636" s="2">
        <v>5</v>
      </c>
      <c r="K636" s="2">
        <v>0</v>
      </c>
      <c r="L636" s="9">
        <f t="shared" si="37"/>
        <v>5933.8</v>
      </c>
      <c r="M636" s="9">
        <f t="shared" si="38"/>
        <v>0</v>
      </c>
      <c r="N636" s="10">
        <f t="shared" si="39"/>
        <v>5933.8</v>
      </c>
      <c r="O636" s="2" t="s">
        <v>33</v>
      </c>
      <c r="P636" s="2" t="s">
        <v>18</v>
      </c>
      <c r="Q636" s="2" t="s">
        <v>34</v>
      </c>
    </row>
    <row r="637" spans="1:17" x14ac:dyDescent="0.25">
      <c r="A637" s="3" t="s">
        <v>978</v>
      </c>
      <c r="B637" s="4">
        <v>45676</v>
      </c>
      <c r="C637" s="4" t="str">
        <f t="shared" si="36"/>
        <v>Jan</v>
      </c>
      <c r="D637" s="3" t="s">
        <v>601</v>
      </c>
      <c r="E637" s="3" t="s">
        <v>51</v>
      </c>
      <c r="F637" s="3" t="s">
        <v>14</v>
      </c>
      <c r="G637" s="3" t="s">
        <v>36</v>
      </c>
      <c r="H637" s="3" t="s">
        <v>49</v>
      </c>
      <c r="I637" s="3">
        <v>157132.44</v>
      </c>
      <c r="J637" s="3">
        <v>2</v>
      </c>
      <c r="K637" s="3">
        <v>10</v>
      </c>
      <c r="L637" s="9">
        <f t="shared" si="37"/>
        <v>314264.88</v>
      </c>
      <c r="M637" s="9">
        <f t="shared" si="38"/>
        <v>31426.487999999998</v>
      </c>
      <c r="N637" s="10">
        <f t="shared" si="39"/>
        <v>282838.39199999999</v>
      </c>
      <c r="O637" s="3" t="s">
        <v>26</v>
      </c>
      <c r="P637" s="3" t="s">
        <v>18</v>
      </c>
      <c r="Q637" s="3" t="s">
        <v>60</v>
      </c>
    </row>
    <row r="638" spans="1:17" x14ac:dyDescent="0.25">
      <c r="A638" s="2" t="s">
        <v>979</v>
      </c>
      <c r="B638" s="4">
        <v>45677</v>
      </c>
      <c r="C638" s="4" t="str">
        <f t="shared" si="36"/>
        <v>Jan</v>
      </c>
      <c r="D638" s="2" t="s">
        <v>721</v>
      </c>
      <c r="E638" s="2" t="s">
        <v>65</v>
      </c>
      <c r="F638" s="2" t="s">
        <v>66</v>
      </c>
      <c r="G638" s="2" t="s">
        <v>24</v>
      </c>
      <c r="H638" s="2" t="s">
        <v>25</v>
      </c>
      <c r="I638" s="2">
        <v>4885.1000000000004</v>
      </c>
      <c r="J638" s="2">
        <v>4</v>
      </c>
      <c r="K638" s="2">
        <v>5</v>
      </c>
      <c r="L638" s="9">
        <f t="shared" si="37"/>
        <v>19540.400000000001</v>
      </c>
      <c r="M638" s="9">
        <f t="shared" si="38"/>
        <v>977.02</v>
      </c>
      <c r="N638" s="10">
        <f t="shared" si="39"/>
        <v>18563.38</v>
      </c>
      <c r="O638" s="2" t="s">
        <v>33</v>
      </c>
      <c r="P638" s="2" t="s">
        <v>18</v>
      </c>
      <c r="Q638" s="2" t="s">
        <v>53</v>
      </c>
    </row>
    <row r="639" spans="1:17" x14ac:dyDescent="0.25">
      <c r="A639" s="3" t="s">
        <v>980</v>
      </c>
      <c r="B639" s="4">
        <v>45678</v>
      </c>
      <c r="C639" s="4" t="str">
        <f t="shared" si="36"/>
        <v>Jan</v>
      </c>
      <c r="D639" s="3" t="s">
        <v>981</v>
      </c>
      <c r="E639" s="3" t="s">
        <v>87</v>
      </c>
      <c r="F639" s="3" t="s">
        <v>88</v>
      </c>
      <c r="G639" s="3" t="s">
        <v>31</v>
      </c>
      <c r="H639" s="3" t="s">
        <v>186</v>
      </c>
      <c r="I639" s="3">
        <v>773.74</v>
      </c>
      <c r="J639" s="3">
        <v>1</v>
      </c>
      <c r="K639" s="3">
        <v>0</v>
      </c>
      <c r="L639" s="9">
        <f t="shared" si="37"/>
        <v>773.74</v>
      </c>
      <c r="M639" s="9">
        <f t="shared" si="38"/>
        <v>0</v>
      </c>
      <c r="N639" s="10">
        <f t="shared" si="39"/>
        <v>773.74</v>
      </c>
      <c r="O639" s="3" t="s">
        <v>17</v>
      </c>
      <c r="P639" s="3" t="s">
        <v>18</v>
      </c>
      <c r="Q639" s="3" t="s">
        <v>34</v>
      </c>
    </row>
    <row r="640" spans="1:17" x14ac:dyDescent="0.25">
      <c r="A640" s="2" t="s">
        <v>982</v>
      </c>
      <c r="B640" s="4">
        <v>45679</v>
      </c>
      <c r="C640" s="4" t="str">
        <f t="shared" si="36"/>
        <v>Jan</v>
      </c>
      <c r="D640" s="2" t="s">
        <v>559</v>
      </c>
      <c r="E640" s="2" t="s">
        <v>76</v>
      </c>
      <c r="F640" s="2" t="s">
        <v>77</v>
      </c>
      <c r="G640" s="2" t="s">
        <v>43</v>
      </c>
      <c r="H640" s="2" t="s">
        <v>127</v>
      </c>
      <c r="I640" s="2">
        <v>5786.37</v>
      </c>
      <c r="J640" s="2">
        <v>2</v>
      </c>
      <c r="K640" s="2">
        <v>0</v>
      </c>
      <c r="L640" s="9">
        <f t="shared" si="37"/>
        <v>11572.74</v>
      </c>
      <c r="M640" s="9">
        <f t="shared" si="38"/>
        <v>0</v>
      </c>
      <c r="N640" s="10">
        <f t="shared" si="39"/>
        <v>11572.74</v>
      </c>
      <c r="O640" s="2" t="s">
        <v>17</v>
      </c>
      <c r="P640" s="2" t="s">
        <v>18</v>
      </c>
      <c r="Q640" s="2" t="s">
        <v>19</v>
      </c>
    </row>
    <row r="641" spans="1:17" x14ac:dyDescent="0.25">
      <c r="A641" s="3" t="s">
        <v>983</v>
      </c>
      <c r="B641" s="4">
        <v>45680</v>
      </c>
      <c r="C641" s="4" t="str">
        <f t="shared" si="36"/>
        <v>Jan</v>
      </c>
      <c r="D641" s="3" t="s">
        <v>126</v>
      </c>
      <c r="E641" s="3" t="s">
        <v>51</v>
      </c>
      <c r="F641" s="3" t="s">
        <v>14</v>
      </c>
      <c r="G641" s="3" t="s">
        <v>36</v>
      </c>
      <c r="H641" s="3" t="s">
        <v>37</v>
      </c>
      <c r="I641" s="3">
        <v>12856.74</v>
      </c>
      <c r="J641" s="3">
        <v>4</v>
      </c>
      <c r="K641" s="3">
        <v>0</v>
      </c>
      <c r="L641" s="9">
        <f t="shared" si="37"/>
        <v>51426.96</v>
      </c>
      <c r="M641" s="9">
        <f t="shared" si="38"/>
        <v>0</v>
      </c>
      <c r="N641" s="10">
        <f t="shared" si="39"/>
        <v>51426.96</v>
      </c>
      <c r="O641" s="3" t="s">
        <v>17</v>
      </c>
      <c r="P641" s="3" t="s">
        <v>18</v>
      </c>
      <c r="Q641" s="3" t="s">
        <v>60</v>
      </c>
    </row>
    <row r="642" spans="1:17" x14ac:dyDescent="0.25">
      <c r="A642" s="2" t="s">
        <v>984</v>
      </c>
      <c r="B642" s="4">
        <v>45681</v>
      </c>
      <c r="C642" s="4" t="str">
        <f t="shared" ref="C642:C705" si="40">TEXT(B642,"mmm")</f>
        <v>Jan</v>
      </c>
      <c r="D642" s="2" t="s">
        <v>511</v>
      </c>
      <c r="E642" s="2" t="s">
        <v>65</v>
      </c>
      <c r="F642" s="2" t="s">
        <v>66</v>
      </c>
      <c r="G642" s="2" t="s">
        <v>15</v>
      </c>
      <c r="H642" s="2" t="s">
        <v>163</v>
      </c>
      <c r="I642" s="2">
        <v>2373.92</v>
      </c>
      <c r="J642" s="2">
        <v>4</v>
      </c>
      <c r="K642" s="2">
        <v>10</v>
      </c>
      <c r="L642" s="9">
        <f t="shared" ref="L642:L705" si="41">J642*I642</f>
        <v>9495.68</v>
      </c>
      <c r="M642" s="9">
        <f t="shared" ref="M642:M705" si="42">L642*K642/100</f>
        <v>949.56799999999998</v>
      </c>
      <c r="N642" s="10">
        <f t="shared" ref="N642:N705" si="43">L642-M642</f>
        <v>8546.112000000001</v>
      </c>
      <c r="O642" s="2" t="s">
        <v>26</v>
      </c>
      <c r="P642" s="2" t="s">
        <v>52</v>
      </c>
      <c r="Q642" s="2" t="s">
        <v>53</v>
      </c>
    </row>
    <row r="643" spans="1:17" x14ac:dyDescent="0.25">
      <c r="A643" s="3" t="s">
        <v>985</v>
      </c>
      <c r="B643" s="4">
        <v>45682</v>
      </c>
      <c r="C643" s="4" t="str">
        <f t="shared" si="40"/>
        <v>Jan</v>
      </c>
      <c r="D643" s="3" t="s">
        <v>986</v>
      </c>
      <c r="E643" s="3" t="s">
        <v>13</v>
      </c>
      <c r="F643" s="3" t="s">
        <v>14</v>
      </c>
      <c r="G643" s="3" t="s">
        <v>36</v>
      </c>
      <c r="H643" s="3" t="s">
        <v>37</v>
      </c>
      <c r="I643" s="3">
        <v>12560.34</v>
      </c>
      <c r="J643" s="3">
        <v>5</v>
      </c>
      <c r="K643" s="3">
        <v>5</v>
      </c>
      <c r="L643" s="9">
        <f t="shared" si="41"/>
        <v>62801.7</v>
      </c>
      <c r="M643" s="9">
        <f t="shared" si="42"/>
        <v>3140.085</v>
      </c>
      <c r="N643" s="10">
        <f t="shared" si="43"/>
        <v>59661.614999999998</v>
      </c>
      <c r="O643" s="3" t="s">
        <v>33</v>
      </c>
      <c r="P643" s="3" t="s">
        <v>52</v>
      </c>
      <c r="Q643" s="3" t="s">
        <v>60</v>
      </c>
    </row>
    <row r="644" spans="1:17" x14ac:dyDescent="0.25">
      <c r="A644" s="2" t="s">
        <v>987</v>
      </c>
      <c r="B644" s="4">
        <v>45683</v>
      </c>
      <c r="C644" s="4" t="str">
        <f t="shared" si="40"/>
        <v>Jan</v>
      </c>
      <c r="D644" s="2" t="s">
        <v>406</v>
      </c>
      <c r="E644" s="2" t="s">
        <v>76</v>
      </c>
      <c r="F644" s="2" t="s">
        <v>77</v>
      </c>
      <c r="G644" s="2" t="s">
        <v>43</v>
      </c>
      <c r="H644" s="2" t="s">
        <v>127</v>
      </c>
      <c r="I644" s="2">
        <v>5041.3999999999996</v>
      </c>
      <c r="J644" s="2">
        <v>1</v>
      </c>
      <c r="K644" s="2">
        <v>0</v>
      </c>
      <c r="L644" s="9">
        <f t="shared" si="41"/>
        <v>5041.3999999999996</v>
      </c>
      <c r="M644" s="9">
        <f t="shared" si="42"/>
        <v>0</v>
      </c>
      <c r="N644" s="10">
        <f t="shared" si="43"/>
        <v>5041.3999999999996</v>
      </c>
      <c r="O644" s="2" t="s">
        <v>33</v>
      </c>
      <c r="P644" s="2" t="s">
        <v>18</v>
      </c>
      <c r="Q644" s="2" t="s">
        <v>53</v>
      </c>
    </row>
    <row r="645" spans="1:17" x14ac:dyDescent="0.25">
      <c r="A645" s="3" t="s">
        <v>988</v>
      </c>
      <c r="B645" s="4">
        <v>45684</v>
      </c>
      <c r="C645" s="4" t="str">
        <f t="shared" si="40"/>
        <v>Jan</v>
      </c>
      <c r="D645" s="3" t="s">
        <v>340</v>
      </c>
      <c r="E645" s="3" t="s">
        <v>22</v>
      </c>
      <c r="F645" s="3" t="s">
        <v>23</v>
      </c>
      <c r="G645" s="3" t="s">
        <v>36</v>
      </c>
      <c r="H645" s="3" t="s">
        <v>37</v>
      </c>
      <c r="I645" s="3">
        <v>12405.69</v>
      </c>
      <c r="J645" s="3">
        <v>2</v>
      </c>
      <c r="K645" s="3">
        <v>15</v>
      </c>
      <c r="L645" s="9">
        <f t="shared" si="41"/>
        <v>24811.38</v>
      </c>
      <c r="M645" s="9">
        <f t="shared" si="42"/>
        <v>3721.7070000000003</v>
      </c>
      <c r="N645" s="10">
        <f t="shared" si="43"/>
        <v>21089.673000000003</v>
      </c>
      <c r="O645" s="3" t="s">
        <v>33</v>
      </c>
      <c r="P645" s="3" t="s">
        <v>39</v>
      </c>
      <c r="Q645" s="3" t="s">
        <v>19</v>
      </c>
    </row>
    <row r="646" spans="1:17" x14ac:dyDescent="0.25">
      <c r="A646" s="2" t="s">
        <v>989</v>
      </c>
      <c r="B646" s="4">
        <v>45685</v>
      </c>
      <c r="C646" s="4" t="str">
        <f t="shared" si="40"/>
        <v>Jan</v>
      </c>
      <c r="D646" s="2" t="s">
        <v>734</v>
      </c>
      <c r="E646" s="2" t="s">
        <v>76</v>
      </c>
      <c r="F646" s="2" t="s">
        <v>77</v>
      </c>
      <c r="G646" s="2" t="s">
        <v>43</v>
      </c>
      <c r="H646" s="2" t="s">
        <v>127</v>
      </c>
      <c r="I646" s="2">
        <v>5911.62</v>
      </c>
      <c r="J646" s="2">
        <v>4</v>
      </c>
      <c r="K646" s="2">
        <v>15</v>
      </c>
      <c r="L646" s="9">
        <f t="shared" si="41"/>
        <v>23646.48</v>
      </c>
      <c r="M646" s="9">
        <f t="shared" si="42"/>
        <v>3546.9720000000002</v>
      </c>
      <c r="N646" s="10">
        <f t="shared" si="43"/>
        <v>20099.507999999998</v>
      </c>
      <c r="O646" s="2" t="s">
        <v>38</v>
      </c>
      <c r="P646" s="2" t="s">
        <v>27</v>
      </c>
      <c r="Q646" s="2" t="s">
        <v>60</v>
      </c>
    </row>
    <row r="647" spans="1:17" x14ac:dyDescent="0.25">
      <c r="A647" s="3" t="s">
        <v>990</v>
      </c>
      <c r="B647" s="4">
        <v>45686</v>
      </c>
      <c r="C647" s="4" t="str">
        <f t="shared" si="40"/>
        <v>Jan</v>
      </c>
      <c r="D647" s="3" t="s">
        <v>290</v>
      </c>
      <c r="E647" s="3" t="s">
        <v>22</v>
      </c>
      <c r="F647" s="3" t="s">
        <v>23</v>
      </c>
      <c r="G647" s="3" t="s">
        <v>43</v>
      </c>
      <c r="H647" s="3" t="s">
        <v>105</v>
      </c>
      <c r="I647" s="3">
        <v>2817.32</v>
      </c>
      <c r="J647" s="3">
        <v>3</v>
      </c>
      <c r="K647" s="3">
        <v>10</v>
      </c>
      <c r="L647" s="9">
        <f t="shared" si="41"/>
        <v>8451.9600000000009</v>
      </c>
      <c r="M647" s="9">
        <f t="shared" si="42"/>
        <v>845.19600000000003</v>
      </c>
      <c r="N647" s="10">
        <f t="shared" si="43"/>
        <v>7606.764000000001</v>
      </c>
      <c r="O647" s="3" t="s">
        <v>38</v>
      </c>
      <c r="P647" s="3" t="s">
        <v>27</v>
      </c>
      <c r="Q647" s="3" t="s">
        <v>19</v>
      </c>
    </row>
    <row r="648" spans="1:17" x14ac:dyDescent="0.25">
      <c r="A648" s="2" t="s">
        <v>991</v>
      </c>
      <c r="B648" s="4">
        <v>45687</v>
      </c>
      <c r="C648" s="4" t="str">
        <f t="shared" si="40"/>
        <v>Jan</v>
      </c>
      <c r="D648" s="2" t="s">
        <v>643</v>
      </c>
      <c r="E648" s="2" t="s">
        <v>22</v>
      </c>
      <c r="F648" s="2" t="s">
        <v>23</v>
      </c>
      <c r="G648" s="2" t="s">
        <v>110</v>
      </c>
      <c r="H648" s="2" t="s">
        <v>215</v>
      </c>
      <c r="I648" s="2">
        <v>2617.88</v>
      </c>
      <c r="J648" s="2">
        <v>1</v>
      </c>
      <c r="K648" s="2">
        <v>5</v>
      </c>
      <c r="L648" s="9">
        <f t="shared" si="41"/>
        <v>2617.88</v>
      </c>
      <c r="M648" s="9">
        <f t="shared" si="42"/>
        <v>130.89400000000001</v>
      </c>
      <c r="N648" s="10">
        <f t="shared" si="43"/>
        <v>2486.9859999999999</v>
      </c>
      <c r="O648" s="2" t="s">
        <v>38</v>
      </c>
      <c r="P648" s="2" t="s">
        <v>18</v>
      </c>
      <c r="Q648" s="2" t="s">
        <v>40</v>
      </c>
    </row>
    <row r="649" spans="1:17" x14ac:dyDescent="0.25">
      <c r="A649" s="3" t="s">
        <v>992</v>
      </c>
      <c r="B649" s="4">
        <v>45688</v>
      </c>
      <c r="C649" s="4" t="str">
        <f t="shared" si="40"/>
        <v>Jan</v>
      </c>
      <c r="D649" s="3" t="s">
        <v>532</v>
      </c>
      <c r="E649" s="3" t="s">
        <v>29</v>
      </c>
      <c r="F649" s="3" t="s">
        <v>30</v>
      </c>
      <c r="G649" s="3" t="s">
        <v>36</v>
      </c>
      <c r="H649" s="3" t="s">
        <v>338</v>
      </c>
      <c r="I649" s="3">
        <v>63263.63</v>
      </c>
      <c r="J649" s="3">
        <v>5</v>
      </c>
      <c r="K649" s="3">
        <v>0</v>
      </c>
      <c r="L649" s="9">
        <f t="shared" si="41"/>
        <v>316318.14999999997</v>
      </c>
      <c r="M649" s="9">
        <f t="shared" si="42"/>
        <v>0</v>
      </c>
      <c r="N649" s="10">
        <f t="shared" si="43"/>
        <v>316318.14999999997</v>
      </c>
      <c r="O649" s="3" t="s">
        <v>68</v>
      </c>
      <c r="P649" s="3" t="s">
        <v>52</v>
      </c>
      <c r="Q649" s="3" t="s">
        <v>53</v>
      </c>
    </row>
    <row r="650" spans="1:17" x14ac:dyDescent="0.25">
      <c r="A650" s="2" t="s">
        <v>993</v>
      </c>
      <c r="B650" s="4">
        <v>45689</v>
      </c>
      <c r="C650" s="4" t="str">
        <f t="shared" si="40"/>
        <v>Feb</v>
      </c>
      <c r="D650" s="2" t="s">
        <v>613</v>
      </c>
      <c r="E650" s="2" t="s">
        <v>83</v>
      </c>
      <c r="F650" s="2" t="s">
        <v>84</v>
      </c>
      <c r="G650" s="2" t="s">
        <v>36</v>
      </c>
      <c r="H650" s="2" t="s">
        <v>121</v>
      </c>
      <c r="I650" s="2">
        <v>94591.38</v>
      </c>
      <c r="J650" s="2">
        <v>5</v>
      </c>
      <c r="K650" s="2">
        <v>0</v>
      </c>
      <c r="L650" s="9">
        <f t="shared" si="41"/>
        <v>472956.9</v>
      </c>
      <c r="M650" s="9">
        <f t="shared" si="42"/>
        <v>0</v>
      </c>
      <c r="N650" s="10">
        <f t="shared" si="43"/>
        <v>472956.9</v>
      </c>
      <c r="O650" s="2" t="s">
        <v>26</v>
      </c>
      <c r="P650" s="2" t="s">
        <v>39</v>
      </c>
      <c r="Q650" s="2" t="s">
        <v>53</v>
      </c>
    </row>
    <row r="651" spans="1:17" x14ac:dyDescent="0.25">
      <c r="A651" s="3" t="s">
        <v>994</v>
      </c>
      <c r="B651" s="4">
        <v>45690</v>
      </c>
      <c r="C651" s="4" t="str">
        <f t="shared" si="40"/>
        <v>Feb</v>
      </c>
      <c r="D651" s="3" t="s">
        <v>311</v>
      </c>
      <c r="E651" s="3" t="s">
        <v>83</v>
      </c>
      <c r="F651" s="3" t="s">
        <v>84</v>
      </c>
      <c r="G651" s="3" t="s">
        <v>15</v>
      </c>
      <c r="H651" s="3" t="s">
        <v>95</v>
      </c>
      <c r="I651" s="3">
        <v>1146.51</v>
      </c>
      <c r="J651" s="3">
        <v>1</v>
      </c>
      <c r="K651" s="3">
        <v>10</v>
      </c>
      <c r="L651" s="9">
        <f t="shared" si="41"/>
        <v>1146.51</v>
      </c>
      <c r="M651" s="9">
        <f t="shared" si="42"/>
        <v>114.65100000000001</v>
      </c>
      <c r="N651" s="10">
        <f t="shared" si="43"/>
        <v>1031.8589999999999</v>
      </c>
      <c r="O651" s="3" t="s">
        <v>38</v>
      </c>
      <c r="P651" s="3" t="s">
        <v>18</v>
      </c>
      <c r="Q651" s="3" t="s">
        <v>60</v>
      </c>
    </row>
    <row r="652" spans="1:17" x14ac:dyDescent="0.25">
      <c r="A652" s="2" t="s">
        <v>995</v>
      </c>
      <c r="B652" s="4">
        <v>45691</v>
      </c>
      <c r="C652" s="4" t="str">
        <f t="shared" si="40"/>
        <v>Feb</v>
      </c>
      <c r="D652" s="2" t="s">
        <v>53</v>
      </c>
      <c r="E652" s="2" t="s">
        <v>76</v>
      </c>
      <c r="F652" s="2" t="s">
        <v>77</v>
      </c>
      <c r="G652" s="2" t="s">
        <v>15</v>
      </c>
      <c r="H652" s="2" t="s">
        <v>56</v>
      </c>
      <c r="I652" s="2">
        <v>1864.19</v>
      </c>
      <c r="J652" s="2">
        <v>5</v>
      </c>
      <c r="K652" s="2">
        <v>15</v>
      </c>
      <c r="L652" s="9">
        <f t="shared" si="41"/>
        <v>9320.9500000000007</v>
      </c>
      <c r="M652" s="9">
        <f t="shared" si="42"/>
        <v>1398.1424999999999</v>
      </c>
      <c r="N652" s="10">
        <f t="shared" si="43"/>
        <v>7922.8075000000008</v>
      </c>
      <c r="O652" s="2" t="s">
        <v>33</v>
      </c>
      <c r="P652" s="2" t="s">
        <v>52</v>
      </c>
      <c r="Q652" s="2" t="s">
        <v>34</v>
      </c>
    </row>
    <row r="653" spans="1:17" x14ac:dyDescent="0.25">
      <c r="A653" s="3" t="s">
        <v>996</v>
      </c>
      <c r="B653" s="4">
        <v>45692</v>
      </c>
      <c r="C653" s="4" t="str">
        <f t="shared" si="40"/>
        <v>Feb</v>
      </c>
      <c r="D653" s="3" t="s">
        <v>406</v>
      </c>
      <c r="E653" s="3" t="s">
        <v>51</v>
      </c>
      <c r="F653" s="3" t="s">
        <v>14</v>
      </c>
      <c r="G653" s="3" t="s">
        <v>43</v>
      </c>
      <c r="H653" s="3" t="s">
        <v>44</v>
      </c>
      <c r="I653" s="3">
        <v>3206.12</v>
      </c>
      <c r="J653" s="3">
        <v>2</v>
      </c>
      <c r="K653" s="3">
        <v>0</v>
      </c>
      <c r="L653" s="9">
        <f t="shared" si="41"/>
        <v>6412.24</v>
      </c>
      <c r="M653" s="9">
        <f t="shared" si="42"/>
        <v>0</v>
      </c>
      <c r="N653" s="10">
        <f t="shared" si="43"/>
        <v>6412.24</v>
      </c>
      <c r="O653" s="3" t="s">
        <v>68</v>
      </c>
      <c r="P653" s="3" t="s">
        <v>18</v>
      </c>
      <c r="Q653" s="3" t="s">
        <v>53</v>
      </c>
    </row>
    <row r="654" spans="1:17" x14ac:dyDescent="0.25">
      <c r="A654" s="2" t="s">
        <v>997</v>
      </c>
      <c r="B654" s="4">
        <v>45693</v>
      </c>
      <c r="C654" s="4" t="str">
        <f t="shared" si="40"/>
        <v>Feb</v>
      </c>
      <c r="D654" s="2" t="s">
        <v>455</v>
      </c>
      <c r="E654" s="2" t="s">
        <v>100</v>
      </c>
      <c r="F654" s="2" t="s">
        <v>88</v>
      </c>
      <c r="G654" s="2" t="s">
        <v>43</v>
      </c>
      <c r="H654" s="2" t="s">
        <v>127</v>
      </c>
      <c r="I654" s="2">
        <v>5912.49</v>
      </c>
      <c r="J654" s="2">
        <v>5</v>
      </c>
      <c r="K654" s="2">
        <v>15</v>
      </c>
      <c r="L654" s="9">
        <f t="shared" si="41"/>
        <v>29562.449999999997</v>
      </c>
      <c r="M654" s="9">
        <f t="shared" si="42"/>
        <v>4434.3674999999994</v>
      </c>
      <c r="N654" s="10">
        <f t="shared" si="43"/>
        <v>25128.082499999997</v>
      </c>
      <c r="O654" s="2" t="s">
        <v>68</v>
      </c>
      <c r="P654" s="2" t="s">
        <v>18</v>
      </c>
      <c r="Q654" s="2" t="s">
        <v>60</v>
      </c>
    </row>
    <row r="655" spans="1:17" x14ac:dyDescent="0.25">
      <c r="A655" s="3" t="s">
        <v>998</v>
      </c>
      <c r="B655" s="4">
        <v>45694</v>
      </c>
      <c r="C655" s="4" t="str">
        <f t="shared" si="40"/>
        <v>Feb</v>
      </c>
      <c r="D655" s="3" t="s">
        <v>892</v>
      </c>
      <c r="E655" s="3" t="s">
        <v>76</v>
      </c>
      <c r="F655" s="3" t="s">
        <v>77</v>
      </c>
      <c r="G655" s="3" t="s">
        <v>31</v>
      </c>
      <c r="H655" s="3" t="s">
        <v>70</v>
      </c>
      <c r="I655" s="3">
        <v>593.26</v>
      </c>
      <c r="J655" s="3">
        <v>1</v>
      </c>
      <c r="K655" s="3">
        <v>0</v>
      </c>
      <c r="L655" s="9">
        <f t="shared" si="41"/>
        <v>593.26</v>
      </c>
      <c r="M655" s="9">
        <f t="shared" si="42"/>
        <v>0</v>
      </c>
      <c r="N655" s="10">
        <f t="shared" si="43"/>
        <v>593.26</v>
      </c>
      <c r="O655" s="3" t="s">
        <v>26</v>
      </c>
      <c r="P655" s="3" t="s">
        <v>18</v>
      </c>
      <c r="Q655" s="3" t="s">
        <v>40</v>
      </c>
    </row>
    <row r="656" spans="1:17" x14ac:dyDescent="0.25">
      <c r="A656" s="2" t="s">
        <v>999</v>
      </c>
      <c r="B656" s="4">
        <v>45695</v>
      </c>
      <c r="C656" s="4" t="str">
        <f t="shared" si="40"/>
        <v>Feb</v>
      </c>
      <c r="D656" s="2" t="s">
        <v>305</v>
      </c>
      <c r="E656" s="2" t="s">
        <v>87</v>
      </c>
      <c r="F656" s="2" t="s">
        <v>88</v>
      </c>
      <c r="G656" s="2" t="s">
        <v>43</v>
      </c>
      <c r="H656" s="2" t="s">
        <v>89</v>
      </c>
      <c r="I656" s="2">
        <v>4358.51</v>
      </c>
      <c r="J656" s="2">
        <v>3</v>
      </c>
      <c r="K656" s="2">
        <v>10</v>
      </c>
      <c r="L656" s="9">
        <f t="shared" si="41"/>
        <v>13075.53</v>
      </c>
      <c r="M656" s="9">
        <f t="shared" si="42"/>
        <v>1307.5530000000001</v>
      </c>
      <c r="N656" s="10">
        <f t="shared" si="43"/>
        <v>11767.977000000001</v>
      </c>
      <c r="O656" s="2" t="s">
        <v>17</v>
      </c>
      <c r="P656" s="2" t="s">
        <v>27</v>
      </c>
      <c r="Q656" s="2" t="s">
        <v>19</v>
      </c>
    </row>
    <row r="657" spans="1:17" x14ac:dyDescent="0.25">
      <c r="A657" s="3" t="s">
        <v>1000</v>
      </c>
      <c r="B657" s="4">
        <v>45696</v>
      </c>
      <c r="C657" s="4" t="str">
        <f t="shared" si="40"/>
        <v>Feb</v>
      </c>
      <c r="D657" s="3" t="s">
        <v>698</v>
      </c>
      <c r="E657" s="3" t="s">
        <v>47</v>
      </c>
      <c r="F657" s="3" t="s">
        <v>48</v>
      </c>
      <c r="G657" s="3" t="s">
        <v>110</v>
      </c>
      <c r="H657" s="3" t="s">
        <v>153</v>
      </c>
      <c r="I657" s="3">
        <v>3778.8</v>
      </c>
      <c r="J657" s="3">
        <v>3</v>
      </c>
      <c r="K657" s="3">
        <v>0</v>
      </c>
      <c r="L657" s="9">
        <f t="shared" si="41"/>
        <v>11336.400000000001</v>
      </c>
      <c r="M657" s="9">
        <f t="shared" si="42"/>
        <v>0</v>
      </c>
      <c r="N657" s="10">
        <f t="shared" si="43"/>
        <v>11336.400000000001</v>
      </c>
      <c r="O657" s="3" t="s">
        <v>38</v>
      </c>
      <c r="P657" s="3" t="s">
        <v>18</v>
      </c>
      <c r="Q657" s="3" t="s">
        <v>60</v>
      </c>
    </row>
    <row r="658" spans="1:17" x14ac:dyDescent="0.25">
      <c r="A658" s="2" t="s">
        <v>1001</v>
      </c>
      <c r="B658" s="4">
        <v>45697</v>
      </c>
      <c r="C658" s="4" t="str">
        <f t="shared" si="40"/>
        <v>Feb</v>
      </c>
      <c r="D658" s="2" t="s">
        <v>234</v>
      </c>
      <c r="E658" s="2" t="s">
        <v>100</v>
      </c>
      <c r="F658" s="2" t="s">
        <v>88</v>
      </c>
      <c r="G658" s="2" t="s">
        <v>31</v>
      </c>
      <c r="H658" s="2" t="s">
        <v>116</v>
      </c>
      <c r="I658" s="2">
        <v>1189.42</v>
      </c>
      <c r="J658" s="2">
        <v>2</v>
      </c>
      <c r="K658" s="2">
        <v>0</v>
      </c>
      <c r="L658" s="9">
        <f t="shared" si="41"/>
        <v>2378.84</v>
      </c>
      <c r="M658" s="9">
        <f t="shared" si="42"/>
        <v>0</v>
      </c>
      <c r="N658" s="10">
        <f t="shared" si="43"/>
        <v>2378.84</v>
      </c>
      <c r="O658" s="2" t="s">
        <v>26</v>
      </c>
      <c r="P658" s="2" t="s">
        <v>27</v>
      </c>
      <c r="Q658" s="2" t="s">
        <v>19</v>
      </c>
    </row>
    <row r="659" spans="1:17" x14ac:dyDescent="0.25">
      <c r="A659" s="3" t="s">
        <v>1002</v>
      </c>
      <c r="B659" s="4">
        <v>45698</v>
      </c>
      <c r="C659" s="4" t="str">
        <f t="shared" si="40"/>
        <v>Feb</v>
      </c>
      <c r="D659" s="3" t="s">
        <v>435</v>
      </c>
      <c r="E659" s="3" t="s">
        <v>100</v>
      </c>
      <c r="F659" s="3" t="s">
        <v>88</v>
      </c>
      <c r="G659" s="3" t="s">
        <v>24</v>
      </c>
      <c r="H659" s="3" t="s">
        <v>25</v>
      </c>
      <c r="I659" s="3">
        <v>4155.2299999999996</v>
      </c>
      <c r="J659" s="3">
        <v>3</v>
      </c>
      <c r="K659" s="3">
        <v>0</v>
      </c>
      <c r="L659" s="9">
        <f t="shared" si="41"/>
        <v>12465.689999999999</v>
      </c>
      <c r="M659" s="9">
        <f t="shared" si="42"/>
        <v>0</v>
      </c>
      <c r="N659" s="10">
        <f t="shared" si="43"/>
        <v>12465.689999999999</v>
      </c>
      <c r="O659" s="3" t="s">
        <v>26</v>
      </c>
      <c r="P659" s="3" t="s">
        <v>18</v>
      </c>
      <c r="Q659" s="3" t="s">
        <v>34</v>
      </c>
    </row>
    <row r="660" spans="1:17" x14ac:dyDescent="0.25">
      <c r="A660" s="2" t="s">
        <v>1003</v>
      </c>
      <c r="B660" s="4">
        <v>45699</v>
      </c>
      <c r="C660" s="4" t="str">
        <f t="shared" si="40"/>
        <v>Feb</v>
      </c>
      <c r="D660" s="2" t="s">
        <v>188</v>
      </c>
      <c r="E660" s="2" t="s">
        <v>83</v>
      </c>
      <c r="F660" s="2" t="s">
        <v>84</v>
      </c>
      <c r="G660" s="2" t="s">
        <v>15</v>
      </c>
      <c r="H660" s="2" t="s">
        <v>198</v>
      </c>
      <c r="I660" s="2">
        <v>826.49</v>
      </c>
      <c r="J660" s="2">
        <v>3</v>
      </c>
      <c r="K660" s="2">
        <v>0</v>
      </c>
      <c r="L660" s="9">
        <f t="shared" si="41"/>
        <v>2479.4700000000003</v>
      </c>
      <c r="M660" s="9">
        <f t="shared" si="42"/>
        <v>0</v>
      </c>
      <c r="N660" s="10">
        <f t="shared" si="43"/>
        <v>2479.4700000000003</v>
      </c>
      <c r="O660" s="2" t="s">
        <v>38</v>
      </c>
      <c r="P660" s="2" t="s">
        <v>18</v>
      </c>
      <c r="Q660" s="2" t="s">
        <v>19</v>
      </c>
    </row>
    <row r="661" spans="1:17" x14ac:dyDescent="0.25">
      <c r="A661" s="3" t="s">
        <v>1004</v>
      </c>
      <c r="B661" s="4">
        <v>45700</v>
      </c>
      <c r="C661" s="4" t="str">
        <f t="shared" si="40"/>
        <v>Feb</v>
      </c>
      <c r="D661" s="3" t="s">
        <v>355</v>
      </c>
      <c r="E661" s="3" t="s">
        <v>22</v>
      </c>
      <c r="F661" s="3" t="s">
        <v>23</v>
      </c>
      <c r="G661" s="3" t="s">
        <v>36</v>
      </c>
      <c r="H661" s="3" t="s">
        <v>37</v>
      </c>
      <c r="I661" s="3">
        <v>13034.57</v>
      </c>
      <c r="J661" s="3">
        <v>2</v>
      </c>
      <c r="K661" s="3">
        <v>15</v>
      </c>
      <c r="L661" s="9">
        <f t="shared" si="41"/>
        <v>26069.14</v>
      </c>
      <c r="M661" s="9">
        <f t="shared" si="42"/>
        <v>3910.3709999999996</v>
      </c>
      <c r="N661" s="10">
        <f t="shared" si="43"/>
        <v>22158.769</v>
      </c>
      <c r="O661" s="3" t="s">
        <v>38</v>
      </c>
      <c r="P661" s="3" t="s">
        <v>18</v>
      </c>
      <c r="Q661" s="3" t="s">
        <v>40</v>
      </c>
    </row>
    <row r="662" spans="1:17" x14ac:dyDescent="0.25">
      <c r="A662" s="2" t="s">
        <v>1005</v>
      </c>
      <c r="B662" s="4">
        <v>45701</v>
      </c>
      <c r="C662" s="4" t="str">
        <f t="shared" si="40"/>
        <v>Feb</v>
      </c>
      <c r="D662" s="2" t="s">
        <v>519</v>
      </c>
      <c r="E662" s="2" t="s">
        <v>87</v>
      </c>
      <c r="F662" s="2" t="s">
        <v>88</v>
      </c>
      <c r="G662" s="2" t="s">
        <v>15</v>
      </c>
      <c r="H662" s="2" t="s">
        <v>16</v>
      </c>
      <c r="I662" s="2">
        <v>1492.17</v>
      </c>
      <c r="J662" s="2">
        <v>3</v>
      </c>
      <c r="K662" s="2">
        <v>15</v>
      </c>
      <c r="L662" s="9">
        <f t="shared" si="41"/>
        <v>4476.51</v>
      </c>
      <c r="M662" s="9">
        <f t="shared" si="42"/>
        <v>671.4765000000001</v>
      </c>
      <c r="N662" s="10">
        <f t="shared" si="43"/>
        <v>3805.0335</v>
      </c>
      <c r="O662" s="2" t="s">
        <v>26</v>
      </c>
      <c r="P662" s="2" t="s">
        <v>39</v>
      </c>
      <c r="Q662" s="2" t="s">
        <v>19</v>
      </c>
    </row>
    <row r="663" spans="1:17" x14ac:dyDescent="0.25">
      <c r="A663" s="3" t="s">
        <v>1006</v>
      </c>
      <c r="B663" s="4">
        <v>45702</v>
      </c>
      <c r="C663" s="4" t="str">
        <f t="shared" si="40"/>
        <v>Feb</v>
      </c>
      <c r="D663" s="3" t="s">
        <v>270</v>
      </c>
      <c r="E663" s="3" t="s">
        <v>22</v>
      </c>
      <c r="F663" s="3" t="s">
        <v>23</v>
      </c>
      <c r="G663" s="3" t="s">
        <v>15</v>
      </c>
      <c r="H663" s="3" t="s">
        <v>95</v>
      </c>
      <c r="I663" s="3">
        <v>1296.04</v>
      </c>
      <c r="J663" s="3">
        <v>2</v>
      </c>
      <c r="K663" s="3">
        <v>0</v>
      </c>
      <c r="L663" s="9">
        <f t="shared" si="41"/>
        <v>2592.08</v>
      </c>
      <c r="M663" s="9">
        <f t="shared" si="42"/>
        <v>0</v>
      </c>
      <c r="N663" s="10">
        <f t="shared" si="43"/>
        <v>2592.08</v>
      </c>
      <c r="O663" s="3" t="s">
        <v>17</v>
      </c>
      <c r="P663" s="3" t="s">
        <v>18</v>
      </c>
      <c r="Q663" s="3" t="s">
        <v>34</v>
      </c>
    </row>
    <row r="664" spans="1:17" x14ac:dyDescent="0.25">
      <c r="A664" s="2" t="s">
        <v>1007</v>
      </c>
      <c r="B664" s="4">
        <v>45703</v>
      </c>
      <c r="C664" s="4" t="str">
        <f t="shared" si="40"/>
        <v>Feb</v>
      </c>
      <c r="D664" s="2" t="s">
        <v>159</v>
      </c>
      <c r="E664" s="2" t="s">
        <v>51</v>
      </c>
      <c r="F664" s="2" t="s">
        <v>14</v>
      </c>
      <c r="G664" s="2" t="s">
        <v>43</v>
      </c>
      <c r="H664" s="2" t="s">
        <v>105</v>
      </c>
      <c r="I664" s="2">
        <v>2571.79</v>
      </c>
      <c r="J664" s="2">
        <v>1</v>
      </c>
      <c r="K664" s="2">
        <v>0</v>
      </c>
      <c r="L664" s="9">
        <f t="shared" si="41"/>
        <v>2571.79</v>
      </c>
      <c r="M664" s="9">
        <f t="shared" si="42"/>
        <v>0</v>
      </c>
      <c r="N664" s="10">
        <f t="shared" si="43"/>
        <v>2571.79</v>
      </c>
      <c r="O664" s="2" t="s">
        <v>26</v>
      </c>
      <c r="P664" s="2" t="s">
        <v>52</v>
      </c>
      <c r="Q664" s="2" t="s">
        <v>19</v>
      </c>
    </row>
    <row r="665" spans="1:17" x14ac:dyDescent="0.25">
      <c r="A665" s="3" t="s">
        <v>1008</v>
      </c>
      <c r="B665" s="4">
        <v>45704</v>
      </c>
      <c r="C665" s="4" t="str">
        <f t="shared" si="40"/>
        <v>Feb</v>
      </c>
      <c r="D665" s="3" t="s">
        <v>307</v>
      </c>
      <c r="E665" s="3" t="s">
        <v>13</v>
      </c>
      <c r="F665" s="3" t="s">
        <v>14</v>
      </c>
      <c r="G665" s="3" t="s">
        <v>36</v>
      </c>
      <c r="H665" s="3" t="s">
        <v>113</v>
      </c>
      <c r="I665" s="3">
        <v>128386.83</v>
      </c>
      <c r="J665" s="3">
        <v>1</v>
      </c>
      <c r="K665" s="3">
        <v>0</v>
      </c>
      <c r="L665" s="9">
        <f t="shared" si="41"/>
        <v>128386.83</v>
      </c>
      <c r="M665" s="9">
        <f t="shared" si="42"/>
        <v>0</v>
      </c>
      <c r="N665" s="10">
        <f t="shared" si="43"/>
        <v>128386.83</v>
      </c>
      <c r="O665" s="3" t="s">
        <v>33</v>
      </c>
      <c r="P665" s="3" t="s">
        <v>18</v>
      </c>
      <c r="Q665" s="3" t="s">
        <v>60</v>
      </c>
    </row>
    <row r="666" spans="1:17" x14ac:dyDescent="0.25">
      <c r="A666" s="2" t="s">
        <v>1009</v>
      </c>
      <c r="B666" s="4">
        <v>45705</v>
      </c>
      <c r="C666" s="4" t="str">
        <f t="shared" si="40"/>
        <v>Feb</v>
      </c>
      <c r="D666" s="2" t="s">
        <v>173</v>
      </c>
      <c r="E666" s="2" t="s">
        <v>83</v>
      </c>
      <c r="F666" s="2" t="s">
        <v>84</v>
      </c>
      <c r="G666" s="2" t="s">
        <v>36</v>
      </c>
      <c r="H666" s="2" t="s">
        <v>121</v>
      </c>
      <c r="I666" s="2">
        <v>92360.23</v>
      </c>
      <c r="J666" s="2">
        <v>2</v>
      </c>
      <c r="K666" s="2">
        <v>0</v>
      </c>
      <c r="L666" s="9">
        <f t="shared" si="41"/>
        <v>184720.46</v>
      </c>
      <c r="M666" s="9">
        <f t="shared" si="42"/>
        <v>0</v>
      </c>
      <c r="N666" s="10">
        <f t="shared" si="43"/>
        <v>184720.46</v>
      </c>
      <c r="O666" s="2" t="s">
        <v>38</v>
      </c>
      <c r="P666" s="2" t="s">
        <v>18</v>
      </c>
      <c r="Q666" s="2" t="s">
        <v>34</v>
      </c>
    </row>
    <row r="667" spans="1:17" x14ac:dyDescent="0.25">
      <c r="A667" s="3" t="s">
        <v>1010</v>
      </c>
      <c r="B667" s="4">
        <v>45706</v>
      </c>
      <c r="C667" s="4" t="str">
        <f t="shared" si="40"/>
        <v>Feb</v>
      </c>
      <c r="D667" s="3" t="s">
        <v>865</v>
      </c>
      <c r="E667" s="3" t="s">
        <v>87</v>
      </c>
      <c r="F667" s="3" t="s">
        <v>88</v>
      </c>
      <c r="G667" s="3" t="s">
        <v>31</v>
      </c>
      <c r="H667" s="3" t="s">
        <v>70</v>
      </c>
      <c r="I667" s="3">
        <v>644.91999999999996</v>
      </c>
      <c r="J667" s="3">
        <v>1</v>
      </c>
      <c r="K667" s="3">
        <v>5</v>
      </c>
      <c r="L667" s="9">
        <f t="shared" si="41"/>
        <v>644.91999999999996</v>
      </c>
      <c r="M667" s="9">
        <f t="shared" si="42"/>
        <v>32.246000000000002</v>
      </c>
      <c r="N667" s="10">
        <f t="shared" si="43"/>
        <v>612.67399999999998</v>
      </c>
      <c r="O667" s="3" t="s">
        <v>33</v>
      </c>
      <c r="P667" s="3" t="s">
        <v>27</v>
      </c>
      <c r="Q667" s="3" t="s">
        <v>60</v>
      </c>
    </row>
    <row r="668" spans="1:17" x14ac:dyDescent="0.25">
      <c r="A668" s="2" t="s">
        <v>1011</v>
      </c>
      <c r="B668" s="4">
        <v>45707</v>
      </c>
      <c r="C668" s="4" t="str">
        <f t="shared" si="40"/>
        <v>Feb</v>
      </c>
      <c r="D668" s="2" t="s">
        <v>444</v>
      </c>
      <c r="E668" s="2" t="s">
        <v>65</v>
      </c>
      <c r="F668" s="2" t="s">
        <v>66</v>
      </c>
      <c r="G668" s="2" t="s">
        <v>15</v>
      </c>
      <c r="H668" s="2" t="s">
        <v>95</v>
      </c>
      <c r="I668" s="2">
        <v>1113.5</v>
      </c>
      <c r="J668" s="2">
        <v>5</v>
      </c>
      <c r="K668" s="2">
        <v>0</v>
      </c>
      <c r="L668" s="9">
        <f t="shared" si="41"/>
        <v>5567.5</v>
      </c>
      <c r="M668" s="9">
        <f t="shared" si="42"/>
        <v>0</v>
      </c>
      <c r="N668" s="10">
        <f t="shared" si="43"/>
        <v>5567.5</v>
      </c>
      <c r="O668" s="2" t="s">
        <v>68</v>
      </c>
      <c r="P668" s="2" t="s">
        <v>18</v>
      </c>
      <c r="Q668" s="2" t="s">
        <v>53</v>
      </c>
    </row>
    <row r="669" spans="1:17" x14ac:dyDescent="0.25">
      <c r="A669" s="3" t="s">
        <v>1012</v>
      </c>
      <c r="B669" s="4">
        <v>45708</v>
      </c>
      <c r="C669" s="4" t="str">
        <f t="shared" si="40"/>
        <v>Feb</v>
      </c>
      <c r="D669" s="3" t="s">
        <v>700</v>
      </c>
      <c r="E669" s="3" t="s">
        <v>87</v>
      </c>
      <c r="F669" s="3" t="s">
        <v>88</v>
      </c>
      <c r="G669" s="3" t="s">
        <v>36</v>
      </c>
      <c r="H669" s="3" t="s">
        <v>113</v>
      </c>
      <c r="I669" s="3">
        <v>126146.74</v>
      </c>
      <c r="J669" s="3">
        <v>1</v>
      </c>
      <c r="K669" s="3">
        <v>5</v>
      </c>
      <c r="L669" s="9">
        <f t="shared" si="41"/>
        <v>126146.74</v>
      </c>
      <c r="M669" s="9">
        <f t="shared" si="42"/>
        <v>6307.3370000000004</v>
      </c>
      <c r="N669" s="10">
        <f t="shared" si="43"/>
        <v>119839.40300000001</v>
      </c>
      <c r="O669" s="3" t="s">
        <v>33</v>
      </c>
      <c r="P669" s="3" t="s">
        <v>27</v>
      </c>
      <c r="Q669" s="3" t="s">
        <v>34</v>
      </c>
    </row>
    <row r="670" spans="1:17" x14ac:dyDescent="0.25">
      <c r="A670" s="2" t="s">
        <v>1013</v>
      </c>
      <c r="B670" s="4">
        <v>45709</v>
      </c>
      <c r="C670" s="4" t="str">
        <f t="shared" si="40"/>
        <v>Feb</v>
      </c>
      <c r="D670" s="2" t="s">
        <v>791</v>
      </c>
      <c r="E670" s="2" t="s">
        <v>76</v>
      </c>
      <c r="F670" s="2" t="s">
        <v>77</v>
      </c>
      <c r="G670" s="2" t="s">
        <v>15</v>
      </c>
      <c r="H670" s="2" t="s">
        <v>56</v>
      </c>
      <c r="I670" s="2">
        <v>1891.89</v>
      </c>
      <c r="J670" s="2">
        <v>2</v>
      </c>
      <c r="K670" s="2">
        <v>0</v>
      </c>
      <c r="L670" s="9">
        <f t="shared" si="41"/>
        <v>3783.78</v>
      </c>
      <c r="M670" s="9">
        <f t="shared" si="42"/>
        <v>0</v>
      </c>
      <c r="N670" s="10">
        <f t="shared" si="43"/>
        <v>3783.78</v>
      </c>
      <c r="O670" s="2" t="s">
        <v>26</v>
      </c>
      <c r="P670" s="2" t="s">
        <v>39</v>
      </c>
      <c r="Q670" s="2" t="s">
        <v>60</v>
      </c>
    </row>
    <row r="671" spans="1:17" x14ac:dyDescent="0.25">
      <c r="A671" s="3" t="s">
        <v>1014</v>
      </c>
      <c r="B671" s="4">
        <v>45710</v>
      </c>
      <c r="C671" s="4" t="str">
        <f t="shared" si="40"/>
        <v>Feb</v>
      </c>
      <c r="D671" s="3" t="s">
        <v>178</v>
      </c>
      <c r="E671" s="3" t="s">
        <v>13</v>
      </c>
      <c r="F671" s="3" t="s">
        <v>14</v>
      </c>
      <c r="G671" s="3" t="s">
        <v>72</v>
      </c>
      <c r="H671" s="3" t="s">
        <v>137</v>
      </c>
      <c r="I671" s="3">
        <v>2347.2199999999998</v>
      </c>
      <c r="J671" s="3">
        <v>3</v>
      </c>
      <c r="K671" s="3">
        <v>0</v>
      </c>
      <c r="L671" s="9">
        <f t="shared" si="41"/>
        <v>7041.66</v>
      </c>
      <c r="M671" s="9">
        <f t="shared" si="42"/>
        <v>0</v>
      </c>
      <c r="N671" s="10">
        <f t="shared" si="43"/>
        <v>7041.66</v>
      </c>
      <c r="O671" s="3" t="s">
        <v>17</v>
      </c>
      <c r="P671" s="3" t="s">
        <v>27</v>
      </c>
      <c r="Q671" s="3" t="s">
        <v>60</v>
      </c>
    </row>
    <row r="672" spans="1:17" x14ac:dyDescent="0.25">
      <c r="A672" s="2" t="s">
        <v>1015</v>
      </c>
      <c r="B672" s="4">
        <v>45711</v>
      </c>
      <c r="C672" s="4" t="str">
        <f t="shared" si="40"/>
        <v>Feb</v>
      </c>
      <c r="D672" s="2" t="s">
        <v>148</v>
      </c>
      <c r="E672" s="2" t="s">
        <v>100</v>
      </c>
      <c r="F672" s="2" t="s">
        <v>88</v>
      </c>
      <c r="G672" s="2" t="s">
        <v>31</v>
      </c>
      <c r="H672" s="2" t="s">
        <v>116</v>
      </c>
      <c r="I672" s="2">
        <v>1309.45</v>
      </c>
      <c r="J672" s="2">
        <v>4</v>
      </c>
      <c r="K672" s="2">
        <v>5</v>
      </c>
      <c r="L672" s="9">
        <f t="shared" si="41"/>
        <v>5237.8</v>
      </c>
      <c r="M672" s="9">
        <f t="shared" si="42"/>
        <v>261.89</v>
      </c>
      <c r="N672" s="10">
        <f t="shared" si="43"/>
        <v>4975.91</v>
      </c>
      <c r="O672" s="2" t="s">
        <v>38</v>
      </c>
      <c r="P672" s="2" t="s">
        <v>18</v>
      </c>
      <c r="Q672" s="2" t="s">
        <v>53</v>
      </c>
    </row>
    <row r="673" spans="1:17" x14ac:dyDescent="0.25">
      <c r="A673" s="3" t="s">
        <v>1016</v>
      </c>
      <c r="B673" s="4">
        <v>45712</v>
      </c>
      <c r="C673" s="4" t="str">
        <f t="shared" si="40"/>
        <v>Feb</v>
      </c>
      <c r="D673" s="3" t="s">
        <v>647</v>
      </c>
      <c r="E673" s="3" t="s">
        <v>51</v>
      </c>
      <c r="F673" s="3" t="s">
        <v>14</v>
      </c>
      <c r="G673" s="3" t="s">
        <v>36</v>
      </c>
      <c r="H673" s="3" t="s">
        <v>78</v>
      </c>
      <c r="I673" s="3">
        <v>89500.21</v>
      </c>
      <c r="J673" s="3">
        <v>4</v>
      </c>
      <c r="K673" s="3">
        <v>10</v>
      </c>
      <c r="L673" s="9">
        <f t="shared" si="41"/>
        <v>358000.84</v>
      </c>
      <c r="M673" s="9">
        <f t="shared" si="42"/>
        <v>35800.084000000003</v>
      </c>
      <c r="N673" s="10">
        <f t="shared" si="43"/>
        <v>322200.75600000005</v>
      </c>
      <c r="O673" s="3" t="s">
        <v>17</v>
      </c>
      <c r="P673" s="3" t="s">
        <v>27</v>
      </c>
      <c r="Q673" s="3" t="s">
        <v>34</v>
      </c>
    </row>
    <row r="674" spans="1:17" x14ac:dyDescent="0.25">
      <c r="A674" s="2" t="s">
        <v>1017</v>
      </c>
      <c r="B674" s="4">
        <v>45713</v>
      </c>
      <c r="C674" s="4" t="str">
        <f t="shared" si="40"/>
        <v>Feb</v>
      </c>
      <c r="D674" s="2" t="s">
        <v>751</v>
      </c>
      <c r="E674" s="2" t="s">
        <v>65</v>
      </c>
      <c r="F674" s="2" t="s">
        <v>66</v>
      </c>
      <c r="G674" s="2" t="s">
        <v>72</v>
      </c>
      <c r="H674" s="2" t="s">
        <v>137</v>
      </c>
      <c r="I674" s="2">
        <v>2256.3200000000002</v>
      </c>
      <c r="J674" s="2">
        <v>4</v>
      </c>
      <c r="K674" s="2">
        <v>15</v>
      </c>
      <c r="L674" s="9">
        <f t="shared" si="41"/>
        <v>9025.2800000000007</v>
      </c>
      <c r="M674" s="9">
        <f t="shared" si="42"/>
        <v>1353.7920000000001</v>
      </c>
      <c r="N674" s="10">
        <f t="shared" si="43"/>
        <v>7671.4880000000003</v>
      </c>
      <c r="O674" s="2" t="s">
        <v>68</v>
      </c>
      <c r="P674" s="2" t="s">
        <v>18</v>
      </c>
      <c r="Q674" s="2" t="s">
        <v>19</v>
      </c>
    </row>
    <row r="675" spans="1:17" x14ac:dyDescent="0.25">
      <c r="A675" s="3" t="s">
        <v>1018</v>
      </c>
      <c r="B675" s="4">
        <v>45714</v>
      </c>
      <c r="C675" s="4" t="str">
        <f t="shared" si="40"/>
        <v>Feb</v>
      </c>
      <c r="D675" s="3" t="s">
        <v>734</v>
      </c>
      <c r="E675" s="3" t="s">
        <v>47</v>
      </c>
      <c r="F675" s="3" t="s">
        <v>48</v>
      </c>
      <c r="G675" s="3" t="s">
        <v>24</v>
      </c>
      <c r="H675" s="3" t="s">
        <v>59</v>
      </c>
      <c r="I675" s="3">
        <v>4558.51</v>
      </c>
      <c r="J675" s="3">
        <v>3</v>
      </c>
      <c r="K675" s="3">
        <v>0</v>
      </c>
      <c r="L675" s="9">
        <f t="shared" si="41"/>
        <v>13675.53</v>
      </c>
      <c r="M675" s="9">
        <f t="shared" si="42"/>
        <v>0</v>
      </c>
      <c r="N675" s="10">
        <f t="shared" si="43"/>
        <v>13675.53</v>
      </c>
      <c r="O675" s="3" t="s">
        <v>26</v>
      </c>
      <c r="P675" s="3" t="s">
        <v>18</v>
      </c>
      <c r="Q675" s="3" t="s">
        <v>53</v>
      </c>
    </row>
    <row r="676" spans="1:17" x14ac:dyDescent="0.25">
      <c r="A676" s="2" t="s">
        <v>1019</v>
      </c>
      <c r="B676" s="4">
        <v>45715</v>
      </c>
      <c r="C676" s="4" t="str">
        <f t="shared" si="40"/>
        <v>Feb</v>
      </c>
      <c r="D676" s="2" t="s">
        <v>917</v>
      </c>
      <c r="E676" s="2" t="s">
        <v>65</v>
      </c>
      <c r="F676" s="2" t="s">
        <v>66</v>
      </c>
      <c r="G676" s="2" t="s">
        <v>15</v>
      </c>
      <c r="H676" s="2" t="s">
        <v>16</v>
      </c>
      <c r="I676" s="2">
        <v>1364.61</v>
      </c>
      <c r="J676" s="2">
        <v>3</v>
      </c>
      <c r="K676" s="2">
        <v>15</v>
      </c>
      <c r="L676" s="9">
        <f t="shared" si="41"/>
        <v>4093.83</v>
      </c>
      <c r="M676" s="9">
        <f t="shared" si="42"/>
        <v>614.07449999999994</v>
      </c>
      <c r="N676" s="10">
        <f t="shared" si="43"/>
        <v>3479.7555000000002</v>
      </c>
      <c r="O676" s="2" t="s">
        <v>68</v>
      </c>
      <c r="P676" s="2" t="s">
        <v>52</v>
      </c>
      <c r="Q676" s="2" t="s">
        <v>53</v>
      </c>
    </row>
    <row r="677" spans="1:17" x14ac:dyDescent="0.25">
      <c r="A677" s="3" t="s">
        <v>1020</v>
      </c>
      <c r="B677" s="4">
        <v>45716</v>
      </c>
      <c r="C677" s="4" t="str">
        <f t="shared" si="40"/>
        <v>Feb</v>
      </c>
      <c r="D677" s="3" t="s">
        <v>1021</v>
      </c>
      <c r="E677" s="3" t="s">
        <v>29</v>
      </c>
      <c r="F677" s="3" t="s">
        <v>30</v>
      </c>
      <c r="G677" s="3" t="s">
        <v>72</v>
      </c>
      <c r="H677" s="3" t="s">
        <v>102</v>
      </c>
      <c r="I677" s="3">
        <v>655.68</v>
      </c>
      <c r="J677" s="3">
        <v>3</v>
      </c>
      <c r="K677" s="3">
        <v>0</v>
      </c>
      <c r="L677" s="9">
        <f t="shared" si="41"/>
        <v>1967.04</v>
      </c>
      <c r="M677" s="9">
        <f t="shared" si="42"/>
        <v>0</v>
      </c>
      <c r="N677" s="10">
        <f t="shared" si="43"/>
        <v>1967.04</v>
      </c>
      <c r="O677" s="3" t="s">
        <v>38</v>
      </c>
      <c r="P677" s="3" t="s">
        <v>18</v>
      </c>
      <c r="Q677" s="3" t="s">
        <v>34</v>
      </c>
    </row>
    <row r="678" spans="1:17" x14ac:dyDescent="0.25">
      <c r="A678" s="2" t="s">
        <v>1022</v>
      </c>
      <c r="B678" s="4">
        <v>45717</v>
      </c>
      <c r="C678" s="4" t="str">
        <f t="shared" si="40"/>
        <v>Mar</v>
      </c>
      <c r="D678" s="2" t="s">
        <v>771</v>
      </c>
      <c r="E678" s="2" t="s">
        <v>87</v>
      </c>
      <c r="F678" s="2" t="s">
        <v>88</v>
      </c>
      <c r="G678" s="2" t="s">
        <v>72</v>
      </c>
      <c r="H678" s="2" t="s">
        <v>102</v>
      </c>
      <c r="I678" s="2">
        <v>586.67999999999995</v>
      </c>
      <c r="J678" s="2">
        <v>5</v>
      </c>
      <c r="K678" s="2">
        <v>5</v>
      </c>
      <c r="L678" s="9">
        <f t="shared" si="41"/>
        <v>2933.3999999999996</v>
      </c>
      <c r="M678" s="9">
        <f t="shared" si="42"/>
        <v>146.66999999999999</v>
      </c>
      <c r="N678" s="10">
        <f t="shared" si="43"/>
        <v>2786.7299999999996</v>
      </c>
      <c r="O678" s="2" t="s">
        <v>38</v>
      </c>
      <c r="P678" s="2" t="s">
        <v>39</v>
      </c>
      <c r="Q678" s="2" t="s">
        <v>60</v>
      </c>
    </row>
    <row r="679" spans="1:17" x14ac:dyDescent="0.25">
      <c r="A679" s="3" t="s">
        <v>1023</v>
      </c>
      <c r="B679" s="4">
        <v>45718</v>
      </c>
      <c r="C679" s="4" t="str">
        <f t="shared" si="40"/>
        <v>Mar</v>
      </c>
      <c r="D679" s="3" t="s">
        <v>192</v>
      </c>
      <c r="E679" s="3" t="s">
        <v>22</v>
      </c>
      <c r="F679" s="3" t="s">
        <v>23</v>
      </c>
      <c r="G679" s="3" t="s">
        <v>24</v>
      </c>
      <c r="H679" s="3" t="s">
        <v>25</v>
      </c>
      <c r="I679" s="3">
        <v>4503.04</v>
      </c>
      <c r="J679" s="3">
        <v>2</v>
      </c>
      <c r="K679" s="3">
        <v>10</v>
      </c>
      <c r="L679" s="9">
        <f t="shared" si="41"/>
        <v>9006.08</v>
      </c>
      <c r="M679" s="9">
        <f t="shared" si="42"/>
        <v>900.60800000000006</v>
      </c>
      <c r="N679" s="10">
        <f t="shared" si="43"/>
        <v>8105.4719999999998</v>
      </c>
      <c r="O679" s="3" t="s">
        <v>17</v>
      </c>
      <c r="P679" s="3" t="s">
        <v>27</v>
      </c>
      <c r="Q679" s="3" t="s">
        <v>19</v>
      </c>
    </row>
    <row r="680" spans="1:17" x14ac:dyDescent="0.25">
      <c r="A680" s="2" t="s">
        <v>1024</v>
      </c>
      <c r="B680" s="4">
        <v>45719</v>
      </c>
      <c r="C680" s="4" t="str">
        <f t="shared" si="40"/>
        <v>Mar</v>
      </c>
      <c r="D680" s="2" t="s">
        <v>500</v>
      </c>
      <c r="E680" s="2" t="s">
        <v>22</v>
      </c>
      <c r="F680" s="2" t="s">
        <v>23</v>
      </c>
      <c r="G680" s="2" t="s">
        <v>43</v>
      </c>
      <c r="H680" s="2" t="s">
        <v>145</v>
      </c>
      <c r="I680" s="2">
        <v>12998.47</v>
      </c>
      <c r="J680" s="2">
        <v>1</v>
      </c>
      <c r="K680" s="2">
        <v>0</v>
      </c>
      <c r="L680" s="9">
        <f t="shared" si="41"/>
        <v>12998.47</v>
      </c>
      <c r="M680" s="9">
        <f t="shared" si="42"/>
        <v>0</v>
      </c>
      <c r="N680" s="10">
        <f t="shared" si="43"/>
        <v>12998.47</v>
      </c>
      <c r="O680" s="2" t="s">
        <v>68</v>
      </c>
      <c r="P680" s="2" t="s">
        <v>18</v>
      </c>
      <c r="Q680" s="2" t="s">
        <v>34</v>
      </c>
    </row>
    <row r="681" spans="1:17" x14ac:dyDescent="0.25">
      <c r="A681" s="3" t="s">
        <v>1025</v>
      </c>
      <c r="B681" s="4">
        <v>45720</v>
      </c>
      <c r="C681" s="4" t="str">
        <f t="shared" si="40"/>
        <v>Mar</v>
      </c>
      <c r="D681" s="3" t="s">
        <v>1026</v>
      </c>
      <c r="E681" s="3" t="s">
        <v>100</v>
      </c>
      <c r="F681" s="3" t="s">
        <v>88</v>
      </c>
      <c r="G681" s="3" t="s">
        <v>72</v>
      </c>
      <c r="H681" s="3" t="s">
        <v>129</v>
      </c>
      <c r="I681" s="3">
        <v>1940.3</v>
      </c>
      <c r="J681" s="3">
        <v>5</v>
      </c>
      <c r="K681" s="3">
        <v>0</v>
      </c>
      <c r="L681" s="9">
        <f t="shared" si="41"/>
        <v>9701.5</v>
      </c>
      <c r="M681" s="9">
        <f t="shared" si="42"/>
        <v>0</v>
      </c>
      <c r="N681" s="10">
        <f t="shared" si="43"/>
        <v>9701.5</v>
      </c>
      <c r="O681" s="3" t="s">
        <v>38</v>
      </c>
      <c r="P681" s="3" t="s">
        <v>18</v>
      </c>
      <c r="Q681" s="3" t="s">
        <v>34</v>
      </c>
    </row>
    <row r="682" spans="1:17" x14ac:dyDescent="0.25">
      <c r="A682" s="2" t="s">
        <v>1027</v>
      </c>
      <c r="B682" s="4">
        <v>45721</v>
      </c>
      <c r="C682" s="4" t="str">
        <f t="shared" si="40"/>
        <v>Mar</v>
      </c>
      <c r="D682" s="2" t="s">
        <v>942</v>
      </c>
      <c r="E682" s="2" t="s">
        <v>51</v>
      </c>
      <c r="F682" s="2" t="s">
        <v>14</v>
      </c>
      <c r="G682" s="2" t="s">
        <v>24</v>
      </c>
      <c r="H682" s="2" t="s">
        <v>170</v>
      </c>
      <c r="I682" s="2">
        <v>1114.17</v>
      </c>
      <c r="J682" s="2">
        <v>2</v>
      </c>
      <c r="K682" s="2">
        <v>0</v>
      </c>
      <c r="L682" s="9">
        <f t="shared" si="41"/>
        <v>2228.34</v>
      </c>
      <c r="M682" s="9">
        <f t="shared" si="42"/>
        <v>0</v>
      </c>
      <c r="N682" s="10">
        <f t="shared" si="43"/>
        <v>2228.34</v>
      </c>
      <c r="O682" s="2" t="s">
        <v>26</v>
      </c>
      <c r="P682" s="2" t="s">
        <v>18</v>
      </c>
      <c r="Q682" s="2" t="s">
        <v>53</v>
      </c>
    </row>
    <row r="683" spans="1:17" x14ac:dyDescent="0.25">
      <c r="A683" s="3" t="s">
        <v>1028</v>
      </c>
      <c r="B683" s="4">
        <v>45722</v>
      </c>
      <c r="C683" s="4" t="str">
        <f t="shared" si="40"/>
        <v>Mar</v>
      </c>
      <c r="D683" s="3" t="s">
        <v>539</v>
      </c>
      <c r="E683" s="3" t="s">
        <v>22</v>
      </c>
      <c r="F683" s="3" t="s">
        <v>23</v>
      </c>
      <c r="G683" s="3" t="s">
        <v>36</v>
      </c>
      <c r="H683" s="3" t="s">
        <v>78</v>
      </c>
      <c r="I683" s="3">
        <v>89669.77</v>
      </c>
      <c r="J683" s="3">
        <v>4</v>
      </c>
      <c r="K683" s="3">
        <v>15</v>
      </c>
      <c r="L683" s="9">
        <f t="shared" si="41"/>
        <v>358679.08</v>
      </c>
      <c r="M683" s="9">
        <f t="shared" si="42"/>
        <v>53801.862000000001</v>
      </c>
      <c r="N683" s="10">
        <f t="shared" si="43"/>
        <v>304877.21799999999</v>
      </c>
      <c r="O683" s="3" t="s">
        <v>26</v>
      </c>
      <c r="P683" s="3" t="s">
        <v>18</v>
      </c>
      <c r="Q683" s="3" t="s">
        <v>40</v>
      </c>
    </row>
    <row r="684" spans="1:17" x14ac:dyDescent="0.25">
      <c r="A684" s="2" t="s">
        <v>1029</v>
      </c>
      <c r="B684" s="4">
        <v>45723</v>
      </c>
      <c r="C684" s="4" t="str">
        <f t="shared" si="40"/>
        <v>Mar</v>
      </c>
      <c r="D684" s="2" t="s">
        <v>228</v>
      </c>
      <c r="E684" s="2" t="s">
        <v>13</v>
      </c>
      <c r="F684" s="2" t="s">
        <v>14</v>
      </c>
      <c r="G684" s="2" t="s">
        <v>43</v>
      </c>
      <c r="H684" s="2" t="s">
        <v>44</v>
      </c>
      <c r="I684" s="2">
        <v>3785.97</v>
      </c>
      <c r="J684" s="2">
        <v>1</v>
      </c>
      <c r="K684" s="2">
        <v>0</v>
      </c>
      <c r="L684" s="9">
        <f t="shared" si="41"/>
        <v>3785.97</v>
      </c>
      <c r="M684" s="9">
        <f t="shared" si="42"/>
        <v>0</v>
      </c>
      <c r="N684" s="10">
        <f t="shared" si="43"/>
        <v>3785.97</v>
      </c>
      <c r="O684" s="2" t="s">
        <v>38</v>
      </c>
      <c r="P684" s="2" t="s">
        <v>27</v>
      </c>
      <c r="Q684" s="2" t="s">
        <v>40</v>
      </c>
    </row>
    <row r="685" spans="1:17" x14ac:dyDescent="0.25">
      <c r="A685" s="3" t="s">
        <v>1030</v>
      </c>
      <c r="B685" s="4">
        <v>45724</v>
      </c>
      <c r="C685" s="4" t="str">
        <f t="shared" si="40"/>
        <v>Mar</v>
      </c>
      <c r="D685" s="3" t="s">
        <v>628</v>
      </c>
      <c r="E685" s="3" t="s">
        <v>51</v>
      </c>
      <c r="F685" s="3" t="s">
        <v>14</v>
      </c>
      <c r="G685" s="3" t="s">
        <v>110</v>
      </c>
      <c r="H685" s="3" t="s">
        <v>153</v>
      </c>
      <c r="I685" s="3">
        <v>3279.35</v>
      </c>
      <c r="J685" s="3">
        <v>3</v>
      </c>
      <c r="K685" s="3">
        <v>10</v>
      </c>
      <c r="L685" s="9">
        <f t="shared" si="41"/>
        <v>9838.0499999999993</v>
      </c>
      <c r="M685" s="9">
        <f t="shared" si="42"/>
        <v>983.80499999999995</v>
      </c>
      <c r="N685" s="10">
        <f t="shared" si="43"/>
        <v>8854.244999999999</v>
      </c>
      <c r="O685" s="3" t="s">
        <v>68</v>
      </c>
      <c r="P685" s="3" t="s">
        <v>18</v>
      </c>
      <c r="Q685" s="3" t="s">
        <v>34</v>
      </c>
    </row>
    <row r="686" spans="1:17" x14ac:dyDescent="0.25">
      <c r="A686" s="2" t="s">
        <v>1031</v>
      </c>
      <c r="B686" s="4">
        <v>45725</v>
      </c>
      <c r="C686" s="4" t="str">
        <f t="shared" si="40"/>
        <v>Mar</v>
      </c>
      <c r="D686" s="2" t="s">
        <v>316</v>
      </c>
      <c r="E686" s="2" t="s">
        <v>100</v>
      </c>
      <c r="F686" s="2" t="s">
        <v>88</v>
      </c>
      <c r="G686" s="2" t="s">
        <v>72</v>
      </c>
      <c r="H686" s="2" t="s">
        <v>73</v>
      </c>
      <c r="I686" s="2">
        <v>369.66</v>
      </c>
      <c r="J686" s="2">
        <v>5</v>
      </c>
      <c r="K686" s="2">
        <v>0</v>
      </c>
      <c r="L686" s="9">
        <f t="shared" si="41"/>
        <v>1848.3000000000002</v>
      </c>
      <c r="M686" s="9">
        <f t="shared" si="42"/>
        <v>0</v>
      </c>
      <c r="N686" s="10">
        <f t="shared" si="43"/>
        <v>1848.3000000000002</v>
      </c>
      <c r="O686" s="2" t="s">
        <v>17</v>
      </c>
      <c r="P686" s="2" t="s">
        <v>52</v>
      </c>
      <c r="Q686" s="2" t="s">
        <v>40</v>
      </c>
    </row>
    <row r="687" spans="1:17" x14ac:dyDescent="0.25">
      <c r="A687" s="3" t="s">
        <v>1032</v>
      </c>
      <c r="B687" s="4">
        <v>45726</v>
      </c>
      <c r="C687" s="4" t="str">
        <f t="shared" si="40"/>
        <v>Mar</v>
      </c>
      <c r="D687" s="3" t="s">
        <v>734</v>
      </c>
      <c r="E687" s="3" t="s">
        <v>83</v>
      </c>
      <c r="F687" s="3" t="s">
        <v>84</v>
      </c>
      <c r="G687" s="3" t="s">
        <v>24</v>
      </c>
      <c r="H687" s="3" t="s">
        <v>170</v>
      </c>
      <c r="I687" s="3">
        <v>1125.97</v>
      </c>
      <c r="J687" s="3">
        <v>3</v>
      </c>
      <c r="K687" s="3">
        <v>0</v>
      </c>
      <c r="L687" s="9">
        <f t="shared" si="41"/>
        <v>3377.91</v>
      </c>
      <c r="M687" s="9">
        <f t="shared" si="42"/>
        <v>0</v>
      </c>
      <c r="N687" s="10">
        <f t="shared" si="43"/>
        <v>3377.91</v>
      </c>
      <c r="O687" s="3" t="s">
        <v>17</v>
      </c>
      <c r="P687" s="3" t="s">
        <v>18</v>
      </c>
      <c r="Q687" s="3" t="s">
        <v>40</v>
      </c>
    </row>
    <row r="688" spans="1:17" x14ac:dyDescent="0.25">
      <c r="A688" s="2" t="s">
        <v>1033</v>
      </c>
      <c r="B688" s="4">
        <v>45727</v>
      </c>
      <c r="C688" s="4" t="str">
        <f t="shared" si="40"/>
        <v>Mar</v>
      </c>
      <c r="D688" s="2" t="s">
        <v>423</v>
      </c>
      <c r="E688" s="2" t="s">
        <v>76</v>
      </c>
      <c r="F688" s="2" t="s">
        <v>77</v>
      </c>
      <c r="G688" s="2" t="s">
        <v>31</v>
      </c>
      <c r="H688" s="2" t="s">
        <v>242</v>
      </c>
      <c r="I688" s="2">
        <v>843.32</v>
      </c>
      <c r="J688" s="2">
        <v>1</v>
      </c>
      <c r="K688" s="2">
        <v>0</v>
      </c>
      <c r="L688" s="9">
        <f t="shared" si="41"/>
        <v>843.32</v>
      </c>
      <c r="M688" s="9">
        <f t="shared" si="42"/>
        <v>0</v>
      </c>
      <c r="N688" s="10">
        <f t="shared" si="43"/>
        <v>843.32</v>
      </c>
      <c r="O688" s="2" t="s">
        <v>38</v>
      </c>
      <c r="P688" s="2" t="s">
        <v>18</v>
      </c>
      <c r="Q688" s="2" t="s">
        <v>60</v>
      </c>
    </row>
    <row r="689" spans="1:17" x14ac:dyDescent="0.25">
      <c r="A689" s="3" t="s">
        <v>1034</v>
      </c>
      <c r="B689" s="4">
        <v>45728</v>
      </c>
      <c r="C689" s="4" t="str">
        <f t="shared" si="40"/>
        <v>Mar</v>
      </c>
      <c r="D689" s="3" t="s">
        <v>94</v>
      </c>
      <c r="E689" s="3" t="s">
        <v>65</v>
      </c>
      <c r="F689" s="3" t="s">
        <v>66</v>
      </c>
      <c r="G689" s="3" t="s">
        <v>36</v>
      </c>
      <c r="H689" s="3" t="s">
        <v>338</v>
      </c>
      <c r="I689" s="3">
        <v>60107</v>
      </c>
      <c r="J689" s="3">
        <v>1</v>
      </c>
      <c r="K689" s="3">
        <v>15</v>
      </c>
      <c r="L689" s="9">
        <f t="shared" si="41"/>
        <v>60107</v>
      </c>
      <c r="M689" s="9">
        <f t="shared" si="42"/>
        <v>9016.0499999999993</v>
      </c>
      <c r="N689" s="10">
        <f t="shared" si="43"/>
        <v>51090.95</v>
      </c>
      <c r="O689" s="3" t="s">
        <v>26</v>
      </c>
      <c r="P689" s="3" t="s">
        <v>18</v>
      </c>
      <c r="Q689" s="3" t="s">
        <v>34</v>
      </c>
    </row>
    <row r="690" spans="1:17" x14ac:dyDescent="0.25">
      <c r="A690" s="2" t="s">
        <v>1035</v>
      </c>
      <c r="B690" s="4">
        <v>45729</v>
      </c>
      <c r="C690" s="4" t="str">
        <f t="shared" si="40"/>
        <v>Mar</v>
      </c>
      <c r="D690" s="2" t="s">
        <v>851</v>
      </c>
      <c r="E690" s="2" t="s">
        <v>13</v>
      </c>
      <c r="F690" s="2" t="s">
        <v>14</v>
      </c>
      <c r="G690" s="2" t="s">
        <v>36</v>
      </c>
      <c r="H690" s="2" t="s">
        <v>338</v>
      </c>
      <c r="I690" s="2">
        <v>64918.27</v>
      </c>
      <c r="J690" s="2">
        <v>4</v>
      </c>
      <c r="K690" s="2">
        <v>15</v>
      </c>
      <c r="L690" s="9">
        <f t="shared" si="41"/>
        <v>259673.08</v>
      </c>
      <c r="M690" s="9">
        <f t="shared" si="42"/>
        <v>38950.962</v>
      </c>
      <c r="N690" s="10">
        <f t="shared" si="43"/>
        <v>220722.11799999999</v>
      </c>
      <c r="O690" s="2" t="s">
        <v>33</v>
      </c>
      <c r="P690" s="2" t="s">
        <v>52</v>
      </c>
      <c r="Q690" s="2" t="s">
        <v>34</v>
      </c>
    </row>
    <row r="691" spans="1:17" x14ac:dyDescent="0.25">
      <c r="A691" s="3" t="s">
        <v>1036</v>
      </c>
      <c r="B691" s="4">
        <v>45730</v>
      </c>
      <c r="C691" s="4" t="str">
        <f t="shared" si="40"/>
        <v>Mar</v>
      </c>
      <c r="D691" s="3" t="s">
        <v>1037</v>
      </c>
      <c r="E691" s="3" t="s">
        <v>83</v>
      </c>
      <c r="F691" s="3" t="s">
        <v>84</v>
      </c>
      <c r="G691" s="3" t="s">
        <v>43</v>
      </c>
      <c r="H691" s="3" t="s">
        <v>105</v>
      </c>
      <c r="I691" s="3">
        <v>3071.58</v>
      </c>
      <c r="J691" s="3">
        <v>4</v>
      </c>
      <c r="K691" s="3">
        <v>15</v>
      </c>
      <c r="L691" s="9">
        <f t="shared" si="41"/>
        <v>12286.32</v>
      </c>
      <c r="M691" s="9">
        <f t="shared" si="42"/>
        <v>1842.9479999999999</v>
      </c>
      <c r="N691" s="10">
        <f t="shared" si="43"/>
        <v>10443.371999999999</v>
      </c>
      <c r="O691" s="3" t="s">
        <v>68</v>
      </c>
      <c r="P691" s="3" t="s">
        <v>39</v>
      </c>
      <c r="Q691" s="3" t="s">
        <v>60</v>
      </c>
    </row>
    <row r="692" spans="1:17" x14ac:dyDescent="0.25">
      <c r="A692" s="2" t="s">
        <v>1038</v>
      </c>
      <c r="B692" s="4">
        <v>45731</v>
      </c>
      <c r="C692" s="4" t="str">
        <f t="shared" si="40"/>
        <v>Mar</v>
      </c>
      <c r="D692" s="2" t="s">
        <v>1039</v>
      </c>
      <c r="E692" s="2" t="s">
        <v>13</v>
      </c>
      <c r="F692" s="2" t="s">
        <v>14</v>
      </c>
      <c r="G692" s="2" t="s">
        <v>15</v>
      </c>
      <c r="H692" s="2" t="s">
        <v>95</v>
      </c>
      <c r="I692" s="2">
        <v>1241.3</v>
      </c>
      <c r="J692" s="2">
        <v>4</v>
      </c>
      <c r="K692" s="2">
        <v>0</v>
      </c>
      <c r="L692" s="9">
        <f t="shared" si="41"/>
        <v>4965.2</v>
      </c>
      <c r="M692" s="9">
        <f t="shared" si="42"/>
        <v>0</v>
      </c>
      <c r="N692" s="10">
        <f t="shared" si="43"/>
        <v>4965.2</v>
      </c>
      <c r="O692" s="2" t="s">
        <v>17</v>
      </c>
      <c r="P692" s="2" t="s">
        <v>27</v>
      </c>
      <c r="Q692" s="2" t="s">
        <v>40</v>
      </c>
    </row>
    <row r="693" spans="1:17" x14ac:dyDescent="0.25">
      <c r="A693" s="3" t="s">
        <v>1040</v>
      </c>
      <c r="B693" s="4">
        <v>45732</v>
      </c>
      <c r="C693" s="4" t="str">
        <f t="shared" si="40"/>
        <v>Mar</v>
      </c>
      <c r="D693" s="3" t="s">
        <v>541</v>
      </c>
      <c r="E693" s="3" t="s">
        <v>65</v>
      </c>
      <c r="F693" s="3" t="s">
        <v>66</v>
      </c>
      <c r="G693" s="3" t="s">
        <v>15</v>
      </c>
      <c r="H693" s="3" t="s">
        <v>56</v>
      </c>
      <c r="I693" s="3">
        <v>1971.93</v>
      </c>
      <c r="J693" s="3">
        <v>2</v>
      </c>
      <c r="K693" s="3">
        <v>0</v>
      </c>
      <c r="L693" s="9">
        <f t="shared" si="41"/>
        <v>3943.86</v>
      </c>
      <c r="M693" s="9">
        <f t="shared" si="42"/>
        <v>0</v>
      </c>
      <c r="N693" s="10">
        <f t="shared" si="43"/>
        <v>3943.86</v>
      </c>
      <c r="O693" s="3" t="s">
        <v>38</v>
      </c>
      <c r="P693" s="3" t="s">
        <v>18</v>
      </c>
      <c r="Q693" s="3" t="s">
        <v>34</v>
      </c>
    </row>
    <row r="694" spans="1:17" x14ac:dyDescent="0.25">
      <c r="A694" s="2" t="s">
        <v>1041</v>
      </c>
      <c r="B694" s="4">
        <v>45733</v>
      </c>
      <c r="C694" s="4" t="str">
        <f t="shared" si="40"/>
        <v>Mar</v>
      </c>
      <c r="D694" s="2" t="s">
        <v>1042</v>
      </c>
      <c r="E694" s="2" t="s">
        <v>22</v>
      </c>
      <c r="F694" s="2" t="s">
        <v>23</v>
      </c>
      <c r="G694" s="2" t="s">
        <v>24</v>
      </c>
      <c r="H694" s="2" t="s">
        <v>134</v>
      </c>
      <c r="I694" s="2">
        <v>2612.6</v>
      </c>
      <c r="J694" s="2">
        <v>3</v>
      </c>
      <c r="K694" s="2">
        <v>15</v>
      </c>
      <c r="L694" s="9">
        <f t="shared" si="41"/>
        <v>7837.7999999999993</v>
      </c>
      <c r="M694" s="9">
        <f t="shared" si="42"/>
        <v>1175.6699999999998</v>
      </c>
      <c r="N694" s="10">
        <f t="shared" si="43"/>
        <v>6662.1299999999992</v>
      </c>
      <c r="O694" s="2" t="s">
        <v>17</v>
      </c>
      <c r="P694" s="2" t="s">
        <v>52</v>
      </c>
      <c r="Q694" s="2" t="s">
        <v>34</v>
      </c>
    </row>
    <row r="695" spans="1:17" x14ac:dyDescent="0.25">
      <c r="A695" s="3" t="s">
        <v>1043</v>
      </c>
      <c r="B695" s="4">
        <v>45734</v>
      </c>
      <c r="C695" s="4" t="str">
        <f t="shared" si="40"/>
        <v>Mar</v>
      </c>
      <c r="D695" s="3" t="s">
        <v>1044</v>
      </c>
      <c r="E695" s="3" t="s">
        <v>76</v>
      </c>
      <c r="F695" s="3" t="s">
        <v>77</v>
      </c>
      <c r="G695" s="3" t="s">
        <v>15</v>
      </c>
      <c r="H695" s="3" t="s">
        <v>56</v>
      </c>
      <c r="I695" s="3">
        <v>1962.05</v>
      </c>
      <c r="J695" s="3">
        <v>4</v>
      </c>
      <c r="K695" s="3">
        <v>0</v>
      </c>
      <c r="L695" s="9">
        <f t="shared" si="41"/>
        <v>7848.2</v>
      </c>
      <c r="M695" s="9">
        <f t="shared" si="42"/>
        <v>0</v>
      </c>
      <c r="N695" s="10">
        <f t="shared" si="43"/>
        <v>7848.2</v>
      </c>
      <c r="O695" s="3" t="s">
        <v>38</v>
      </c>
      <c r="P695" s="3" t="s">
        <v>18</v>
      </c>
      <c r="Q695" s="3" t="s">
        <v>60</v>
      </c>
    </row>
    <row r="696" spans="1:17" x14ac:dyDescent="0.25">
      <c r="A696" s="2" t="s">
        <v>1045</v>
      </c>
      <c r="B696" s="4">
        <v>45735</v>
      </c>
      <c r="C696" s="4" t="str">
        <f t="shared" si="40"/>
        <v>Mar</v>
      </c>
      <c r="D696" s="2" t="s">
        <v>295</v>
      </c>
      <c r="E696" s="2" t="s">
        <v>76</v>
      </c>
      <c r="F696" s="2" t="s">
        <v>77</v>
      </c>
      <c r="G696" s="2" t="s">
        <v>43</v>
      </c>
      <c r="H696" s="2" t="s">
        <v>127</v>
      </c>
      <c r="I696" s="2">
        <v>5641.21</v>
      </c>
      <c r="J696" s="2">
        <v>2</v>
      </c>
      <c r="K696" s="2">
        <v>0</v>
      </c>
      <c r="L696" s="9">
        <f t="shared" si="41"/>
        <v>11282.42</v>
      </c>
      <c r="M696" s="9">
        <f t="shared" si="42"/>
        <v>0</v>
      </c>
      <c r="N696" s="10">
        <f t="shared" si="43"/>
        <v>11282.42</v>
      </c>
      <c r="O696" s="2" t="s">
        <v>68</v>
      </c>
      <c r="P696" s="2" t="s">
        <v>27</v>
      </c>
      <c r="Q696" s="2" t="s">
        <v>40</v>
      </c>
    </row>
    <row r="697" spans="1:17" x14ac:dyDescent="0.25">
      <c r="A697" s="3" t="s">
        <v>1046</v>
      </c>
      <c r="B697" s="4">
        <v>45736</v>
      </c>
      <c r="C697" s="4" t="str">
        <f t="shared" si="40"/>
        <v>Mar</v>
      </c>
      <c r="D697" s="3" t="s">
        <v>550</v>
      </c>
      <c r="E697" s="3" t="s">
        <v>13</v>
      </c>
      <c r="F697" s="3" t="s">
        <v>14</v>
      </c>
      <c r="G697" s="3" t="s">
        <v>24</v>
      </c>
      <c r="H697" s="3" t="s">
        <v>134</v>
      </c>
      <c r="I697" s="3">
        <v>2552.29</v>
      </c>
      <c r="J697" s="3">
        <v>3</v>
      </c>
      <c r="K697" s="3">
        <v>0</v>
      </c>
      <c r="L697" s="9">
        <f t="shared" si="41"/>
        <v>7656.87</v>
      </c>
      <c r="M697" s="9">
        <f t="shared" si="42"/>
        <v>0</v>
      </c>
      <c r="N697" s="10">
        <f t="shared" si="43"/>
        <v>7656.87</v>
      </c>
      <c r="O697" s="3" t="s">
        <v>38</v>
      </c>
      <c r="P697" s="3" t="s">
        <v>52</v>
      </c>
      <c r="Q697" s="3" t="s">
        <v>19</v>
      </c>
    </row>
    <row r="698" spans="1:17" x14ac:dyDescent="0.25">
      <c r="A698" s="2" t="s">
        <v>1047</v>
      </c>
      <c r="B698" s="4">
        <v>45737</v>
      </c>
      <c r="C698" s="4" t="str">
        <f t="shared" si="40"/>
        <v>Mar</v>
      </c>
      <c r="D698" s="2" t="s">
        <v>1048</v>
      </c>
      <c r="E698" s="2" t="s">
        <v>83</v>
      </c>
      <c r="F698" s="2" t="s">
        <v>84</v>
      </c>
      <c r="G698" s="2" t="s">
        <v>72</v>
      </c>
      <c r="H698" s="2" t="s">
        <v>129</v>
      </c>
      <c r="I698" s="2">
        <v>1905.38</v>
      </c>
      <c r="J698" s="2">
        <v>2</v>
      </c>
      <c r="K698" s="2">
        <v>0</v>
      </c>
      <c r="L698" s="9">
        <f t="shared" si="41"/>
        <v>3810.76</v>
      </c>
      <c r="M698" s="9">
        <f t="shared" si="42"/>
        <v>0</v>
      </c>
      <c r="N698" s="10">
        <f t="shared" si="43"/>
        <v>3810.76</v>
      </c>
      <c r="O698" s="2" t="s">
        <v>33</v>
      </c>
      <c r="P698" s="2" t="s">
        <v>18</v>
      </c>
      <c r="Q698" s="2" t="s">
        <v>19</v>
      </c>
    </row>
    <row r="699" spans="1:17" x14ac:dyDescent="0.25">
      <c r="A699" s="3" t="s">
        <v>1049</v>
      </c>
      <c r="B699" s="4">
        <v>45738</v>
      </c>
      <c r="C699" s="4" t="str">
        <f t="shared" si="40"/>
        <v>Mar</v>
      </c>
      <c r="D699" s="3" t="s">
        <v>641</v>
      </c>
      <c r="E699" s="3" t="s">
        <v>83</v>
      </c>
      <c r="F699" s="3" t="s">
        <v>84</v>
      </c>
      <c r="G699" s="3" t="s">
        <v>110</v>
      </c>
      <c r="H699" s="3" t="s">
        <v>207</v>
      </c>
      <c r="I699" s="3">
        <v>9269.39</v>
      </c>
      <c r="J699" s="3">
        <v>1</v>
      </c>
      <c r="K699" s="3">
        <v>0</v>
      </c>
      <c r="L699" s="9">
        <f t="shared" si="41"/>
        <v>9269.39</v>
      </c>
      <c r="M699" s="9">
        <f t="shared" si="42"/>
        <v>0</v>
      </c>
      <c r="N699" s="10">
        <f t="shared" si="43"/>
        <v>9269.39</v>
      </c>
      <c r="O699" s="3" t="s">
        <v>68</v>
      </c>
      <c r="P699" s="3" t="s">
        <v>18</v>
      </c>
      <c r="Q699" s="3" t="s">
        <v>60</v>
      </c>
    </row>
    <row r="700" spans="1:17" x14ac:dyDescent="0.25">
      <c r="A700" s="2" t="s">
        <v>1050</v>
      </c>
      <c r="B700" s="4">
        <v>45739</v>
      </c>
      <c r="C700" s="4" t="str">
        <f t="shared" si="40"/>
        <v>Mar</v>
      </c>
      <c r="D700" s="2" t="s">
        <v>457</v>
      </c>
      <c r="E700" s="2" t="s">
        <v>76</v>
      </c>
      <c r="F700" s="2" t="s">
        <v>77</v>
      </c>
      <c r="G700" s="2" t="s">
        <v>36</v>
      </c>
      <c r="H700" s="2" t="s">
        <v>78</v>
      </c>
      <c r="I700" s="2">
        <v>79506.78</v>
      </c>
      <c r="J700" s="2">
        <v>3</v>
      </c>
      <c r="K700" s="2">
        <v>0</v>
      </c>
      <c r="L700" s="9">
        <f t="shared" si="41"/>
        <v>238520.34</v>
      </c>
      <c r="M700" s="9">
        <f t="shared" si="42"/>
        <v>0</v>
      </c>
      <c r="N700" s="10">
        <f t="shared" si="43"/>
        <v>238520.34</v>
      </c>
      <c r="O700" s="2" t="s">
        <v>26</v>
      </c>
      <c r="P700" s="2" t="s">
        <v>18</v>
      </c>
      <c r="Q700" s="2" t="s">
        <v>60</v>
      </c>
    </row>
    <row r="701" spans="1:17" x14ac:dyDescent="0.25">
      <c r="A701" s="3" t="s">
        <v>1051</v>
      </c>
      <c r="B701" s="4">
        <v>45740</v>
      </c>
      <c r="C701" s="4" t="str">
        <f t="shared" si="40"/>
        <v>Mar</v>
      </c>
      <c r="D701" s="3" t="s">
        <v>495</v>
      </c>
      <c r="E701" s="3" t="s">
        <v>65</v>
      </c>
      <c r="F701" s="3" t="s">
        <v>66</v>
      </c>
      <c r="G701" s="3" t="s">
        <v>43</v>
      </c>
      <c r="H701" s="3" t="s">
        <v>44</v>
      </c>
      <c r="I701" s="3">
        <v>3548.2</v>
      </c>
      <c r="J701" s="3">
        <v>4</v>
      </c>
      <c r="K701" s="3">
        <v>10</v>
      </c>
      <c r="L701" s="9">
        <f t="shared" si="41"/>
        <v>14192.8</v>
      </c>
      <c r="M701" s="9">
        <f t="shared" si="42"/>
        <v>1419.28</v>
      </c>
      <c r="N701" s="10">
        <f t="shared" si="43"/>
        <v>12773.519999999999</v>
      </c>
      <c r="O701" s="3" t="s">
        <v>17</v>
      </c>
      <c r="P701" s="3" t="s">
        <v>27</v>
      </c>
      <c r="Q701" s="3" t="s">
        <v>19</v>
      </c>
    </row>
    <row r="702" spans="1:17" x14ac:dyDescent="0.25">
      <c r="A702" s="2" t="s">
        <v>1052</v>
      </c>
      <c r="B702" s="4">
        <v>45741</v>
      </c>
      <c r="C702" s="4" t="str">
        <f t="shared" si="40"/>
        <v>Mar</v>
      </c>
      <c r="D702" s="2" t="s">
        <v>155</v>
      </c>
      <c r="E702" s="2" t="s">
        <v>83</v>
      </c>
      <c r="F702" s="2" t="s">
        <v>84</v>
      </c>
      <c r="G702" s="2" t="s">
        <v>72</v>
      </c>
      <c r="H702" s="2" t="s">
        <v>102</v>
      </c>
      <c r="I702" s="2">
        <v>650.87</v>
      </c>
      <c r="J702" s="2">
        <v>4</v>
      </c>
      <c r="K702" s="2">
        <v>10</v>
      </c>
      <c r="L702" s="9">
        <f t="shared" si="41"/>
        <v>2603.48</v>
      </c>
      <c r="M702" s="9">
        <f t="shared" si="42"/>
        <v>260.34800000000001</v>
      </c>
      <c r="N702" s="10">
        <f t="shared" si="43"/>
        <v>2343.1320000000001</v>
      </c>
      <c r="O702" s="2" t="s">
        <v>33</v>
      </c>
      <c r="P702" s="2" t="s">
        <v>52</v>
      </c>
      <c r="Q702" s="2" t="s">
        <v>60</v>
      </c>
    </row>
    <row r="703" spans="1:17" x14ac:dyDescent="0.25">
      <c r="A703" s="3" t="s">
        <v>1053</v>
      </c>
      <c r="B703" s="4">
        <v>45742</v>
      </c>
      <c r="C703" s="4" t="str">
        <f t="shared" si="40"/>
        <v>Mar</v>
      </c>
      <c r="D703" s="3" t="s">
        <v>680</v>
      </c>
      <c r="E703" s="3" t="s">
        <v>47</v>
      </c>
      <c r="F703" s="3" t="s">
        <v>48</v>
      </c>
      <c r="G703" s="3" t="s">
        <v>31</v>
      </c>
      <c r="H703" s="3" t="s">
        <v>32</v>
      </c>
      <c r="I703" s="3">
        <v>2264.0700000000002</v>
      </c>
      <c r="J703" s="3">
        <v>1</v>
      </c>
      <c r="K703" s="3">
        <v>0</v>
      </c>
      <c r="L703" s="9">
        <f t="shared" si="41"/>
        <v>2264.0700000000002</v>
      </c>
      <c r="M703" s="9">
        <f t="shared" si="42"/>
        <v>0</v>
      </c>
      <c r="N703" s="10">
        <f t="shared" si="43"/>
        <v>2264.0700000000002</v>
      </c>
      <c r="O703" s="3" t="s">
        <v>38</v>
      </c>
      <c r="P703" s="3" t="s">
        <v>18</v>
      </c>
      <c r="Q703" s="3" t="s">
        <v>19</v>
      </c>
    </row>
    <row r="704" spans="1:17" x14ac:dyDescent="0.25">
      <c r="A704" s="2" t="s">
        <v>1054</v>
      </c>
      <c r="B704" s="4">
        <v>45743</v>
      </c>
      <c r="C704" s="4" t="str">
        <f t="shared" si="40"/>
        <v>Mar</v>
      </c>
      <c r="D704" s="2" t="s">
        <v>336</v>
      </c>
      <c r="E704" s="2" t="s">
        <v>65</v>
      </c>
      <c r="F704" s="2" t="s">
        <v>66</v>
      </c>
      <c r="G704" s="2" t="s">
        <v>36</v>
      </c>
      <c r="H704" s="2" t="s">
        <v>37</v>
      </c>
      <c r="I704" s="2">
        <v>11628.34</v>
      </c>
      <c r="J704" s="2">
        <v>3</v>
      </c>
      <c r="K704" s="2">
        <v>0</v>
      </c>
      <c r="L704" s="9">
        <f t="shared" si="41"/>
        <v>34885.020000000004</v>
      </c>
      <c r="M704" s="9">
        <f t="shared" si="42"/>
        <v>0</v>
      </c>
      <c r="N704" s="10">
        <f t="shared" si="43"/>
        <v>34885.020000000004</v>
      </c>
      <c r="O704" s="2" t="s">
        <v>38</v>
      </c>
      <c r="P704" s="2" t="s">
        <v>18</v>
      </c>
      <c r="Q704" s="2" t="s">
        <v>53</v>
      </c>
    </row>
    <row r="705" spans="1:17" x14ac:dyDescent="0.25">
      <c r="A705" s="3" t="s">
        <v>1055</v>
      </c>
      <c r="B705" s="4">
        <v>45744</v>
      </c>
      <c r="C705" s="4" t="str">
        <f t="shared" si="40"/>
        <v>Mar</v>
      </c>
      <c r="D705" s="3" t="s">
        <v>605</v>
      </c>
      <c r="E705" s="3" t="s">
        <v>47</v>
      </c>
      <c r="F705" s="3" t="s">
        <v>48</v>
      </c>
      <c r="G705" s="3" t="s">
        <v>110</v>
      </c>
      <c r="H705" s="3" t="s">
        <v>207</v>
      </c>
      <c r="I705" s="3">
        <v>9197.66</v>
      </c>
      <c r="J705" s="3">
        <v>1</v>
      </c>
      <c r="K705" s="3">
        <v>0</v>
      </c>
      <c r="L705" s="9">
        <f t="shared" si="41"/>
        <v>9197.66</v>
      </c>
      <c r="M705" s="9">
        <f t="shared" si="42"/>
        <v>0</v>
      </c>
      <c r="N705" s="10">
        <f t="shared" si="43"/>
        <v>9197.66</v>
      </c>
      <c r="O705" s="3" t="s">
        <v>68</v>
      </c>
      <c r="P705" s="3" t="s">
        <v>18</v>
      </c>
      <c r="Q705" s="3" t="s">
        <v>53</v>
      </c>
    </row>
    <row r="706" spans="1:17" x14ac:dyDescent="0.25">
      <c r="A706" s="2" t="s">
        <v>1056</v>
      </c>
      <c r="B706" s="4">
        <v>45745</v>
      </c>
      <c r="C706" s="4" t="str">
        <f t="shared" ref="C706:C769" si="44">TEXT(B706,"mmm")</f>
        <v>Mar</v>
      </c>
      <c r="D706" s="2" t="s">
        <v>641</v>
      </c>
      <c r="E706" s="2" t="s">
        <v>13</v>
      </c>
      <c r="F706" s="2" t="s">
        <v>14</v>
      </c>
      <c r="G706" s="2" t="s">
        <v>43</v>
      </c>
      <c r="H706" s="2" t="s">
        <v>145</v>
      </c>
      <c r="I706" s="2">
        <v>12163.32</v>
      </c>
      <c r="J706" s="2">
        <v>4</v>
      </c>
      <c r="K706" s="2">
        <v>10</v>
      </c>
      <c r="L706" s="9">
        <f t="shared" ref="L706:L769" si="45">J706*I706</f>
        <v>48653.279999999999</v>
      </c>
      <c r="M706" s="9">
        <f t="shared" ref="M706:M769" si="46">L706*K706/100</f>
        <v>4865.3279999999995</v>
      </c>
      <c r="N706" s="10">
        <f t="shared" ref="N706:N769" si="47">L706-M706</f>
        <v>43787.951999999997</v>
      </c>
      <c r="O706" s="2" t="s">
        <v>68</v>
      </c>
      <c r="P706" s="2" t="s">
        <v>27</v>
      </c>
      <c r="Q706" s="2" t="s">
        <v>60</v>
      </c>
    </row>
    <row r="707" spans="1:17" x14ac:dyDescent="0.25">
      <c r="A707" s="3" t="s">
        <v>1057</v>
      </c>
      <c r="B707" s="4">
        <v>45746</v>
      </c>
      <c r="C707" s="4" t="str">
        <f t="shared" si="44"/>
        <v>Mar</v>
      </c>
      <c r="D707" s="3" t="s">
        <v>610</v>
      </c>
      <c r="E707" s="3" t="s">
        <v>65</v>
      </c>
      <c r="F707" s="3" t="s">
        <v>66</v>
      </c>
      <c r="G707" s="3" t="s">
        <v>110</v>
      </c>
      <c r="H707" s="3" t="s">
        <v>67</v>
      </c>
      <c r="I707" s="3">
        <v>4340.18</v>
      </c>
      <c r="J707" s="3">
        <v>1</v>
      </c>
      <c r="K707" s="3">
        <v>0</v>
      </c>
      <c r="L707" s="9">
        <f t="shared" si="45"/>
        <v>4340.18</v>
      </c>
      <c r="M707" s="9">
        <f t="shared" si="46"/>
        <v>0</v>
      </c>
      <c r="N707" s="10">
        <f t="shared" si="47"/>
        <v>4340.18</v>
      </c>
      <c r="O707" s="3" t="s">
        <v>68</v>
      </c>
      <c r="P707" s="3" t="s">
        <v>27</v>
      </c>
      <c r="Q707" s="3" t="s">
        <v>53</v>
      </c>
    </row>
    <row r="708" spans="1:17" x14ac:dyDescent="0.25">
      <c r="A708" s="2" t="s">
        <v>1058</v>
      </c>
      <c r="B708" s="4">
        <v>45747</v>
      </c>
      <c r="C708" s="4" t="str">
        <f t="shared" si="44"/>
        <v>Mar</v>
      </c>
      <c r="D708" s="2" t="s">
        <v>700</v>
      </c>
      <c r="E708" s="2" t="s">
        <v>87</v>
      </c>
      <c r="F708" s="2" t="s">
        <v>88</v>
      </c>
      <c r="G708" s="2" t="s">
        <v>24</v>
      </c>
      <c r="H708" s="2" t="s">
        <v>59</v>
      </c>
      <c r="I708" s="2">
        <v>4799.5200000000004</v>
      </c>
      <c r="J708" s="2">
        <v>4</v>
      </c>
      <c r="K708" s="2">
        <v>10</v>
      </c>
      <c r="L708" s="9">
        <f t="shared" si="45"/>
        <v>19198.080000000002</v>
      </c>
      <c r="M708" s="9">
        <f t="shared" si="46"/>
        <v>1919.8080000000002</v>
      </c>
      <c r="N708" s="10">
        <f t="shared" si="47"/>
        <v>17278.272000000001</v>
      </c>
      <c r="O708" s="2" t="s">
        <v>33</v>
      </c>
      <c r="P708" s="2" t="s">
        <v>27</v>
      </c>
      <c r="Q708" s="2" t="s">
        <v>40</v>
      </c>
    </row>
    <row r="709" spans="1:17" x14ac:dyDescent="0.25">
      <c r="A709" s="3" t="s">
        <v>1059</v>
      </c>
      <c r="B709" s="4">
        <v>45748</v>
      </c>
      <c r="C709" s="4" t="str">
        <f t="shared" si="44"/>
        <v>Apr</v>
      </c>
      <c r="D709" s="3" t="s">
        <v>297</v>
      </c>
      <c r="E709" s="3" t="s">
        <v>47</v>
      </c>
      <c r="F709" s="3" t="s">
        <v>48</v>
      </c>
      <c r="G709" s="3" t="s">
        <v>36</v>
      </c>
      <c r="H709" s="3" t="s">
        <v>338</v>
      </c>
      <c r="I709" s="3">
        <v>71450.960000000006</v>
      </c>
      <c r="J709" s="3">
        <v>4</v>
      </c>
      <c r="K709" s="3">
        <v>15</v>
      </c>
      <c r="L709" s="9">
        <f t="shared" si="45"/>
        <v>285803.84000000003</v>
      </c>
      <c r="M709" s="9">
        <f t="shared" si="46"/>
        <v>42870.576000000008</v>
      </c>
      <c r="N709" s="10">
        <f t="shared" si="47"/>
        <v>242933.26400000002</v>
      </c>
      <c r="O709" s="3" t="s">
        <v>17</v>
      </c>
      <c r="P709" s="3" t="s">
        <v>27</v>
      </c>
      <c r="Q709" s="3" t="s">
        <v>40</v>
      </c>
    </row>
    <row r="710" spans="1:17" x14ac:dyDescent="0.25">
      <c r="A710" s="2" t="s">
        <v>1060</v>
      </c>
      <c r="B710" s="4">
        <v>45749</v>
      </c>
      <c r="C710" s="4" t="str">
        <f t="shared" si="44"/>
        <v>Apr</v>
      </c>
      <c r="D710" s="2" t="s">
        <v>1061</v>
      </c>
      <c r="E710" s="2" t="s">
        <v>29</v>
      </c>
      <c r="F710" s="2" t="s">
        <v>30</v>
      </c>
      <c r="G710" s="2" t="s">
        <v>31</v>
      </c>
      <c r="H710" s="2" t="s">
        <v>116</v>
      </c>
      <c r="I710" s="2">
        <v>1096.1400000000001</v>
      </c>
      <c r="J710" s="2">
        <v>5</v>
      </c>
      <c r="K710" s="2">
        <v>0</v>
      </c>
      <c r="L710" s="9">
        <f t="shared" si="45"/>
        <v>5480.7000000000007</v>
      </c>
      <c r="M710" s="9">
        <f t="shared" si="46"/>
        <v>0</v>
      </c>
      <c r="N710" s="10">
        <f t="shared" si="47"/>
        <v>5480.7000000000007</v>
      </c>
      <c r="O710" s="2" t="s">
        <v>33</v>
      </c>
      <c r="P710" s="2" t="s">
        <v>18</v>
      </c>
      <c r="Q710" s="2" t="s">
        <v>34</v>
      </c>
    </row>
    <row r="711" spans="1:17" x14ac:dyDescent="0.25">
      <c r="A711" s="3" t="s">
        <v>1062</v>
      </c>
      <c r="B711" s="4">
        <v>45750</v>
      </c>
      <c r="C711" s="4" t="str">
        <f t="shared" si="44"/>
        <v>Apr</v>
      </c>
      <c r="D711" s="3" t="s">
        <v>118</v>
      </c>
      <c r="E711" s="3" t="s">
        <v>83</v>
      </c>
      <c r="F711" s="3" t="s">
        <v>84</v>
      </c>
      <c r="G711" s="3" t="s">
        <v>72</v>
      </c>
      <c r="H711" s="3" t="s">
        <v>137</v>
      </c>
      <c r="I711" s="3">
        <v>2170.48</v>
      </c>
      <c r="J711" s="3">
        <v>5</v>
      </c>
      <c r="K711" s="3">
        <v>0</v>
      </c>
      <c r="L711" s="9">
        <f t="shared" si="45"/>
        <v>10852.4</v>
      </c>
      <c r="M711" s="9">
        <f t="shared" si="46"/>
        <v>0</v>
      </c>
      <c r="N711" s="10">
        <f t="shared" si="47"/>
        <v>10852.4</v>
      </c>
      <c r="O711" s="3" t="s">
        <v>26</v>
      </c>
      <c r="P711" s="3" t="s">
        <v>18</v>
      </c>
      <c r="Q711" s="3" t="s">
        <v>60</v>
      </c>
    </row>
    <row r="712" spans="1:17" x14ac:dyDescent="0.25">
      <c r="A712" s="2" t="s">
        <v>1063</v>
      </c>
      <c r="B712" s="4">
        <v>45751</v>
      </c>
      <c r="C712" s="4" t="str">
        <f t="shared" si="44"/>
        <v>Apr</v>
      </c>
      <c r="D712" s="2" t="s">
        <v>275</v>
      </c>
      <c r="E712" s="2" t="s">
        <v>76</v>
      </c>
      <c r="F712" s="2" t="s">
        <v>77</v>
      </c>
      <c r="G712" s="2" t="s">
        <v>15</v>
      </c>
      <c r="H712" s="2" t="s">
        <v>56</v>
      </c>
      <c r="I712" s="2">
        <v>1685.02</v>
      </c>
      <c r="J712" s="2">
        <v>1</v>
      </c>
      <c r="K712" s="2">
        <v>10</v>
      </c>
      <c r="L712" s="9">
        <f t="shared" si="45"/>
        <v>1685.02</v>
      </c>
      <c r="M712" s="9">
        <f t="shared" si="46"/>
        <v>168.50200000000001</v>
      </c>
      <c r="N712" s="10">
        <f t="shared" si="47"/>
        <v>1516.518</v>
      </c>
      <c r="O712" s="2" t="s">
        <v>17</v>
      </c>
      <c r="P712" s="2" t="s">
        <v>39</v>
      </c>
      <c r="Q712" s="2" t="s">
        <v>53</v>
      </c>
    </row>
    <row r="713" spans="1:17" x14ac:dyDescent="0.25">
      <c r="A713" s="3" t="s">
        <v>1064</v>
      </c>
      <c r="B713" s="4">
        <v>45752</v>
      </c>
      <c r="C713" s="4" t="str">
        <f t="shared" si="44"/>
        <v>Apr</v>
      </c>
      <c r="D713" s="3" t="s">
        <v>480</v>
      </c>
      <c r="E713" s="3" t="s">
        <v>76</v>
      </c>
      <c r="F713" s="3" t="s">
        <v>77</v>
      </c>
      <c r="G713" s="3" t="s">
        <v>31</v>
      </c>
      <c r="H713" s="3" t="s">
        <v>242</v>
      </c>
      <c r="I713" s="3">
        <v>955.61</v>
      </c>
      <c r="J713" s="3">
        <v>4</v>
      </c>
      <c r="K713" s="3">
        <v>0</v>
      </c>
      <c r="L713" s="9">
        <f t="shared" si="45"/>
        <v>3822.44</v>
      </c>
      <c r="M713" s="9">
        <f t="shared" si="46"/>
        <v>0</v>
      </c>
      <c r="N713" s="10">
        <f t="shared" si="47"/>
        <v>3822.44</v>
      </c>
      <c r="O713" s="3" t="s">
        <v>68</v>
      </c>
      <c r="P713" s="3" t="s">
        <v>52</v>
      </c>
      <c r="Q713" s="3" t="s">
        <v>53</v>
      </c>
    </row>
    <row r="714" spans="1:17" x14ac:dyDescent="0.25">
      <c r="A714" s="2" t="s">
        <v>1065</v>
      </c>
      <c r="B714" s="4">
        <v>45753</v>
      </c>
      <c r="C714" s="4" t="str">
        <f t="shared" si="44"/>
        <v>Apr</v>
      </c>
      <c r="D714" s="2" t="s">
        <v>660</v>
      </c>
      <c r="E714" s="2" t="s">
        <v>51</v>
      </c>
      <c r="F714" s="2" t="s">
        <v>14</v>
      </c>
      <c r="G714" s="2" t="s">
        <v>24</v>
      </c>
      <c r="H714" s="2" t="s">
        <v>170</v>
      </c>
      <c r="I714" s="2">
        <v>1244.47</v>
      </c>
      <c r="J714" s="2">
        <v>3</v>
      </c>
      <c r="K714" s="2">
        <v>15</v>
      </c>
      <c r="L714" s="9">
        <f t="shared" si="45"/>
        <v>3733.41</v>
      </c>
      <c r="M714" s="9">
        <f t="shared" si="46"/>
        <v>560.01149999999996</v>
      </c>
      <c r="N714" s="10">
        <f t="shared" si="47"/>
        <v>3173.3984999999998</v>
      </c>
      <c r="O714" s="2" t="s">
        <v>33</v>
      </c>
      <c r="P714" s="2" t="s">
        <v>18</v>
      </c>
      <c r="Q714" s="2" t="s">
        <v>40</v>
      </c>
    </row>
    <row r="715" spans="1:17" x14ac:dyDescent="0.25">
      <c r="A715" s="3" t="s">
        <v>1066</v>
      </c>
      <c r="B715" s="4">
        <v>45754</v>
      </c>
      <c r="C715" s="4" t="str">
        <f t="shared" si="44"/>
        <v>Apr</v>
      </c>
      <c r="D715" s="3" t="s">
        <v>277</v>
      </c>
      <c r="E715" s="3" t="s">
        <v>47</v>
      </c>
      <c r="F715" s="3" t="s">
        <v>48</v>
      </c>
      <c r="G715" s="3" t="s">
        <v>72</v>
      </c>
      <c r="H715" s="3" t="s">
        <v>137</v>
      </c>
      <c r="I715" s="3">
        <v>2264.2600000000002</v>
      </c>
      <c r="J715" s="3">
        <v>3</v>
      </c>
      <c r="K715" s="3">
        <v>0</v>
      </c>
      <c r="L715" s="9">
        <f t="shared" si="45"/>
        <v>6792.7800000000007</v>
      </c>
      <c r="M715" s="9">
        <f t="shared" si="46"/>
        <v>0</v>
      </c>
      <c r="N715" s="10">
        <f t="shared" si="47"/>
        <v>6792.7800000000007</v>
      </c>
      <c r="O715" s="3" t="s">
        <v>17</v>
      </c>
      <c r="P715" s="3" t="s">
        <v>18</v>
      </c>
      <c r="Q715" s="3" t="s">
        <v>60</v>
      </c>
    </row>
    <row r="716" spans="1:17" x14ac:dyDescent="0.25">
      <c r="A716" s="2" t="s">
        <v>1067</v>
      </c>
      <c r="B716" s="4">
        <v>45755</v>
      </c>
      <c r="C716" s="4" t="str">
        <f t="shared" si="44"/>
        <v>Apr</v>
      </c>
      <c r="D716" s="2" t="s">
        <v>545</v>
      </c>
      <c r="E716" s="2" t="s">
        <v>51</v>
      </c>
      <c r="F716" s="2" t="s">
        <v>14</v>
      </c>
      <c r="G716" s="2" t="s">
        <v>36</v>
      </c>
      <c r="H716" s="2" t="s">
        <v>49</v>
      </c>
      <c r="I716" s="2">
        <v>158911.34</v>
      </c>
      <c r="J716" s="2">
        <v>3</v>
      </c>
      <c r="K716" s="2">
        <v>5</v>
      </c>
      <c r="L716" s="9">
        <f t="shared" si="45"/>
        <v>476734.02</v>
      </c>
      <c r="M716" s="9">
        <f t="shared" si="46"/>
        <v>23836.701000000001</v>
      </c>
      <c r="N716" s="10">
        <f t="shared" si="47"/>
        <v>452897.31900000002</v>
      </c>
      <c r="O716" s="2" t="s">
        <v>33</v>
      </c>
      <c r="P716" s="2" t="s">
        <v>52</v>
      </c>
      <c r="Q716" s="2" t="s">
        <v>60</v>
      </c>
    </row>
    <row r="717" spans="1:17" x14ac:dyDescent="0.25">
      <c r="A717" s="3" t="s">
        <v>1068</v>
      </c>
      <c r="B717" s="4">
        <v>45756</v>
      </c>
      <c r="C717" s="4" t="str">
        <f t="shared" si="44"/>
        <v>Apr</v>
      </c>
      <c r="D717" s="3" t="s">
        <v>290</v>
      </c>
      <c r="E717" s="3" t="s">
        <v>51</v>
      </c>
      <c r="F717" s="3" t="s">
        <v>14</v>
      </c>
      <c r="G717" s="3" t="s">
        <v>24</v>
      </c>
      <c r="H717" s="3" t="s">
        <v>108</v>
      </c>
      <c r="I717" s="3">
        <v>7418.29</v>
      </c>
      <c r="J717" s="3">
        <v>3</v>
      </c>
      <c r="K717" s="3">
        <v>15</v>
      </c>
      <c r="L717" s="9">
        <f t="shared" si="45"/>
        <v>22254.87</v>
      </c>
      <c r="M717" s="9">
        <f t="shared" si="46"/>
        <v>3338.2304999999997</v>
      </c>
      <c r="N717" s="10">
        <f t="shared" si="47"/>
        <v>18916.639499999997</v>
      </c>
      <c r="O717" s="3" t="s">
        <v>17</v>
      </c>
      <c r="P717" s="3" t="s">
        <v>18</v>
      </c>
      <c r="Q717" s="3" t="s">
        <v>40</v>
      </c>
    </row>
    <row r="718" spans="1:17" x14ac:dyDescent="0.25">
      <c r="A718" s="2" t="s">
        <v>1069</v>
      </c>
      <c r="B718" s="4">
        <v>45757</v>
      </c>
      <c r="C718" s="4" t="str">
        <f t="shared" si="44"/>
        <v>Apr</v>
      </c>
      <c r="D718" s="2" t="s">
        <v>721</v>
      </c>
      <c r="E718" s="2" t="s">
        <v>13</v>
      </c>
      <c r="F718" s="2" t="s">
        <v>14</v>
      </c>
      <c r="G718" s="2" t="s">
        <v>72</v>
      </c>
      <c r="H718" s="2" t="s">
        <v>81</v>
      </c>
      <c r="I718" s="2">
        <v>1444.17</v>
      </c>
      <c r="J718" s="2">
        <v>3</v>
      </c>
      <c r="K718" s="2">
        <v>5</v>
      </c>
      <c r="L718" s="9">
        <f t="shared" si="45"/>
        <v>4332.51</v>
      </c>
      <c r="M718" s="9">
        <f t="shared" si="46"/>
        <v>216.62550000000002</v>
      </c>
      <c r="N718" s="10">
        <f t="shared" si="47"/>
        <v>4115.8845000000001</v>
      </c>
      <c r="O718" s="2" t="s">
        <v>33</v>
      </c>
      <c r="P718" s="2" t="s">
        <v>18</v>
      </c>
      <c r="Q718" s="2" t="s">
        <v>40</v>
      </c>
    </row>
    <row r="719" spans="1:17" x14ac:dyDescent="0.25">
      <c r="A719" s="3" t="s">
        <v>1070</v>
      </c>
      <c r="B719" s="4">
        <v>45758</v>
      </c>
      <c r="C719" s="4" t="str">
        <f t="shared" si="44"/>
        <v>Apr</v>
      </c>
      <c r="D719" s="3" t="s">
        <v>248</v>
      </c>
      <c r="E719" s="3" t="s">
        <v>51</v>
      </c>
      <c r="F719" s="3" t="s">
        <v>14</v>
      </c>
      <c r="G719" s="3" t="s">
        <v>36</v>
      </c>
      <c r="H719" s="3" t="s">
        <v>113</v>
      </c>
      <c r="I719" s="3">
        <v>125627.53</v>
      </c>
      <c r="J719" s="3">
        <v>1</v>
      </c>
      <c r="K719" s="3">
        <v>0</v>
      </c>
      <c r="L719" s="9">
        <f t="shared" si="45"/>
        <v>125627.53</v>
      </c>
      <c r="M719" s="9">
        <f t="shared" si="46"/>
        <v>0</v>
      </c>
      <c r="N719" s="10">
        <f t="shared" si="47"/>
        <v>125627.53</v>
      </c>
      <c r="O719" s="3" t="s">
        <v>17</v>
      </c>
      <c r="P719" s="3" t="s">
        <v>39</v>
      </c>
      <c r="Q719" s="3" t="s">
        <v>19</v>
      </c>
    </row>
    <row r="720" spans="1:17" x14ac:dyDescent="0.25">
      <c r="A720" s="2" t="s">
        <v>1071</v>
      </c>
      <c r="B720" s="4">
        <v>45759</v>
      </c>
      <c r="C720" s="4" t="str">
        <f t="shared" si="44"/>
        <v>Apr</v>
      </c>
      <c r="D720" s="2" t="s">
        <v>919</v>
      </c>
      <c r="E720" s="2" t="s">
        <v>51</v>
      </c>
      <c r="F720" s="2" t="s">
        <v>14</v>
      </c>
      <c r="G720" s="2" t="s">
        <v>110</v>
      </c>
      <c r="H720" s="2" t="s">
        <v>207</v>
      </c>
      <c r="I720" s="2">
        <v>8964.42</v>
      </c>
      <c r="J720" s="2">
        <v>3</v>
      </c>
      <c r="K720" s="2">
        <v>15</v>
      </c>
      <c r="L720" s="9">
        <f t="shared" si="45"/>
        <v>26893.260000000002</v>
      </c>
      <c r="M720" s="9">
        <f t="shared" si="46"/>
        <v>4033.989</v>
      </c>
      <c r="N720" s="10">
        <f t="shared" si="47"/>
        <v>22859.271000000001</v>
      </c>
      <c r="O720" s="2" t="s">
        <v>17</v>
      </c>
      <c r="P720" s="2" t="s">
        <v>27</v>
      </c>
      <c r="Q720" s="2" t="s">
        <v>60</v>
      </c>
    </row>
    <row r="721" spans="1:17" x14ac:dyDescent="0.25">
      <c r="A721" s="3" t="s">
        <v>1072</v>
      </c>
      <c r="B721" s="4">
        <v>45760</v>
      </c>
      <c r="C721" s="4" t="str">
        <f t="shared" si="44"/>
        <v>Apr</v>
      </c>
      <c r="D721" s="3" t="s">
        <v>981</v>
      </c>
      <c r="E721" s="3" t="s">
        <v>65</v>
      </c>
      <c r="F721" s="3" t="s">
        <v>66</v>
      </c>
      <c r="G721" s="3" t="s">
        <v>24</v>
      </c>
      <c r="H721" s="3" t="s">
        <v>25</v>
      </c>
      <c r="I721" s="3">
        <v>4146.13</v>
      </c>
      <c r="J721" s="3">
        <v>2</v>
      </c>
      <c r="K721" s="3">
        <v>10</v>
      </c>
      <c r="L721" s="9">
        <f t="shared" si="45"/>
        <v>8292.26</v>
      </c>
      <c r="M721" s="9">
        <f t="shared" si="46"/>
        <v>829.22600000000011</v>
      </c>
      <c r="N721" s="10">
        <f t="shared" si="47"/>
        <v>7463.0339999999997</v>
      </c>
      <c r="O721" s="3" t="s">
        <v>33</v>
      </c>
      <c r="P721" s="3" t="s">
        <v>18</v>
      </c>
      <c r="Q721" s="3" t="s">
        <v>34</v>
      </c>
    </row>
    <row r="722" spans="1:17" x14ac:dyDescent="0.25">
      <c r="A722" s="2" t="s">
        <v>1073</v>
      </c>
      <c r="B722" s="4">
        <v>45761</v>
      </c>
      <c r="C722" s="4" t="str">
        <f t="shared" si="44"/>
        <v>Apr</v>
      </c>
      <c r="D722" s="2" t="s">
        <v>133</v>
      </c>
      <c r="E722" s="2" t="s">
        <v>83</v>
      </c>
      <c r="F722" s="2" t="s">
        <v>84</v>
      </c>
      <c r="G722" s="2" t="s">
        <v>31</v>
      </c>
      <c r="H722" s="2" t="s">
        <v>32</v>
      </c>
      <c r="I722" s="2">
        <v>2408.2399999999998</v>
      </c>
      <c r="J722" s="2">
        <v>4</v>
      </c>
      <c r="K722" s="2">
        <v>0</v>
      </c>
      <c r="L722" s="9">
        <f t="shared" si="45"/>
        <v>9632.9599999999991</v>
      </c>
      <c r="M722" s="9">
        <f t="shared" si="46"/>
        <v>0</v>
      </c>
      <c r="N722" s="10">
        <f t="shared" si="47"/>
        <v>9632.9599999999991</v>
      </c>
      <c r="O722" s="2" t="s">
        <v>26</v>
      </c>
      <c r="P722" s="2" t="s">
        <v>18</v>
      </c>
      <c r="Q722" s="2" t="s">
        <v>53</v>
      </c>
    </row>
    <row r="723" spans="1:17" x14ac:dyDescent="0.25">
      <c r="A723" s="3" t="s">
        <v>1074</v>
      </c>
      <c r="B723" s="4">
        <v>45762</v>
      </c>
      <c r="C723" s="4" t="str">
        <f t="shared" si="44"/>
        <v>Apr</v>
      </c>
      <c r="D723" s="3" t="s">
        <v>353</v>
      </c>
      <c r="E723" s="3" t="s">
        <v>87</v>
      </c>
      <c r="F723" s="3" t="s">
        <v>88</v>
      </c>
      <c r="G723" s="3" t="s">
        <v>72</v>
      </c>
      <c r="H723" s="3" t="s">
        <v>137</v>
      </c>
      <c r="I723" s="3">
        <v>1989.27</v>
      </c>
      <c r="J723" s="3">
        <v>5</v>
      </c>
      <c r="K723" s="3">
        <v>0</v>
      </c>
      <c r="L723" s="9">
        <f t="shared" si="45"/>
        <v>9946.35</v>
      </c>
      <c r="M723" s="9">
        <f t="shared" si="46"/>
        <v>0</v>
      </c>
      <c r="N723" s="10">
        <f t="shared" si="47"/>
        <v>9946.35</v>
      </c>
      <c r="O723" s="3" t="s">
        <v>68</v>
      </c>
      <c r="P723" s="3" t="s">
        <v>27</v>
      </c>
      <c r="Q723" s="3" t="s">
        <v>53</v>
      </c>
    </row>
    <row r="724" spans="1:17" x14ac:dyDescent="0.25">
      <c r="A724" s="2" t="s">
        <v>1075</v>
      </c>
      <c r="B724" s="4">
        <v>45763</v>
      </c>
      <c r="C724" s="4" t="str">
        <f t="shared" si="44"/>
        <v>Apr</v>
      </c>
      <c r="D724" s="2" t="s">
        <v>449</v>
      </c>
      <c r="E724" s="2" t="s">
        <v>47</v>
      </c>
      <c r="F724" s="2" t="s">
        <v>48</v>
      </c>
      <c r="G724" s="2" t="s">
        <v>15</v>
      </c>
      <c r="H724" s="2" t="s">
        <v>16</v>
      </c>
      <c r="I724" s="2">
        <v>1620.95</v>
      </c>
      <c r="J724" s="2">
        <v>1</v>
      </c>
      <c r="K724" s="2">
        <v>5</v>
      </c>
      <c r="L724" s="9">
        <f t="shared" si="45"/>
        <v>1620.95</v>
      </c>
      <c r="M724" s="9">
        <f t="shared" si="46"/>
        <v>81.047499999999999</v>
      </c>
      <c r="N724" s="10">
        <f t="shared" si="47"/>
        <v>1539.9025000000001</v>
      </c>
      <c r="O724" s="2" t="s">
        <v>26</v>
      </c>
      <c r="P724" s="2" t="s">
        <v>39</v>
      </c>
      <c r="Q724" s="2" t="s">
        <v>60</v>
      </c>
    </row>
    <row r="725" spans="1:17" x14ac:dyDescent="0.25">
      <c r="A725" s="3" t="s">
        <v>1076</v>
      </c>
      <c r="B725" s="4">
        <v>45764</v>
      </c>
      <c r="C725" s="4" t="str">
        <f t="shared" si="44"/>
        <v>Apr</v>
      </c>
      <c r="D725" s="3" t="s">
        <v>986</v>
      </c>
      <c r="E725" s="3" t="s">
        <v>47</v>
      </c>
      <c r="F725" s="3" t="s">
        <v>48</v>
      </c>
      <c r="G725" s="3" t="s">
        <v>31</v>
      </c>
      <c r="H725" s="3" t="s">
        <v>32</v>
      </c>
      <c r="I725" s="3">
        <v>2718.16</v>
      </c>
      <c r="J725" s="3">
        <v>2</v>
      </c>
      <c r="K725" s="3">
        <v>5</v>
      </c>
      <c r="L725" s="9">
        <f t="shared" si="45"/>
        <v>5436.32</v>
      </c>
      <c r="M725" s="9">
        <f t="shared" si="46"/>
        <v>271.81599999999997</v>
      </c>
      <c r="N725" s="10">
        <f t="shared" si="47"/>
        <v>5164.5039999999999</v>
      </c>
      <c r="O725" s="3" t="s">
        <v>26</v>
      </c>
      <c r="P725" s="3" t="s">
        <v>39</v>
      </c>
      <c r="Q725" s="3" t="s">
        <v>53</v>
      </c>
    </row>
    <row r="726" spans="1:17" x14ac:dyDescent="0.25">
      <c r="A726" s="2" t="s">
        <v>1077</v>
      </c>
      <c r="B726" s="4">
        <v>45765</v>
      </c>
      <c r="C726" s="4" t="str">
        <f t="shared" si="44"/>
        <v>Apr</v>
      </c>
      <c r="D726" s="2" t="s">
        <v>336</v>
      </c>
      <c r="E726" s="2" t="s">
        <v>65</v>
      </c>
      <c r="F726" s="2" t="s">
        <v>66</v>
      </c>
      <c r="G726" s="2" t="s">
        <v>72</v>
      </c>
      <c r="H726" s="2" t="s">
        <v>81</v>
      </c>
      <c r="I726" s="2">
        <v>1432.21</v>
      </c>
      <c r="J726" s="2">
        <v>1</v>
      </c>
      <c r="K726" s="2">
        <v>0</v>
      </c>
      <c r="L726" s="9">
        <f t="shared" si="45"/>
        <v>1432.21</v>
      </c>
      <c r="M726" s="9">
        <f t="shared" si="46"/>
        <v>0</v>
      </c>
      <c r="N726" s="10">
        <f t="shared" si="47"/>
        <v>1432.21</v>
      </c>
      <c r="O726" s="2" t="s">
        <v>33</v>
      </c>
      <c r="P726" s="2" t="s">
        <v>27</v>
      </c>
      <c r="Q726" s="2" t="s">
        <v>60</v>
      </c>
    </row>
    <row r="727" spans="1:17" x14ac:dyDescent="0.25">
      <c r="A727" s="3" t="s">
        <v>1078</v>
      </c>
      <c r="B727" s="4">
        <v>45766</v>
      </c>
      <c r="C727" s="4" t="str">
        <f t="shared" si="44"/>
        <v>Apr</v>
      </c>
      <c r="D727" s="3" t="s">
        <v>1079</v>
      </c>
      <c r="E727" s="3" t="s">
        <v>22</v>
      </c>
      <c r="F727" s="3" t="s">
        <v>23</v>
      </c>
      <c r="G727" s="3" t="s">
        <v>72</v>
      </c>
      <c r="H727" s="3" t="s">
        <v>102</v>
      </c>
      <c r="I727" s="3">
        <v>675.8</v>
      </c>
      <c r="J727" s="3">
        <v>5</v>
      </c>
      <c r="K727" s="3">
        <v>15</v>
      </c>
      <c r="L727" s="9">
        <f t="shared" si="45"/>
        <v>3379</v>
      </c>
      <c r="M727" s="9">
        <f t="shared" si="46"/>
        <v>506.85</v>
      </c>
      <c r="N727" s="10">
        <f t="shared" si="47"/>
        <v>2872.15</v>
      </c>
      <c r="O727" s="3" t="s">
        <v>38</v>
      </c>
      <c r="P727" s="3" t="s">
        <v>18</v>
      </c>
      <c r="Q727" s="3" t="s">
        <v>19</v>
      </c>
    </row>
    <row r="728" spans="1:17" x14ac:dyDescent="0.25">
      <c r="A728" s="2" t="s">
        <v>1080</v>
      </c>
      <c r="B728" s="4">
        <v>45767</v>
      </c>
      <c r="C728" s="4" t="str">
        <f t="shared" si="44"/>
        <v>Apr</v>
      </c>
      <c r="D728" s="2" t="s">
        <v>161</v>
      </c>
      <c r="E728" s="2" t="s">
        <v>87</v>
      </c>
      <c r="F728" s="2" t="s">
        <v>88</v>
      </c>
      <c r="G728" s="2" t="s">
        <v>43</v>
      </c>
      <c r="H728" s="2" t="s">
        <v>44</v>
      </c>
      <c r="I728" s="2">
        <v>3683.38</v>
      </c>
      <c r="J728" s="2">
        <v>2</v>
      </c>
      <c r="K728" s="2">
        <v>0</v>
      </c>
      <c r="L728" s="9">
        <f t="shared" si="45"/>
        <v>7366.76</v>
      </c>
      <c r="M728" s="9">
        <f t="shared" si="46"/>
        <v>0</v>
      </c>
      <c r="N728" s="10">
        <f t="shared" si="47"/>
        <v>7366.76</v>
      </c>
      <c r="O728" s="2" t="s">
        <v>33</v>
      </c>
      <c r="P728" s="2" t="s">
        <v>39</v>
      </c>
      <c r="Q728" s="2" t="s">
        <v>53</v>
      </c>
    </row>
    <row r="729" spans="1:17" x14ac:dyDescent="0.25">
      <c r="A729" s="3" t="s">
        <v>1081</v>
      </c>
      <c r="B729" s="4">
        <v>45768</v>
      </c>
      <c r="C729" s="4" t="str">
        <f t="shared" si="44"/>
        <v>Apr</v>
      </c>
      <c r="D729" s="3" t="s">
        <v>223</v>
      </c>
      <c r="E729" s="3" t="s">
        <v>47</v>
      </c>
      <c r="F729" s="3" t="s">
        <v>48</v>
      </c>
      <c r="G729" s="3" t="s">
        <v>31</v>
      </c>
      <c r="H729" s="3" t="s">
        <v>242</v>
      </c>
      <c r="I729" s="3">
        <v>824.8</v>
      </c>
      <c r="J729" s="3">
        <v>2</v>
      </c>
      <c r="K729" s="3">
        <v>10</v>
      </c>
      <c r="L729" s="9">
        <f t="shared" si="45"/>
        <v>1649.6</v>
      </c>
      <c r="M729" s="9">
        <f t="shared" si="46"/>
        <v>164.96</v>
      </c>
      <c r="N729" s="10">
        <f t="shared" si="47"/>
        <v>1484.6399999999999</v>
      </c>
      <c r="O729" s="3" t="s">
        <v>17</v>
      </c>
      <c r="P729" s="3" t="s">
        <v>27</v>
      </c>
      <c r="Q729" s="3" t="s">
        <v>53</v>
      </c>
    </row>
    <row r="730" spans="1:17" x14ac:dyDescent="0.25">
      <c r="A730" s="2" t="s">
        <v>1082</v>
      </c>
      <c r="B730" s="4">
        <v>45769</v>
      </c>
      <c r="C730" s="4" t="str">
        <f t="shared" si="44"/>
        <v>Apr</v>
      </c>
      <c r="D730" s="2" t="s">
        <v>446</v>
      </c>
      <c r="E730" s="2" t="s">
        <v>87</v>
      </c>
      <c r="F730" s="2" t="s">
        <v>88</v>
      </c>
      <c r="G730" s="2" t="s">
        <v>43</v>
      </c>
      <c r="H730" s="2" t="s">
        <v>145</v>
      </c>
      <c r="I730" s="2">
        <v>12896.41</v>
      </c>
      <c r="J730" s="2">
        <v>2</v>
      </c>
      <c r="K730" s="2">
        <v>0</v>
      </c>
      <c r="L730" s="9">
        <f t="shared" si="45"/>
        <v>25792.82</v>
      </c>
      <c r="M730" s="9">
        <f t="shared" si="46"/>
        <v>0</v>
      </c>
      <c r="N730" s="10">
        <f t="shared" si="47"/>
        <v>25792.82</v>
      </c>
      <c r="O730" s="2" t="s">
        <v>26</v>
      </c>
      <c r="P730" s="2" t="s">
        <v>27</v>
      </c>
      <c r="Q730" s="2" t="s">
        <v>19</v>
      </c>
    </row>
    <row r="731" spans="1:17" x14ac:dyDescent="0.25">
      <c r="A731" s="3" t="s">
        <v>1083</v>
      </c>
      <c r="B731" s="4">
        <v>45770</v>
      </c>
      <c r="C731" s="4" t="str">
        <f t="shared" si="44"/>
        <v>Apr</v>
      </c>
      <c r="D731" s="3" t="s">
        <v>340</v>
      </c>
      <c r="E731" s="3" t="s">
        <v>22</v>
      </c>
      <c r="F731" s="3" t="s">
        <v>23</v>
      </c>
      <c r="G731" s="3" t="s">
        <v>43</v>
      </c>
      <c r="H731" s="3" t="s">
        <v>105</v>
      </c>
      <c r="I731" s="3">
        <v>2621.86</v>
      </c>
      <c r="J731" s="3">
        <v>4</v>
      </c>
      <c r="K731" s="3">
        <v>10</v>
      </c>
      <c r="L731" s="9">
        <f t="shared" si="45"/>
        <v>10487.44</v>
      </c>
      <c r="M731" s="9">
        <f t="shared" si="46"/>
        <v>1048.7440000000001</v>
      </c>
      <c r="N731" s="10">
        <f t="shared" si="47"/>
        <v>9438.6959999999999</v>
      </c>
      <c r="O731" s="3" t="s">
        <v>26</v>
      </c>
      <c r="P731" s="3" t="s">
        <v>18</v>
      </c>
      <c r="Q731" s="3" t="s">
        <v>40</v>
      </c>
    </row>
    <row r="732" spans="1:17" x14ac:dyDescent="0.25">
      <c r="A732" s="2" t="s">
        <v>1084</v>
      </c>
      <c r="B732" s="4">
        <v>45771</v>
      </c>
      <c r="C732" s="4" t="str">
        <f t="shared" si="44"/>
        <v>Apr</v>
      </c>
      <c r="D732" s="2" t="s">
        <v>616</v>
      </c>
      <c r="E732" s="2" t="s">
        <v>51</v>
      </c>
      <c r="F732" s="2" t="s">
        <v>14</v>
      </c>
      <c r="G732" s="2" t="s">
        <v>36</v>
      </c>
      <c r="H732" s="2" t="s">
        <v>37</v>
      </c>
      <c r="I732" s="2">
        <v>11275.84</v>
      </c>
      <c r="J732" s="2">
        <v>2</v>
      </c>
      <c r="K732" s="2">
        <v>10</v>
      </c>
      <c r="L732" s="9">
        <f t="shared" si="45"/>
        <v>22551.68</v>
      </c>
      <c r="M732" s="9">
        <f t="shared" si="46"/>
        <v>2255.1679999999997</v>
      </c>
      <c r="N732" s="10">
        <f t="shared" si="47"/>
        <v>20296.512000000002</v>
      </c>
      <c r="O732" s="2" t="s">
        <v>33</v>
      </c>
      <c r="P732" s="2" t="s">
        <v>52</v>
      </c>
      <c r="Q732" s="2" t="s">
        <v>60</v>
      </c>
    </row>
    <row r="733" spans="1:17" x14ac:dyDescent="0.25">
      <c r="A733" s="3" t="s">
        <v>1085</v>
      </c>
      <c r="B733" s="4">
        <v>45772</v>
      </c>
      <c r="C733" s="4" t="str">
        <f t="shared" si="44"/>
        <v>Apr</v>
      </c>
      <c r="D733" s="3" t="s">
        <v>62</v>
      </c>
      <c r="E733" s="3" t="s">
        <v>22</v>
      </c>
      <c r="F733" s="3" t="s">
        <v>23</v>
      </c>
      <c r="G733" s="3" t="s">
        <v>31</v>
      </c>
      <c r="H733" s="3" t="s">
        <v>186</v>
      </c>
      <c r="I733" s="3">
        <v>871.56</v>
      </c>
      <c r="J733" s="3">
        <v>1</v>
      </c>
      <c r="K733" s="3">
        <v>15</v>
      </c>
      <c r="L733" s="9">
        <f t="shared" si="45"/>
        <v>871.56</v>
      </c>
      <c r="M733" s="9">
        <f t="shared" si="46"/>
        <v>130.73400000000001</v>
      </c>
      <c r="N733" s="10">
        <f t="shared" si="47"/>
        <v>740.82599999999991</v>
      </c>
      <c r="O733" s="3" t="s">
        <v>17</v>
      </c>
      <c r="P733" s="3" t="s">
        <v>18</v>
      </c>
      <c r="Q733" s="3" t="s">
        <v>60</v>
      </c>
    </row>
    <row r="734" spans="1:17" x14ac:dyDescent="0.25">
      <c r="A734" s="2" t="s">
        <v>1086</v>
      </c>
      <c r="B734" s="4">
        <v>45773</v>
      </c>
      <c r="C734" s="4" t="str">
        <f t="shared" si="44"/>
        <v>Apr</v>
      </c>
      <c r="D734" s="2" t="s">
        <v>919</v>
      </c>
      <c r="E734" s="2" t="s">
        <v>51</v>
      </c>
      <c r="F734" s="2" t="s">
        <v>14</v>
      </c>
      <c r="G734" s="2" t="s">
        <v>15</v>
      </c>
      <c r="H734" s="2" t="s">
        <v>163</v>
      </c>
      <c r="I734" s="2">
        <v>2345.27</v>
      </c>
      <c r="J734" s="2">
        <v>3</v>
      </c>
      <c r="K734" s="2">
        <v>5</v>
      </c>
      <c r="L734" s="9">
        <f t="shared" si="45"/>
        <v>7035.8099999999995</v>
      </c>
      <c r="M734" s="9">
        <f t="shared" si="46"/>
        <v>351.79049999999995</v>
      </c>
      <c r="N734" s="10">
        <f t="shared" si="47"/>
        <v>6684.0194999999994</v>
      </c>
      <c r="O734" s="2" t="s">
        <v>33</v>
      </c>
      <c r="P734" s="2" t="s">
        <v>18</v>
      </c>
      <c r="Q734" s="2" t="s">
        <v>53</v>
      </c>
    </row>
    <row r="735" spans="1:17" x14ac:dyDescent="0.25">
      <c r="A735" s="3" t="s">
        <v>1087</v>
      </c>
      <c r="B735" s="4">
        <v>45774</v>
      </c>
      <c r="C735" s="4" t="str">
        <f t="shared" si="44"/>
        <v>Apr</v>
      </c>
      <c r="D735" s="3" t="s">
        <v>453</v>
      </c>
      <c r="E735" s="3" t="s">
        <v>51</v>
      </c>
      <c r="F735" s="3" t="s">
        <v>14</v>
      </c>
      <c r="G735" s="3" t="s">
        <v>72</v>
      </c>
      <c r="H735" s="3" t="s">
        <v>137</v>
      </c>
      <c r="I735" s="3">
        <v>2299.75</v>
      </c>
      <c r="J735" s="3">
        <v>2</v>
      </c>
      <c r="K735" s="3">
        <v>0</v>
      </c>
      <c r="L735" s="9">
        <f t="shared" si="45"/>
        <v>4599.5</v>
      </c>
      <c r="M735" s="9">
        <f t="shared" si="46"/>
        <v>0</v>
      </c>
      <c r="N735" s="10">
        <f t="shared" si="47"/>
        <v>4599.5</v>
      </c>
      <c r="O735" s="3" t="s">
        <v>26</v>
      </c>
      <c r="P735" s="3" t="s">
        <v>18</v>
      </c>
      <c r="Q735" s="3" t="s">
        <v>53</v>
      </c>
    </row>
    <row r="736" spans="1:17" x14ac:dyDescent="0.25">
      <c r="A736" s="2" t="s">
        <v>1088</v>
      </c>
      <c r="B736" s="4">
        <v>45775</v>
      </c>
      <c r="C736" s="4" t="str">
        <f t="shared" si="44"/>
        <v>Apr</v>
      </c>
      <c r="D736" s="2" t="s">
        <v>579</v>
      </c>
      <c r="E736" s="2" t="s">
        <v>51</v>
      </c>
      <c r="F736" s="2" t="s">
        <v>14</v>
      </c>
      <c r="G736" s="2" t="s">
        <v>110</v>
      </c>
      <c r="H736" s="2" t="s">
        <v>67</v>
      </c>
      <c r="I736" s="2">
        <v>4866.6000000000004</v>
      </c>
      <c r="J736" s="2">
        <v>3</v>
      </c>
      <c r="K736" s="2">
        <v>5</v>
      </c>
      <c r="L736" s="9">
        <f t="shared" si="45"/>
        <v>14599.800000000001</v>
      </c>
      <c r="M736" s="9">
        <f t="shared" si="46"/>
        <v>729.99</v>
      </c>
      <c r="N736" s="10">
        <f t="shared" si="47"/>
        <v>13869.810000000001</v>
      </c>
      <c r="O736" s="2" t="s">
        <v>33</v>
      </c>
      <c r="P736" s="2" t="s">
        <v>18</v>
      </c>
      <c r="Q736" s="2" t="s">
        <v>40</v>
      </c>
    </row>
    <row r="737" spans="1:17" x14ac:dyDescent="0.25">
      <c r="A737" s="3" t="s">
        <v>1089</v>
      </c>
      <c r="B737" s="4">
        <v>45776</v>
      </c>
      <c r="C737" s="4" t="str">
        <f t="shared" si="44"/>
        <v>Apr</v>
      </c>
      <c r="D737" s="3" t="s">
        <v>320</v>
      </c>
      <c r="E737" s="3" t="s">
        <v>65</v>
      </c>
      <c r="F737" s="3" t="s">
        <v>66</v>
      </c>
      <c r="G737" s="3" t="s">
        <v>15</v>
      </c>
      <c r="H737" s="3" t="s">
        <v>163</v>
      </c>
      <c r="I737" s="3">
        <v>2606.67</v>
      </c>
      <c r="J737" s="3">
        <v>4</v>
      </c>
      <c r="K737" s="3">
        <v>10</v>
      </c>
      <c r="L737" s="9">
        <f t="shared" si="45"/>
        <v>10426.68</v>
      </c>
      <c r="M737" s="9">
        <f t="shared" si="46"/>
        <v>1042.6680000000001</v>
      </c>
      <c r="N737" s="10">
        <f t="shared" si="47"/>
        <v>9384.0120000000006</v>
      </c>
      <c r="O737" s="3" t="s">
        <v>38</v>
      </c>
      <c r="P737" s="3" t="s">
        <v>18</v>
      </c>
      <c r="Q737" s="3" t="s">
        <v>40</v>
      </c>
    </row>
    <row r="738" spans="1:17" x14ac:dyDescent="0.25">
      <c r="A738" s="2" t="s">
        <v>1090</v>
      </c>
      <c r="B738" s="4">
        <v>45777</v>
      </c>
      <c r="C738" s="4" t="str">
        <f t="shared" si="44"/>
        <v>Apr</v>
      </c>
      <c r="D738" s="2" t="s">
        <v>21</v>
      </c>
      <c r="E738" s="2" t="s">
        <v>87</v>
      </c>
      <c r="F738" s="2" t="s">
        <v>88</v>
      </c>
      <c r="G738" s="2" t="s">
        <v>24</v>
      </c>
      <c r="H738" s="2" t="s">
        <v>134</v>
      </c>
      <c r="I738" s="2">
        <v>2704.11</v>
      </c>
      <c r="J738" s="2">
        <v>5</v>
      </c>
      <c r="K738" s="2">
        <v>0</v>
      </c>
      <c r="L738" s="9">
        <f t="shared" si="45"/>
        <v>13520.550000000001</v>
      </c>
      <c r="M738" s="9">
        <f t="shared" si="46"/>
        <v>0</v>
      </c>
      <c r="N738" s="10">
        <f t="shared" si="47"/>
        <v>13520.550000000001</v>
      </c>
      <c r="O738" s="2" t="s">
        <v>17</v>
      </c>
      <c r="P738" s="2" t="s">
        <v>27</v>
      </c>
      <c r="Q738" s="2" t="s">
        <v>40</v>
      </c>
    </row>
    <row r="739" spans="1:17" x14ac:dyDescent="0.25">
      <c r="A739" s="3" t="s">
        <v>1091</v>
      </c>
      <c r="B739" s="4">
        <v>45778</v>
      </c>
      <c r="C739" s="4" t="str">
        <f t="shared" si="44"/>
        <v>May</v>
      </c>
      <c r="D739" s="3" t="s">
        <v>217</v>
      </c>
      <c r="E739" s="3" t="s">
        <v>29</v>
      </c>
      <c r="F739" s="3" t="s">
        <v>30</v>
      </c>
      <c r="G739" s="3" t="s">
        <v>43</v>
      </c>
      <c r="H739" s="3" t="s">
        <v>105</v>
      </c>
      <c r="I739" s="3">
        <v>3067.41</v>
      </c>
      <c r="J739" s="3">
        <v>3</v>
      </c>
      <c r="K739" s="3">
        <v>0</v>
      </c>
      <c r="L739" s="9">
        <f t="shared" si="45"/>
        <v>9202.23</v>
      </c>
      <c r="M739" s="9">
        <f t="shared" si="46"/>
        <v>0</v>
      </c>
      <c r="N739" s="10">
        <f t="shared" si="47"/>
        <v>9202.23</v>
      </c>
      <c r="O739" s="3" t="s">
        <v>17</v>
      </c>
      <c r="P739" s="3" t="s">
        <v>18</v>
      </c>
      <c r="Q739" s="3" t="s">
        <v>19</v>
      </c>
    </row>
    <row r="740" spans="1:17" x14ac:dyDescent="0.25">
      <c r="A740" s="2" t="s">
        <v>1092</v>
      </c>
      <c r="B740" s="4">
        <v>45779</v>
      </c>
      <c r="C740" s="4" t="str">
        <f t="shared" si="44"/>
        <v>May</v>
      </c>
      <c r="D740" s="2" t="s">
        <v>62</v>
      </c>
      <c r="E740" s="2" t="s">
        <v>83</v>
      </c>
      <c r="F740" s="2" t="s">
        <v>84</v>
      </c>
      <c r="G740" s="2" t="s">
        <v>43</v>
      </c>
      <c r="H740" s="2" t="s">
        <v>105</v>
      </c>
      <c r="I740" s="2">
        <v>3011.62</v>
      </c>
      <c r="J740" s="2">
        <v>2</v>
      </c>
      <c r="K740" s="2">
        <v>5</v>
      </c>
      <c r="L740" s="9">
        <f t="shared" si="45"/>
        <v>6023.24</v>
      </c>
      <c r="M740" s="9">
        <f t="shared" si="46"/>
        <v>301.16199999999998</v>
      </c>
      <c r="N740" s="10">
        <f t="shared" si="47"/>
        <v>5722.0779999999995</v>
      </c>
      <c r="O740" s="2" t="s">
        <v>38</v>
      </c>
      <c r="P740" s="2" t="s">
        <v>27</v>
      </c>
      <c r="Q740" s="2" t="s">
        <v>19</v>
      </c>
    </row>
    <row r="741" spans="1:17" x14ac:dyDescent="0.25">
      <c r="A741" s="3" t="s">
        <v>1093</v>
      </c>
      <c r="B741" s="4">
        <v>45780</v>
      </c>
      <c r="C741" s="4" t="str">
        <f t="shared" si="44"/>
        <v>May</v>
      </c>
      <c r="D741" s="3" t="s">
        <v>387</v>
      </c>
      <c r="E741" s="3" t="s">
        <v>22</v>
      </c>
      <c r="F741" s="3" t="s">
        <v>23</v>
      </c>
      <c r="G741" s="3" t="s">
        <v>31</v>
      </c>
      <c r="H741" s="3" t="s">
        <v>32</v>
      </c>
      <c r="I741" s="3">
        <v>2739.26</v>
      </c>
      <c r="J741" s="3">
        <v>4</v>
      </c>
      <c r="K741" s="3">
        <v>0</v>
      </c>
      <c r="L741" s="9">
        <f t="shared" si="45"/>
        <v>10957.04</v>
      </c>
      <c r="M741" s="9">
        <f t="shared" si="46"/>
        <v>0</v>
      </c>
      <c r="N741" s="10">
        <f t="shared" si="47"/>
        <v>10957.04</v>
      </c>
      <c r="O741" s="3" t="s">
        <v>38</v>
      </c>
      <c r="P741" s="3" t="s">
        <v>18</v>
      </c>
      <c r="Q741" s="3" t="s">
        <v>34</v>
      </c>
    </row>
    <row r="742" spans="1:17" x14ac:dyDescent="0.25">
      <c r="A742" s="2" t="s">
        <v>1094</v>
      </c>
      <c r="B742" s="4">
        <v>45781</v>
      </c>
      <c r="C742" s="4" t="str">
        <f t="shared" si="44"/>
        <v>May</v>
      </c>
      <c r="D742" s="2" t="s">
        <v>328</v>
      </c>
      <c r="E742" s="2" t="s">
        <v>83</v>
      </c>
      <c r="F742" s="2" t="s">
        <v>84</v>
      </c>
      <c r="G742" s="2" t="s">
        <v>31</v>
      </c>
      <c r="H742" s="2" t="s">
        <v>70</v>
      </c>
      <c r="I742" s="2">
        <v>647.12</v>
      </c>
      <c r="J742" s="2">
        <v>3</v>
      </c>
      <c r="K742" s="2">
        <v>0</v>
      </c>
      <c r="L742" s="9">
        <f t="shared" si="45"/>
        <v>1941.3600000000001</v>
      </c>
      <c r="M742" s="9">
        <f t="shared" si="46"/>
        <v>0</v>
      </c>
      <c r="N742" s="10">
        <f t="shared" si="47"/>
        <v>1941.3600000000001</v>
      </c>
      <c r="O742" s="2" t="s">
        <v>26</v>
      </c>
      <c r="P742" s="2" t="s">
        <v>52</v>
      </c>
      <c r="Q742" s="2" t="s">
        <v>60</v>
      </c>
    </row>
    <row r="743" spans="1:17" x14ac:dyDescent="0.25">
      <c r="A743" s="3" t="s">
        <v>1095</v>
      </c>
      <c r="B743" s="4">
        <v>45782</v>
      </c>
      <c r="C743" s="4" t="str">
        <f t="shared" si="44"/>
        <v>May</v>
      </c>
      <c r="D743" s="3" t="s">
        <v>285</v>
      </c>
      <c r="E743" s="3" t="s">
        <v>13</v>
      </c>
      <c r="F743" s="3" t="s">
        <v>14</v>
      </c>
      <c r="G743" s="3" t="s">
        <v>24</v>
      </c>
      <c r="H743" s="3" t="s">
        <v>25</v>
      </c>
      <c r="I743" s="3">
        <v>4082.28</v>
      </c>
      <c r="J743" s="3">
        <v>3</v>
      </c>
      <c r="K743" s="3">
        <v>5</v>
      </c>
      <c r="L743" s="9">
        <f t="shared" si="45"/>
        <v>12246.84</v>
      </c>
      <c r="M743" s="9">
        <f t="shared" si="46"/>
        <v>612.34199999999998</v>
      </c>
      <c r="N743" s="10">
        <f t="shared" si="47"/>
        <v>11634.498</v>
      </c>
      <c r="O743" s="3" t="s">
        <v>33</v>
      </c>
      <c r="P743" s="3" t="s">
        <v>18</v>
      </c>
      <c r="Q743" s="3" t="s">
        <v>40</v>
      </c>
    </row>
    <row r="744" spans="1:17" x14ac:dyDescent="0.25">
      <c r="A744" s="2" t="s">
        <v>1096</v>
      </c>
      <c r="B744" s="4">
        <v>45783</v>
      </c>
      <c r="C744" s="4" t="str">
        <f t="shared" si="44"/>
        <v>May</v>
      </c>
      <c r="D744" s="2" t="s">
        <v>133</v>
      </c>
      <c r="E744" s="2" t="s">
        <v>87</v>
      </c>
      <c r="F744" s="2" t="s">
        <v>88</v>
      </c>
      <c r="G744" s="2" t="s">
        <v>15</v>
      </c>
      <c r="H744" s="2" t="s">
        <v>56</v>
      </c>
      <c r="I744" s="2">
        <v>1794.67</v>
      </c>
      <c r="J744" s="2">
        <v>4</v>
      </c>
      <c r="K744" s="2">
        <v>0</v>
      </c>
      <c r="L744" s="9">
        <f t="shared" si="45"/>
        <v>7178.68</v>
      </c>
      <c r="M744" s="9">
        <f t="shared" si="46"/>
        <v>0</v>
      </c>
      <c r="N744" s="10">
        <f t="shared" si="47"/>
        <v>7178.68</v>
      </c>
      <c r="O744" s="2" t="s">
        <v>26</v>
      </c>
      <c r="P744" s="2" t="s">
        <v>18</v>
      </c>
      <c r="Q744" s="2" t="s">
        <v>34</v>
      </c>
    </row>
    <row r="745" spans="1:17" x14ac:dyDescent="0.25">
      <c r="A745" s="3" t="s">
        <v>1097</v>
      </c>
      <c r="B745" s="4">
        <v>45784</v>
      </c>
      <c r="C745" s="4" t="str">
        <f t="shared" si="44"/>
        <v>May</v>
      </c>
      <c r="D745" s="3" t="s">
        <v>297</v>
      </c>
      <c r="E745" s="3" t="s">
        <v>100</v>
      </c>
      <c r="F745" s="3" t="s">
        <v>88</v>
      </c>
      <c r="G745" s="3" t="s">
        <v>72</v>
      </c>
      <c r="H745" s="3" t="s">
        <v>102</v>
      </c>
      <c r="I745" s="3">
        <v>682.49</v>
      </c>
      <c r="J745" s="3">
        <v>3</v>
      </c>
      <c r="K745" s="3">
        <v>0</v>
      </c>
      <c r="L745" s="9">
        <f t="shared" si="45"/>
        <v>2047.47</v>
      </c>
      <c r="M745" s="9">
        <f t="shared" si="46"/>
        <v>0</v>
      </c>
      <c r="N745" s="10">
        <f t="shared" si="47"/>
        <v>2047.47</v>
      </c>
      <c r="O745" s="3" t="s">
        <v>17</v>
      </c>
      <c r="P745" s="3" t="s">
        <v>18</v>
      </c>
      <c r="Q745" s="3" t="s">
        <v>19</v>
      </c>
    </row>
    <row r="746" spans="1:17" x14ac:dyDescent="0.25">
      <c r="A746" s="2" t="s">
        <v>1098</v>
      </c>
      <c r="B746" s="4">
        <v>45785</v>
      </c>
      <c r="C746" s="4" t="str">
        <f t="shared" si="44"/>
        <v>May</v>
      </c>
      <c r="D746" s="2" t="s">
        <v>228</v>
      </c>
      <c r="E746" s="2" t="s">
        <v>100</v>
      </c>
      <c r="F746" s="2" t="s">
        <v>88</v>
      </c>
      <c r="G746" s="2" t="s">
        <v>43</v>
      </c>
      <c r="H746" s="2" t="s">
        <v>44</v>
      </c>
      <c r="I746" s="2">
        <v>3322.31</v>
      </c>
      <c r="J746" s="2">
        <v>4</v>
      </c>
      <c r="K746" s="2">
        <v>0</v>
      </c>
      <c r="L746" s="9">
        <f t="shared" si="45"/>
        <v>13289.24</v>
      </c>
      <c r="M746" s="9">
        <f t="shared" si="46"/>
        <v>0</v>
      </c>
      <c r="N746" s="10">
        <f t="shared" si="47"/>
        <v>13289.24</v>
      </c>
      <c r="O746" s="2" t="s">
        <v>68</v>
      </c>
      <c r="P746" s="2" t="s">
        <v>18</v>
      </c>
      <c r="Q746" s="2" t="s">
        <v>40</v>
      </c>
    </row>
    <row r="747" spans="1:17" x14ac:dyDescent="0.25">
      <c r="A747" s="3" t="s">
        <v>1099</v>
      </c>
      <c r="B747" s="4">
        <v>45786</v>
      </c>
      <c r="C747" s="4" t="str">
        <f t="shared" si="44"/>
        <v>May</v>
      </c>
      <c r="D747" s="3" t="s">
        <v>86</v>
      </c>
      <c r="E747" s="3" t="s">
        <v>22</v>
      </c>
      <c r="F747" s="3" t="s">
        <v>23</v>
      </c>
      <c r="G747" s="3" t="s">
        <v>43</v>
      </c>
      <c r="H747" s="3" t="s">
        <v>105</v>
      </c>
      <c r="I747" s="3">
        <v>2850.59</v>
      </c>
      <c r="J747" s="3">
        <v>1</v>
      </c>
      <c r="K747" s="3">
        <v>5</v>
      </c>
      <c r="L747" s="9">
        <f t="shared" si="45"/>
        <v>2850.59</v>
      </c>
      <c r="M747" s="9">
        <f t="shared" si="46"/>
        <v>142.52950000000001</v>
      </c>
      <c r="N747" s="10">
        <f t="shared" si="47"/>
        <v>2708.0605</v>
      </c>
      <c r="O747" s="3" t="s">
        <v>26</v>
      </c>
      <c r="P747" s="3" t="s">
        <v>18</v>
      </c>
      <c r="Q747" s="3" t="s">
        <v>40</v>
      </c>
    </row>
    <row r="748" spans="1:17" x14ac:dyDescent="0.25">
      <c r="A748" s="2" t="s">
        <v>1100</v>
      </c>
      <c r="B748" s="4">
        <v>45787</v>
      </c>
      <c r="C748" s="4" t="str">
        <f t="shared" si="44"/>
        <v>May</v>
      </c>
      <c r="D748" s="2" t="s">
        <v>647</v>
      </c>
      <c r="E748" s="2" t="s">
        <v>76</v>
      </c>
      <c r="F748" s="2" t="s">
        <v>77</v>
      </c>
      <c r="G748" s="2" t="s">
        <v>43</v>
      </c>
      <c r="H748" s="2" t="s">
        <v>105</v>
      </c>
      <c r="I748" s="2">
        <v>2852.75</v>
      </c>
      <c r="J748" s="2">
        <v>1</v>
      </c>
      <c r="K748" s="2">
        <v>5</v>
      </c>
      <c r="L748" s="9">
        <f t="shared" si="45"/>
        <v>2852.75</v>
      </c>
      <c r="M748" s="9">
        <f t="shared" si="46"/>
        <v>142.63749999999999</v>
      </c>
      <c r="N748" s="10">
        <f t="shared" si="47"/>
        <v>2710.1125000000002</v>
      </c>
      <c r="O748" s="2" t="s">
        <v>68</v>
      </c>
      <c r="P748" s="2" t="s">
        <v>27</v>
      </c>
      <c r="Q748" s="2" t="s">
        <v>19</v>
      </c>
    </row>
    <row r="749" spans="1:17" x14ac:dyDescent="0.25">
      <c r="A749" s="3" t="s">
        <v>1101</v>
      </c>
      <c r="B749" s="4">
        <v>45788</v>
      </c>
      <c r="C749" s="4" t="str">
        <f t="shared" si="44"/>
        <v>May</v>
      </c>
      <c r="D749" s="3" t="s">
        <v>314</v>
      </c>
      <c r="E749" s="3" t="s">
        <v>29</v>
      </c>
      <c r="F749" s="3" t="s">
        <v>30</v>
      </c>
      <c r="G749" s="3" t="s">
        <v>24</v>
      </c>
      <c r="H749" s="3" t="s">
        <v>25</v>
      </c>
      <c r="I749" s="3">
        <v>4826.95</v>
      </c>
      <c r="J749" s="3">
        <v>3</v>
      </c>
      <c r="K749" s="3">
        <v>10</v>
      </c>
      <c r="L749" s="9">
        <f t="shared" si="45"/>
        <v>14480.849999999999</v>
      </c>
      <c r="M749" s="9">
        <f t="shared" si="46"/>
        <v>1448.085</v>
      </c>
      <c r="N749" s="10">
        <f t="shared" si="47"/>
        <v>13032.764999999999</v>
      </c>
      <c r="O749" s="3" t="s">
        <v>68</v>
      </c>
      <c r="P749" s="3" t="s">
        <v>27</v>
      </c>
      <c r="Q749" s="3" t="s">
        <v>40</v>
      </c>
    </row>
    <row r="750" spans="1:17" x14ac:dyDescent="0.25">
      <c r="A750" s="2" t="s">
        <v>1102</v>
      </c>
      <c r="B750" s="4">
        <v>45789</v>
      </c>
      <c r="C750" s="4" t="str">
        <f t="shared" si="44"/>
        <v>May</v>
      </c>
      <c r="D750" s="2" t="s">
        <v>1042</v>
      </c>
      <c r="E750" s="2" t="s">
        <v>22</v>
      </c>
      <c r="F750" s="2" t="s">
        <v>23</v>
      </c>
      <c r="G750" s="2" t="s">
        <v>43</v>
      </c>
      <c r="H750" s="2" t="s">
        <v>105</v>
      </c>
      <c r="I750" s="2">
        <v>2619.69</v>
      </c>
      <c r="J750" s="2">
        <v>4</v>
      </c>
      <c r="K750" s="2">
        <v>0</v>
      </c>
      <c r="L750" s="9">
        <f t="shared" si="45"/>
        <v>10478.76</v>
      </c>
      <c r="M750" s="9">
        <f t="shared" si="46"/>
        <v>0</v>
      </c>
      <c r="N750" s="10">
        <f t="shared" si="47"/>
        <v>10478.76</v>
      </c>
      <c r="O750" s="2" t="s">
        <v>68</v>
      </c>
      <c r="P750" s="2" t="s">
        <v>39</v>
      </c>
      <c r="Q750" s="2" t="s">
        <v>53</v>
      </c>
    </row>
    <row r="751" spans="1:17" x14ac:dyDescent="0.25">
      <c r="A751" s="3" t="s">
        <v>1103</v>
      </c>
      <c r="B751" s="4">
        <v>45790</v>
      </c>
      <c r="C751" s="4" t="str">
        <f t="shared" si="44"/>
        <v>May</v>
      </c>
      <c r="D751" s="3" t="s">
        <v>418</v>
      </c>
      <c r="E751" s="3" t="s">
        <v>47</v>
      </c>
      <c r="F751" s="3" t="s">
        <v>48</v>
      </c>
      <c r="G751" s="3" t="s">
        <v>15</v>
      </c>
      <c r="H751" s="3" t="s">
        <v>163</v>
      </c>
      <c r="I751" s="3">
        <v>2310.3000000000002</v>
      </c>
      <c r="J751" s="3">
        <v>4</v>
      </c>
      <c r="K751" s="3">
        <v>0</v>
      </c>
      <c r="L751" s="9">
        <f t="shared" si="45"/>
        <v>9241.2000000000007</v>
      </c>
      <c r="M751" s="9">
        <f t="shared" si="46"/>
        <v>0</v>
      </c>
      <c r="N751" s="10">
        <f t="shared" si="47"/>
        <v>9241.2000000000007</v>
      </c>
      <c r="O751" s="3" t="s">
        <v>38</v>
      </c>
      <c r="P751" s="3" t="s">
        <v>27</v>
      </c>
      <c r="Q751" s="3" t="s">
        <v>19</v>
      </c>
    </row>
    <row r="752" spans="1:17" x14ac:dyDescent="0.25">
      <c r="A752" s="2" t="s">
        <v>1104</v>
      </c>
      <c r="B752" s="4">
        <v>45791</v>
      </c>
      <c r="C752" s="4" t="str">
        <f t="shared" si="44"/>
        <v>May</v>
      </c>
      <c r="D752" s="2" t="s">
        <v>283</v>
      </c>
      <c r="E752" s="2" t="s">
        <v>22</v>
      </c>
      <c r="F752" s="2" t="s">
        <v>23</v>
      </c>
      <c r="G752" s="2" t="s">
        <v>72</v>
      </c>
      <c r="H752" s="2" t="s">
        <v>137</v>
      </c>
      <c r="I752" s="2">
        <v>2205.5700000000002</v>
      </c>
      <c r="J752" s="2">
        <v>4</v>
      </c>
      <c r="K752" s="2">
        <v>10</v>
      </c>
      <c r="L752" s="9">
        <f t="shared" si="45"/>
        <v>8822.2800000000007</v>
      </c>
      <c r="M752" s="9">
        <f t="shared" si="46"/>
        <v>882.22800000000007</v>
      </c>
      <c r="N752" s="10">
        <f t="shared" si="47"/>
        <v>7940.0520000000006</v>
      </c>
      <c r="O752" s="2" t="s">
        <v>33</v>
      </c>
      <c r="P752" s="2" t="s">
        <v>18</v>
      </c>
      <c r="Q752" s="2" t="s">
        <v>34</v>
      </c>
    </row>
    <row r="753" spans="1:17" x14ac:dyDescent="0.25">
      <c r="A753" s="3" t="s">
        <v>1105</v>
      </c>
      <c r="B753" s="4">
        <v>45792</v>
      </c>
      <c r="C753" s="4" t="str">
        <f t="shared" si="44"/>
        <v>May</v>
      </c>
      <c r="D753" s="3" t="s">
        <v>1042</v>
      </c>
      <c r="E753" s="3" t="s">
        <v>22</v>
      </c>
      <c r="F753" s="3" t="s">
        <v>23</v>
      </c>
      <c r="G753" s="3" t="s">
        <v>72</v>
      </c>
      <c r="H753" s="3" t="s">
        <v>129</v>
      </c>
      <c r="I753" s="3">
        <v>1911.96</v>
      </c>
      <c r="J753" s="3">
        <v>5</v>
      </c>
      <c r="K753" s="3">
        <v>0</v>
      </c>
      <c r="L753" s="9">
        <f t="shared" si="45"/>
        <v>9559.7999999999993</v>
      </c>
      <c r="M753" s="9">
        <f t="shared" si="46"/>
        <v>0</v>
      </c>
      <c r="N753" s="10">
        <f t="shared" si="47"/>
        <v>9559.7999999999993</v>
      </c>
      <c r="O753" s="3" t="s">
        <v>33</v>
      </c>
      <c r="P753" s="3" t="s">
        <v>27</v>
      </c>
      <c r="Q753" s="3" t="s">
        <v>60</v>
      </c>
    </row>
    <row r="754" spans="1:17" x14ac:dyDescent="0.25">
      <c r="A754" s="2" t="s">
        <v>1106</v>
      </c>
      <c r="B754" s="4">
        <v>45793</v>
      </c>
      <c r="C754" s="4" t="str">
        <f t="shared" si="44"/>
        <v>May</v>
      </c>
      <c r="D754" s="2" t="s">
        <v>431</v>
      </c>
      <c r="E754" s="2" t="s">
        <v>87</v>
      </c>
      <c r="F754" s="2" t="s">
        <v>88</v>
      </c>
      <c r="G754" s="2" t="s">
        <v>43</v>
      </c>
      <c r="H754" s="2" t="s">
        <v>127</v>
      </c>
      <c r="I754" s="2">
        <v>5662.37</v>
      </c>
      <c r="J754" s="2">
        <v>2</v>
      </c>
      <c r="K754" s="2">
        <v>0</v>
      </c>
      <c r="L754" s="9">
        <f t="shared" si="45"/>
        <v>11324.74</v>
      </c>
      <c r="M754" s="9">
        <f t="shared" si="46"/>
        <v>0</v>
      </c>
      <c r="N754" s="10">
        <f t="shared" si="47"/>
        <v>11324.74</v>
      </c>
      <c r="O754" s="2" t="s">
        <v>17</v>
      </c>
      <c r="P754" s="2" t="s">
        <v>27</v>
      </c>
      <c r="Q754" s="2" t="s">
        <v>19</v>
      </c>
    </row>
    <row r="755" spans="1:17" x14ac:dyDescent="0.25">
      <c r="A755" s="3" t="s">
        <v>1107</v>
      </c>
      <c r="B755" s="4">
        <v>45794</v>
      </c>
      <c r="C755" s="4" t="str">
        <f t="shared" si="44"/>
        <v>May</v>
      </c>
      <c r="D755" s="3" t="s">
        <v>490</v>
      </c>
      <c r="E755" s="3" t="s">
        <v>65</v>
      </c>
      <c r="F755" s="3" t="s">
        <v>66</v>
      </c>
      <c r="G755" s="3" t="s">
        <v>36</v>
      </c>
      <c r="H755" s="3" t="s">
        <v>37</v>
      </c>
      <c r="I755" s="3">
        <v>11520.94</v>
      </c>
      <c r="J755" s="3">
        <v>2</v>
      </c>
      <c r="K755" s="3">
        <v>10</v>
      </c>
      <c r="L755" s="9">
        <f t="shared" si="45"/>
        <v>23041.88</v>
      </c>
      <c r="M755" s="9">
        <f t="shared" si="46"/>
        <v>2304.1880000000001</v>
      </c>
      <c r="N755" s="10">
        <f t="shared" si="47"/>
        <v>20737.692000000003</v>
      </c>
      <c r="O755" s="3" t="s">
        <v>38</v>
      </c>
      <c r="P755" s="3" t="s">
        <v>39</v>
      </c>
      <c r="Q755" s="3" t="s">
        <v>53</v>
      </c>
    </row>
    <row r="756" spans="1:17" x14ac:dyDescent="0.25">
      <c r="A756" s="2" t="s">
        <v>1108</v>
      </c>
      <c r="B756" s="4">
        <v>45795</v>
      </c>
      <c r="C756" s="4" t="str">
        <f t="shared" si="44"/>
        <v>May</v>
      </c>
      <c r="D756" s="2" t="s">
        <v>764</v>
      </c>
      <c r="E756" s="2" t="s">
        <v>29</v>
      </c>
      <c r="F756" s="2" t="s">
        <v>30</v>
      </c>
      <c r="G756" s="2" t="s">
        <v>36</v>
      </c>
      <c r="H756" s="2" t="s">
        <v>113</v>
      </c>
      <c r="I756" s="2">
        <v>109836.78</v>
      </c>
      <c r="J756" s="2">
        <v>1</v>
      </c>
      <c r="K756" s="2">
        <v>5</v>
      </c>
      <c r="L756" s="9">
        <f t="shared" si="45"/>
        <v>109836.78</v>
      </c>
      <c r="M756" s="9">
        <f t="shared" si="46"/>
        <v>5491.8389999999999</v>
      </c>
      <c r="N756" s="10">
        <f t="shared" si="47"/>
        <v>104344.94099999999</v>
      </c>
      <c r="O756" s="2" t="s">
        <v>68</v>
      </c>
      <c r="P756" s="2" t="s">
        <v>52</v>
      </c>
      <c r="Q756" s="2" t="s">
        <v>60</v>
      </c>
    </row>
    <row r="757" spans="1:17" x14ac:dyDescent="0.25">
      <c r="A757" s="3" t="s">
        <v>1109</v>
      </c>
      <c r="B757" s="4">
        <v>45796</v>
      </c>
      <c r="C757" s="4" t="str">
        <f t="shared" si="44"/>
        <v>May</v>
      </c>
      <c r="D757" s="3" t="s">
        <v>559</v>
      </c>
      <c r="E757" s="3" t="s">
        <v>29</v>
      </c>
      <c r="F757" s="3" t="s">
        <v>30</v>
      </c>
      <c r="G757" s="3" t="s">
        <v>72</v>
      </c>
      <c r="H757" s="3" t="s">
        <v>137</v>
      </c>
      <c r="I757" s="3">
        <v>2136.4</v>
      </c>
      <c r="J757" s="3">
        <v>5</v>
      </c>
      <c r="K757" s="3">
        <v>15</v>
      </c>
      <c r="L757" s="9">
        <f t="shared" si="45"/>
        <v>10682</v>
      </c>
      <c r="M757" s="9">
        <f t="shared" si="46"/>
        <v>1602.3</v>
      </c>
      <c r="N757" s="10">
        <f t="shared" si="47"/>
        <v>9079.7000000000007</v>
      </c>
      <c r="O757" s="3" t="s">
        <v>17</v>
      </c>
      <c r="P757" s="3" t="s">
        <v>18</v>
      </c>
      <c r="Q757" s="3" t="s">
        <v>40</v>
      </c>
    </row>
    <row r="758" spans="1:17" x14ac:dyDescent="0.25">
      <c r="A758" s="2" t="s">
        <v>1110</v>
      </c>
      <c r="B758" s="4">
        <v>45797</v>
      </c>
      <c r="C758" s="4" t="str">
        <f t="shared" si="44"/>
        <v>May</v>
      </c>
      <c r="D758" s="2" t="s">
        <v>786</v>
      </c>
      <c r="E758" s="2" t="s">
        <v>100</v>
      </c>
      <c r="F758" s="2" t="s">
        <v>88</v>
      </c>
      <c r="G758" s="2" t="s">
        <v>72</v>
      </c>
      <c r="H758" s="2" t="s">
        <v>102</v>
      </c>
      <c r="I758" s="2">
        <v>694.58</v>
      </c>
      <c r="J758" s="2">
        <v>1</v>
      </c>
      <c r="K758" s="2">
        <v>0</v>
      </c>
      <c r="L758" s="9">
        <f t="shared" si="45"/>
        <v>694.58</v>
      </c>
      <c r="M758" s="9">
        <f t="shared" si="46"/>
        <v>0</v>
      </c>
      <c r="N758" s="10">
        <f t="shared" si="47"/>
        <v>694.58</v>
      </c>
      <c r="O758" s="2" t="s">
        <v>33</v>
      </c>
      <c r="P758" s="2" t="s">
        <v>27</v>
      </c>
      <c r="Q758" s="2" t="s">
        <v>34</v>
      </c>
    </row>
    <row r="759" spans="1:17" x14ac:dyDescent="0.25">
      <c r="A759" s="3" t="s">
        <v>1111</v>
      </c>
      <c r="B759" s="4">
        <v>45798</v>
      </c>
      <c r="C759" s="4" t="str">
        <f t="shared" si="44"/>
        <v>May</v>
      </c>
      <c r="D759" s="3" t="s">
        <v>504</v>
      </c>
      <c r="E759" s="3" t="s">
        <v>76</v>
      </c>
      <c r="F759" s="3" t="s">
        <v>77</v>
      </c>
      <c r="G759" s="3" t="s">
        <v>72</v>
      </c>
      <c r="H759" s="3" t="s">
        <v>129</v>
      </c>
      <c r="I759" s="3">
        <v>1844.57</v>
      </c>
      <c r="J759" s="3">
        <v>3</v>
      </c>
      <c r="K759" s="3">
        <v>0</v>
      </c>
      <c r="L759" s="9">
        <f t="shared" si="45"/>
        <v>5533.71</v>
      </c>
      <c r="M759" s="9">
        <f t="shared" si="46"/>
        <v>0</v>
      </c>
      <c r="N759" s="10">
        <f t="shared" si="47"/>
        <v>5533.71</v>
      </c>
      <c r="O759" s="3" t="s">
        <v>26</v>
      </c>
      <c r="P759" s="3" t="s">
        <v>18</v>
      </c>
      <c r="Q759" s="3" t="s">
        <v>53</v>
      </c>
    </row>
    <row r="760" spans="1:17" x14ac:dyDescent="0.25">
      <c r="A760" s="2" t="s">
        <v>1112</v>
      </c>
      <c r="B760" s="4">
        <v>45799</v>
      </c>
      <c r="C760" s="4" t="str">
        <f t="shared" si="44"/>
        <v>May</v>
      </c>
      <c r="D760" s="2" t="s">
        <v>205</v>
      </c>
      <c r="E760" s="2" t="s">
        <v>47</v>
      </c>
      <c r="F760" s="2" t="s">
        <v>48</v>
      </c>
      <c r="G760" s="2" t="s">
        <v>72</v>
      </c>
      <c r="H760" s="2" t="s">
        <v>81</v>
      </c>
      <c r="I760" s="2">
        <v>1480.14</v>
      </c>
      <c r="J760" s="2">
        <v>1</v>
      </c>
      <c r="K760" s="2">
        <v>0</v>
      </c>
      <c r="L760" s="9">
        <f t="shared" si="45"/>
        <v>1480.14</v>
      </c>
      <c r="M760" s="9">
        <f t="shared" si="46"/>
        <v>0</v>
      </c>
      <c r="N760" s="10">
        <f t="shared" si="47"/>
        <v>1480.14</v>
      </c>
      <c r="O760" s="2" t="s">
        <v>33</v>
      </c>
      <c r="P760" s="2" t="s">
        <v>18</v>
      </c>
      <c r="Q760" s="2" t="s">
        <v>40</v>
      </c>
    </row>
    <row r="761" spans="1:17" x14ac:dyDescent="0.25">
      <c r="A761" s="3" t="s">
        <v>1113</v>
      </c>
      <c r="B761" s="4">
        <v>45800</v>
      </c>
      <c r="C761" s="4" t="str">
        <f t="shared" si="44"/>
        <v>May</v>
      </c>
      <c r="D761" s="3" t="s">
        <v>331</v>
      </c>
      <c r="E761" s="3" t="s">
        <v>76</v>
      </c>
      <c r="F761" s="3" t="s">
        <v>77</v>
      </c>
      <c r="G761" s="3" t="s">
        <v>15</v>
      </c>
      <c r="H761" s="3" t="s">
        <v>95</v>
      </c>
      <c r="I761" s="3">
        <v>1288.51</v>
      </c>
      <c r="J761" s="3">
        <v>5</v>
      </c>
      <c r="K761" s="3">
        <v>0</v>
      </c>
      <c r="L761" s="9">
        <f t="shared" si="45"/>
        <v>6442.55</v>
      </c>
      <c r="M761" s="9">
        <f t="shared" si="46"/>
        <v>0</v>
      </c>
      <c r="N761" s="10">
        <f t="shared" si="47"/>
        <v>6442.55</v>
      </c>
      <c r="O761" s="3" t="s">
        <v>38</v>
      </c>
      <c r="P761" s="3" t="s">
        <v>52</v>
      </c>
      <c r="Q761" s="3" t="s">
        <v>19</v>
      </c>
    </row>
    <row r="762" spans="1:17" x14ac:dyDescent="0.25">
      <c r="A762" s="2" t="s">
        <v>1114</v>
      </c>
      <c r="B762" s="4">
        <v>45801</v>
      </c>
      <c r="C762" s="4" t="str">
        <f t="shared" si="44"/>
        <v>May</v>
      </c>
      <c r="D762" s="2" t="s">
        <v>647</v>
      </c>
      <c r="E762" s="2" t="s">
        <v>65</v>
      </c>
      <c r="F762" s="2" t="s">
        <v>66</v>
      </c>
      <c r="G762" s="2" t="s">
        <v>72</v>
      </c>
      <c r="H762" s="2" t="s">
        <v>137</v>
      </c>
      <c r="I762" s="2">
        <v>2018.56</v>
      </c>
      <c r="J762" s="2">
        <v>2</v>
      </c>
      <c r="K762" s="2">
        <v>15</v>
      </c>
      <c r="L762" s="9">
        <f t="shared" si="45"/>
        <v>4037.12</v>
      </c>
      <c r="M762" s="9">
        <f t="shared" si="46"/>
        <v>605.56799999999998</v>
      </c>
      <c r="N762" s="10">
        <f t="shared" si="47"/>
        <v>3431.5519999999997</v>
      </c>
      <c r="O762" s="2" t="s">
        <v>26</v>
      </c>
      <c r="P762" s="2" t="s">
        <v>18</v>
      </c>
      <c r="Q762" s="2" t="s">
        <v>40</v>
      </c>
    </row>
    <row r="763" spans="1:17" x14ac:dyDescent="0.25">
      <c r="A763" s="3" t="s">
        <v>1115</v>
      </c>
      <c r="B763" s="4">
        <v>45802</v>
      </c>
      <c r="C763" s="4" t="str">
        <f t="shared" si="44"/>
        <v>May</v>
      </c>
      <c r="D763" s="3" t="s">
        <v>553</v>
      </c>
      <c r="E763" s="3" t="s">
        <v>51</v>
      </c>
      <c r="F763" s="3" t="s">
        <v>14</v>
      </c>
      <c r="G763" s="3" t="s">
        <v>43</v>
      </c>
      <c r="H763" s="3" t="s">
        <v>127</v>
      </c>
      <c r="I763" s="3">
        <v>5664.71</v>
      </c>
      <c r="J763" s="3">
        <v>4</v>
      </c>
      <c r="K763" s="3">
        <v>0</v>
      </c>
      <c r="L763" s="9">
        <f t="shared" si="45"/>
        <v>22658.84</v>
      </c>
      <c r="M763" s="9">
        <f t="shared" si="46"/>
        <v>0</v>
      </c>
      <c r="N763" s="10">
        <f t="shared" si="47"/>
        <v>22658.84</v>
      </c>
      <c r="O763" s="3" t="s">
        <v>17</v>
      </c>
      <c r="P763" s="3" t="s">
        <v>18</v>
      </c>
      <c r="Q763" s="3" t="s">
        <v>40</v>
      </c>
    </row>
    <row r="764" spans="1:17" x14ac:dyDescent="0.25">
      <c r="A764" s="2" t="s">
        <v>1116</v>
      </c>
      <c r="B764" s="4">
        <v>45803</v>
      </c>
      <c r="C764" s="4" t="str">
        <f t="shared" si="44"/>
        <v>May</v>
      </c>
      <c r="D764" s="2" t="s">
        <v>660</v>
      </c>
      <c r="E764" s="2" t="s">
        <v>76</v>
      </c>
      <c r="F764" s="2" t="s">
        <v>77</v>
      </c>
      <c r="G764" s="2" t="s">
        <v>43</v>
      </c>
      <c r="H764" s="2" t="s">
        <v>44</v>
      </c>
      <c r="I764" s="2">
        <v>3231.52</v>
      </c>
      <c r="J764" s="2">
        <v>2</v>
      </c>
      <c r="K764" s="2">
        <v>0</v>
      </c>
      <c r="L764" s="9">
        <f t="shared" si="45"/>
        <v>6463.04</v>
      </c>
      <c r="M764" s="9">
        <f t="shared" si="46"/>
        <v>0</v>
      </c>
      <c r="N764" s="10">
        <f t="shared" si="47"/>
        <v>6463.04</v>
      </c>
      <c r="O764" s="2" t="s">
        <v>33</v>
      </c>
      <c r="P764" s="2" t="s">
        <v>18</v>
      </c>
      <c r="Q764" s="2" t="s">
        <v>60</v>
      </c>
    </row>
    <row r="765" spans="1:17" x14ac:dyDescent="0.25">
      <c r="A765" s="3" t="s">
        <v>1117</v>
      </c>
      <c r="B765" s="4">
        <v>45804</v>
      </c>
      <c r="C765" s="4" t="str">
        <f t="shared" si="44"/>
        <v>May</v>
      </c>
      <c r="D765" s="3" t="s">
        <v>1118</v>
      </c>
      <c r="E765" s="3" t="s">
        <v>51</v>
      </c>
      <c r="F765" s="3" t="s">
        <v>14</v>
      </c>
      <c r="G765" s="3" t="s">
        <v>24</v>
      </c>
      <c r="H765" s="3" t="s">
        <v>108</v>
      </c>
      <c r="I765" s="3">
        <v>8111.09</v>
      </c>
      <c r="J765" s="3">
        <v>4</v>
      </c>
      <c r="K765" s="3">
        <v>15</v>
      </c>
      <c r="L765" s="9">
        <f t="shared" si="45"/>
        <v>32444.36</v>
      </c>
      <c r="M765" s="9">
        <f t="shared" si="46"/>
        <v>4866.6540000000005</v>
      </c>
      <c r="N765" s="10">
        <f t="shared" si="47"/>
        <v>27577.705999999998</v>
      </c>
      <c r="O765" s="3" t="s">
        <v>38</v>
      </c>
      <c r="P765" s="3" t="s">
        <v>18</v>
      </c>
      <c r="Q765" s="3" t="s">
        <v>40</v>
      </c>
    </row>
    <row r="766" spans="1:17" x14ac:dyDescent="0.25">
      <c r="A766" s="2" t="s">
        <v>1119</v>
      </c>
      <c r="B766" s="4">
        <v>45805</v>
      </c>
      <c r="C766" s="4" t="str">
        <f t="shared" si="44"/>
        <v>May</v>
      </c>
      <c r="D766" s="2" t="s">
        <v>1079</v>
      </c>
      <c r="E766" s="2" t="s">
        <v>65</v>
      </c>
      <c r="F766" s="2" t="s">
        <v>66</v>
      </c>
      <c r="G766" s="2" t="s">
        <v>72</v>
      </c>
      <c r="H766" s="2" t="s">
        <v>129</v>
      </c>
      <c r="I766" s="2">
        <v>1885.35</v>
      </c>
      <c r="J766" s="2">
        <v>5</v>
      </c>
      <c r="K766" s="2">
        <v>5</v>
      </c>
      <c r="L766" s="9">
        <f t="shared" si="45"/>
        <v>9426.75</v>
      </c>
      <c r="M766" s="9">
        <f t="shared" si="46"/>
        <v>471.33749999999998</v>
      </c>
      <c r="N766" s="10">
        <f t="shared" si="47"/>
        <v>8955.4125000000004</v>
      </c>
      <c r="O766" s="2" t="s">
        <v>38</v>
      </c>
      <c r="P766" s="2" t="s">
        <v>18</v>
      </c>
      <c r="Q766" s="2" t="s">
        <v>60</v>
      </c>
    </row>
    <row r="767" spans="1:17" x14ac:dyDescent="0.25">
      <c r="A767" s="3" t="s">
        <v>1120</v>
      </c>
      <c r="B767" s="4">
        <v>45806</v>
      </c>
      <c r="C767" s="4" t="str">
        <f t="shared" si="44"/>
        <v>May</v>
      </c>
      <c r="D767" s="3" t="s">
        <v>700</v>
      </c>
      <c r="E767" s="3" t="s">
        <v>29</v>
      </c>
      <c r="F767" s="3" t="s">
        <v>30</v>
      </c>
      <c r="G767" s="3" t="s">
        <v>15</v>
      </c>
      <c r="H767" s="3" t="s">
        <v>56</v>
      </c>
      <c r="I767" s="3">
        <v>1956.7</v>
      </c>
      <c r="J767" s="3">
        <v>4</v>
      </c>
      <c r="K767" s="3">
        <v>5</v>
      </c>
      <c r="L767" s="9">
        <f t="shared" si="45"/>
        <v>7826.8</v>
      </c>
      <c r="M767" s="9">
        <f t="shared" si="46"/>
        <v>391.34</v>
      </c>
      <c r="N767" s="10">
        <f t="shared" si="47"/>
        <v>7435.46</v>
      </c>
      <c r="O767" s="3" t="s">
        <v>68</v>
      </c>
      <c r="P767" s="3" t="s">
        <v>52</v>
      </c>
      <c r="Q767" s="3" t="s">
        <v>40</v>
      </c>
    </row>
    <row r="768" spans="1:17" x14ac:dyDescent="0.25">
      <c r="A768" s="2" t="s">
        <v>1121</v>
      </c>
      <c r="B768" s="4">
        <v>45807</v>
      </c>
      <c r="C768" s="4" t="str">
        <f t="shared" si="44"/>
        <v>May</v>
      </c>
      <c r="D768" s="2" t="s">
        <v>1122</v>
      </c>
      <c r="E768" s="2" t="s">
        <v>83</v>
      </c>
      <c r="F768" s="2" t="s">
        <v>84</v>
      </c>
      <c r="G768" s="2" t="s">
        <v>36</v>
      </c>
      <c r="H768" s="2" t="s">
        <v>338</v>
      </c>
      <c r="I768" s="2">
        <v>70107.399999999994</v>
      </c>
      <c r="J768" s="2">
        <v>4</v>
      </c>
      <c r="K768" s="2">
        <v>15</v>
      </c>
      <c r="L768" s="9">
        <f t="shared" si="45"/>
        <v>280429.59999999998</v>
      </c>
      <c r="M768" s="9">
        <f t="shared" si="46"/>
        <v>42064.44</v>
      </c>
      <c r="N768" s="10">
        <f t="shared" si="47"/>
        <v>238365.15999999997</v>
      </c>
      <c r="O768" s="2" t="s">
        <v>68</v>
      </c>
      <c r="P768" s="2" t="s">
        <v>18</v>
      </c>
      <c r="Q768" s="2" t="s">
        <v>19</v>
      </c>
    </row>
    <row r="769" spans="1:17" x14ac:dyDescent="0.25">
      <c r="A769" s="3" t="s">
        <v>1123</v>
      </c>
      <c r="B769" s="4">
        <v>45808</v>
      </c>
      <c r="C769" s="4" t="str">
        <f t="shared" si="44"/>
        <v>May</v>
      </c>
      <c r="D769" s="3" t="s">
        <v>532</v>
      </c>
      <c r="E769" s="3" t="s">
        <v>65</v>
      </c>
      <c r="F769" s="3" t="s">
        <v>66</v>
      </c>
      <c r="G769" s="3" t="s">
        <v>36</v>
      </c>
      <c r="H769" s="3" t="s">
        <v>49</v>
      </c>
      <c r="I769" s="3">
        <v>143640.32000000001</v>
      </c>
      <c r="J769" s="3">
        <v>2</v>
      </c>
      <c r="K769" s="3">
        <v>10</v>
      </c>
      <c r="L769" s="9">
        <f t="shared" si="45"/>
        <v>287280.64000000001</v>
      </c>
      <c r="M769" s="9">
        <f t="shared" si="46"/>
        <v>28728.064000000002</v>
      </c>
      <c r="N769" s="10">
        <f t="shared" si="47"/>
        <v>258552.576</v>
      </c>
      <c r="O769" s="3" t="s">
        <v>38</v>
      </c>
      <c r="P769" s="3" t="s">
        <v>18</v>
      </c>
      <c r="Q769" s="3" t="s">
        <v>53</v>
      </c>
    </row>
    <row r="770" spans="1:17" x14ac:dyDescent="0.25">
      <c r="A770" s="2" t="s">
        <v>1124</v>
      </c>
      <c r="B770" s="4">
        <v>45809</v>
      </c>
      <c r="C770" s="4" t="str">
        <f t="shared" ref="C770:C833" si="48">TEXT(B770,"mmm")</f>
        <v>Jun</v>
      </c>
      <c r="D770" s="2" t="s">
        <v>268</v>
      </c>
      <c r="E770" s="2" t="s">
        <v>87</v>
      </c>
      <c r="F770" s="2" t="s">
        <v>88</v>
      </c>
      <c r="G770" s="2" t="s">
        <v>110</v>
      </c>
      <c r="H770" s="2" t="s">
        <v>67</v>
      </c>
      <c r="I770" s="2">
        <v>4168.04</v>
      </c>
      <c r="J770" s="2">
        <v>3</v>
      </c>
      <c r="K770" s="2">
        <v>5</v>
      </c>
      <c r="L770" s="9">
        <f t="shared" ref="L770:L833" si="49">J770*I770</f>
        <v>12504.119999999999</v>
      </c>
      <c r="M770" s="9">
        <f t="shared" ref="M770:M833" si="50">L770*K770/100</f>
        <v>625.2059999999999</v>
      </c>
      <c r="N770" s="10">
        <f t="shared" ref="N770:N833" si="51">L770-M770</f>
        <v>11878.913999999999</v>
      </c>
      <c r="O770" s="2" t="s">
        <v>33</v>
      </c>
      <c r="P770" s="2" t="s">
        <v>18</v>
      </c>
      <c r="Q770" s="2" t="s">
        <v>34</v>
      </c>
    </row>
    <row r="771" spans="1:17" x14ac:dyDescent="0.25">
      <c r="A771" s="3" t="s">
        <v>1125</v>
      </c>
      <c r="B771" s="4">
        <v>45810</v>
      </c>
      <c r="C771" s="4" t="str">
        <f t="shared" si="48"/>
        <v>Jun</v>
      </c>
      <c r="D771" s="3" t="s">
        <v>376</v>
      </c>
      <c r="E771" s="3" t="s">
        <v>51</v>
      </c>
      <c r="F771" s="3" t="s">
        <v>14</v>
      </c>
      <c r="G771" s="3" t="s">
        <v>31</v>
      </c>
      <c r="H771" s="3" t="s">
        <v>32</v>
      </c>
      <c r="I771" s="3">
        <v>2583.5300000000002</v>
      </c>
      <c r="J771" s="3">
        <v>2</v>
      </c>
      <c r="K771" s="3">
        <v>5</v>
      </c>
      <c r="L771" s="9">
        <f t="shared" si="49"/>
        <v>5167.0600000000004</v>
      </c>
      <c r="M771" s="9">
        <f t="shared" si="50"/>
        <v>258.35300000000001</v>
      </c>
      <c r="N771" s="10">
        <f t="shared" si="51"/>
        <v>4908.7070000000003</v>
      </c>
      <c r="O771" s="3" t="s">
        <v>26</v>
      </c>
      <c r="P771" s="3" t="s">
        <v>18</v>
      </c>
      <c r="Q771" s="3" t="s">
        <v>19</v>
      </c>
    </row>
    <row r="772" spans="1:17" x14ac:dyDescent="0.25">
      <c r="A772" s="2" t="s">
        <v>1126</v>
      </c>
      <c r="B772" s="4">
        <v>45811</v>
      </c>
      <c r="C772" s="4" t="str">
        <f t="shared" si="48"/>
        <v>Jun</v>
      </c>
      <c r="D772" s="2" t="s">
        <v>139</v>
      </c>
      <c r="E772" s="2" t="s">
        <v>76</v>
      </c>
      <c r="F772" s="2" t="s">
        <v>77</v>
      </c>
      <c r="G772" s="2" t="s">
        <v>31</v>
      </c>
      <c r="H772" s="2" t="s">
        <v>186</v>
      </c>
      <c r="I772" s="2">
        <v>753.51</v>
      </c>
      <c r="J772" s="2">
        <v>1</v>
      </c>
      <c r="K772" s="2">
        <v>15</v>
      </c>
      <c r="L772" s="9">
        <f t="shared" si="49"/>
        <v>753.51</v>
      </c>
      <c r="M772" s="9">
        <f t="shared" si="50"/>
        <v>113.0265</v>
      </c>
      <c r="N772" s="10">
        <f t="shared" si="51"/>
        <v>640.48350000000005</v>
      </c>
      <c r="O772" s="2" t="s">
        <v>38</v>
      </c>
      <c r="P772" s="2" t="s">
        <v>18</v>
      </c>
      <c r="Q772" s="2" t="s">
        <v>34</v>
      </c>
    </row>
    <row r="773" spans="1:17" x14ac:dyDescent="0.25">
      <c r="A773" s="3" t="s">
        <v>1127</v>
      </c>
      <c r="B773" s="4">
        <v>45812</v>
      </c>
      <c r="C773" s="4" t="str">
        <f t="shared" si="48"/>
        <v>Jun</v>
      </c>
      <c r="D773" s="3" t="s">
        <v>435</v>
      </c>
      <c r="E773" s="3" t="s">
        <v>83</v>
      </c>
      <c r="F773" s="3" t="s">
        <v>84</v>
      </c>
      <c r="G773" s="3" t="s">
        <v>36</v>
      </c>
      <c r="H773" s="3" t="s">
        <v>78</v>
      </c>
      <c r="I773" s="3">
        <v>82241.490000000005</v>
      </c>
      <c r="J773" s="3">
        <v>1</v>
      </c>
      <c r="K773" s="3">
        <v>0</v>
      </c>
      <c r="L773" s="9">
        <f t="shared" si="49"/>
        <v>82241.490000000005</v>
      </c>
      <c r="M773" s="9">
        <f t="shared" si="50"/>
        <v>0</v>
      </c>
      <c r="N773" s="10">
        <f t="shared" si="51"/>
        <v>82241.490000000005</v>
      </c>
      <c r="O773" s="3" t="s">
        <v>26</v>
      </c>
      <c r="P773" s="3" t="s">
        <v>18</v>
      </c>
      <c r="Q773" s="3" t="s">
        <v>19</v>
      </c>
    </row>
    <row r="774" spans="1:17" x14ac:dyDescent="0.25">
      <c r="A774" s="2" t="s">
        <v>1128</v>
      </c>
      <c r="B774" s="4">
        <v>45813</v>
      </c>
      <c r="C774" s="4" t="str">
        <f t="shared" si="48"/>
        <v>Jun</v>
      </c>
      <c r="D774" s="2" t="s">
        <v>653</v>
      </c>
      <c r="E774" s="2" t="s">
        <v>87</v>
      </c>
      <c r="F774" s="2" t="s">
        <v>88</v>
      </c>
      <c r="G774" s="2" t="s">
        <v>72</v>
      </c>
      <c r="H774" s="2" t="s">
        <v>137</v>
      </c>
      <c r="I774" s="2">
        <v>2318.52</v>
      </c>
      <c r="J774" s="2">
        <v>5</v>
      </c>
      <c r="K774" s="2">
        <v>10</v>
      </c>
      <c r="L774" s="9">
        <f t="shared" si="49"/>
        <v>11592.6</v>
      </c>
      <c r="M774" s="9">
        <f t="shared" si="50"/>
        <v>1159.26</v>
      </c>
      <c r="N774" s="10">
        <f t="shared" si="51"/>
        <v>10433.34</v>
      </c>
      <c r="O774" s="2" t="s">
        <v>26</v>
      </c>
      <c r="P774" s="2" t="s">
        <v>39</v>
      </c>
      <c r="Q774" s="2" t="s">
        <v>19</v>
      </c>
    </row>
    <row r="775" spans="1:17" x14ac:dyDescent="0.25">
      <c r="A775" s="3" t="s">
        <v>1129</v>
      </c>
      <c r="B775" s="4">
        <v>45814</v>
      </c>
      <c r="C775" s="4" t="str">
        <f t="shared" si="48"/>
        <v>Jun</v>
      </c>
      <c r="D775" s="3" t="s">
        <v>621</v>
      </c>
      <c r="E775" s="3" t="s">
        <v>13</v>
      </c>
      <c r="F775" s="3" t="s">
        <v>14</v>
      </c>
      <c r="G775" s="3" t="s">
        <v>43</v>
      </c>
      <c r="H775" s="3" t="s">
        <v>145</v>
      </c>
      <c r="I775" s="3">
        <v>13110.35</v>
      </c>
      <c r="J775" s="3">
        <v>1</v>
      </c>
      <c r="K775" s="3">
        <v>10</v>
      </c>
      <c r="L775" s="9">
        <f t="shared" si="49"/>
        <v>13110.35</v>
      </c>
      <c r="M775" s="9">
        <f t="shared" si="50"/>
        <v>1311.0350000000001</v>
      </c>
      <c r="N775" s="10">
        <f t="shared" si="51"/>
        <v>11799.315000000001</v>
      </c>
      <c r="O775" s="3" t="s">
        <v>17</v>
      </c>
      <c r="P775" s="3" t="s">
        <v>52</v>
      </c>
      <c r="Q775" s="3" t="s">
        <v>40</v>
      </c>
    </row>
    <row r="776" spans="1:17" x14ac:dyDescent="0.25">
      <c r="A776" s="2" t="s">
        <v>1130</v>
      </c>
      <c r="B776" s="4">
        <v>45815</v>
      </c>
      <c r="C776" s="4" t="str">
        <f t="shared" si="48"/>
        <v>Jun</v>
      </c>
      <c r="D776" s="2" t="s">
        <v>431</v>
      </c>
      <c r="E776" s="2" t="s">
        <v>22</v>
      </c>
      <c r="F776" s="2" t="s">
        <v>23</v>
      </c>
      <c r="G776" s="2" t="s">
        <v>24</v>
      </c>
      <c r="H776" s="2" t="s">
        <v>170</v>
      </c>
      <c r="I776" s="2">
        <v>1108.33</v>
      </c>
      <c r="J776" s="2">
        <v>2</v>
      </c>
      <c r="K776" s="2">
        <v>15</v>
      </c>
      <c r="L776" s="9">
        <f t="shared" si="49"/>
        <v>2216.66</v>
      </c>
      <c r="M776" s="9">
        <f t="shared" si="50"/>
        <v>332.49899999999997</v>
      </c>
      <c r="N776" s="10">
        <f t="shared" si="51"/>
        <v>1884.1609999999998</v>
      </c>
      <c r="O776" s="2" t="s">
        <v>26</v>
      </c>
      <c r="P776" s="2" t="s">
        <v>27</v>
      </c>
      <c r="Q776" s="2" t="s">
        <v>34</v>
      </c>
    </row>
    <row r="777" spans="1:17" x14ac:dyDescent="0.25">
      <c r="A777" s="3" t="s">
        <v>1131</v>
      </c>
      <c r="B777" s="4">
        <v>45816</v>
      </c>
      <c r="C777" s="4" t="str">
        <f t="shared" si="48"/>
        <v>Jun</v>
      </c>
      <c r="D777" s="3" t="s">
        <v>42</v>
      </c>
      <c r="E777" s="3" t="s">
        <v>76</v>
      </c>
      <c r="F777" s="3" t="s">
        <v>77</v>
      </c>
      <c r="G777" s="3" t="s">
        <v>15</v>
      </c>
      <c r="H777" s="3" t="s">
        <v>198</v>
      </c>
      <c r="I777" s="3">
        <v>744.69</v>
      </c>
      <c r="J777" s="3">
        <v>3</v>
      </c>
      <c r="K777" s="3">
        <v>5</v>
      </c>
      <c r="L777" s="9">
        <f t="shared" si="49"/>
        <v>2234.0700000000002</v>
      </c>
      <c r="M777" s="9">
        <f t="shared" si="50"/>
        <v>111.70350000000001</v>
      </c>
      <c r="N777" s="10">
        <f t="shared" si="51"/>
        <v>2122.3665000000001</v>
      </c>
      <c r="O777" s="3" t="s">
        <v>26</v>
      </c>
      <c r="P777" s="3" t="s">
        <v>18</v>
      </c>
      <c r="Q777" s="3" t="s">
        <v>53</v>
      </c>
    </row>
    <row r="778" spans="1:17" x14ac:dyDescent="0.25">
      <c r="A778" s="2" t="s">
        <v>1132</v>
      </c>
      <c r="B778" s="4">
        <v>45817</v>
      </c>
      <c r="C778" s="4" t="str">
        <f t="shared" si="48"/>
        <v>Jun</v>
      </c>
      <c r="D778" s="2" t="s">
        <v>214</v>
      </c>
      <c r="E778" s="2" t="s">
        <v>51</v>
      </c>
      <c r="F778" s="2" t="s">
        <v>14</v>
      </c>
      <c r="G778" s="2" t="s">
        <v>72</v>
      </c>
      <c r="H778" s="2" t="s">
        <v>129</v>
      </c>
      <c r="I778" s="2">
        <v>1742.88</v>
      </c>
      <c r="J778" s="2">
        <v>5</v>
      </c>
      <c r="K778" s="2">
        <v>15</v>
      </c>
      <c r="L778" s="9">
        <f t="shared" si="49"/>
        <v>8714.4000000000015</v>
      </c>
      <c r="M778" s="9">
        <f t="shared" si="50"/>
        <v>1307.1600000000003</v>
      </c>
      <c r="N778" s="10">
        <f t="shared" si="51"/>
        <v>7407.2400000000016</v>
      </c>
      <c r="O778" s="2" t="s">
        <v>68</v>
      </c>
      <c r="P778" s="2" t="s">
        <v>18</v>
      </c>
      <c r="Q778" s="2" t="s">
        <v>34</v>
      </c>
    </row>
    <row r="779" spans="1:17" x14ac:dyDescent="0.25">
      <c r="A779" s="3" t="s">
        <v>1133</v>
      </c>
      <c r="B779" s="4">
        <v>45818</v>
      </c>
      <c r="C779" s="4" t="str">
        <f t="shared" si="48"/>
        <v>Jun</v>
      </c>
      <c r="D779" s="3" t="s">
        <v>279</v>
      </c>
      <c r="E779" s="3" t="s">
        <v>51</v>
      </c>
      <c r="F779" s="3" t="s">
        <v>14</v>
      </c>
      <c r="G779" s="3" t="s">
        <v>24</v>
      </c>
      <c r="H779" s="3" t="s">
        <v>59</v>
      </c>
      <c r="I779" s="3">
        <v>4921.72</v>
      </c>
      <c r="J779" s="3">
        <v>2</v>
      </c>
      <c r="K779" s="3">
        <v>5</v>
      </c>
      <c r="L779" s="9">
        <f t="shared" si="49"/>
        <v>9843.44</v>
      </c>
      <c r="M779" s="9">
        <f t="shared" si="50"/>
        <v>492.17200000000003</v>
      </c>
      <c r="N779" s="10">
        <f t="shared" si="51"/>
        <v>9351.268</v>
      </c>
      <c r="O779" s="3" t="s">
        <v>33</v>
      </c>
      <c r="P779" s="3" t="s">
        <v>18</v>
      </c>
      <c r="Q779" s="3" t="s">
        <v>60</v>
      </c>
    </row>
    <row r="780" spans="1:17" x14ac:dyDescent="0.25">
      <c r="A780" s="2" t="s">
        <v>1134</v>
      </c>
      <c r="B780" s="4">
        <v>45819</v>
      </c>
      <c r="C780" s="4" t="str">
        <f t="shared" si="48"/>
        <v>Jun</v>
      </c>
      <c r="D780" s="2" t="s">
        <v>305</v>
      </c>
      <c r="E780" s="2" t="s">
        <v>87</v>
      </c>
      <c r="F780" s="2" t="s">
        <v>88</v>
      </c>
      <c r="G780" s="2" t="s">
        <v>36</v>
      </c>
      <c r="H780" s="2" t="s">
        <v>37</v>
      </c>
      <c r="I780" s="2">
        <v>11149.4</v>
      </c>
      <c r="J780" s="2">
        <v>1</v>
      </c>
      <c r="K780" s="2">
        <v>0</v>
      </c>
      <c r="L780" s="9">
        <f t="shared" si="49"/>
        <v>11149.4</v>
      </c>
      <c r="M780" s="9">
        <f t="shared" si="50"/>
        <v>0</v>
      </c>
      <c r="N780" s="10">
        <f t="shared" si="51"/>
        <v>11149.4</v>
      </c>
      <c r="O780" s="2" t="s">
        <v>68</v>
      </c>
      <c r="P780" s="2" t="s">
        <v>18</v>
      </c>
      <c r="Q780" s="2" t="s">
        <v>34</v>
      </c>
    </row>
    <row r="781" spans="1:17" x14ac:dyDescent="0.25">
      <c r="A781" s="3" t="s">
        <v>1135</v>
      </c>
      <c r="B781" s="4">
        <v>45820</v>
      </c>
      <c r="C781" s="4" t="str">
        <f t="shared" si="48"/>
        <v>Jun</v>
      </c>
      <c r="D781" s="3" t="s">
        <v>488</v>
      </c>
      <c r="E781" s="3" t="s">
        <v>65</v>
      </c>
      <c r="F781" s="3" t="s">
        <v>66</v>
      </c>
      <c r="G781" s="3" t="s">
        <v>36</v>
      </c>
      <c r="H781" s="3" t="s">
        <v>37</v>
      </c>
      <c r="I781" s="3">
        <v>12622.06</v>
      </c>
      <c r="J781" s="3">
        <v>2</v>
      </c>
      <c r="K781" s="3">
        <v>0</v>
      </c>
      <c r="L781" s="9">
        <f t="shared" si="49"/>
        <v>25244.12</v>
      </c>
      <c r="M781" s="9">
        <f t="shared" si="50"/>
        <v>0</v>
      </c>
      <c r="N781" s="10">
        <f t="shared" si="51"/>
        <v>25244.12</v>
      </c>
      <c r="O781" s="3" t="s">
        <v>68</v>
      </c>
      <c r="P781" s="3" t="s">
        <v>27</v>
      </c>
      <c r="Q781" s="3" t="s">
        <v>19</v>
      </c>
    </row>
    <row r="782" spans="1:17" x14ac:dyDescent="0.25">
      <c r="A782" s="2" t="s">
        <v>1136</v>
      </c>
      <c r="B782" s="4">
        <v>45821</v>
      </c>
      <c r="C782" s="4" t="str">
        <f t="shared" si="48"/>
        <v>Jun</v>
      </c>
      <c r="D782" s="2" t="s">
        <v>530</v>
      </c>
      <c r="E782" s="2" t="s">
        <v>83</v>
      </c>
      <c r="F782" s="2" t="s">
        <v>84</v>
      </c>
      <c r="G782" s="2" t="s">
        <v>72</v>
      </c>
      <c r="H782" s="2" t="s">
        <v>137</v>
      </c>
      <c r="I782" s="2">
        <v>2297.48</v>
      </c>
      <c r="J782" s="2">
        <v>3</v>
      </c>
      <c r="K782" s="2">
        <v>10</v>
      </c>
      <c r="L782" s="9">
        <f t="shared" si="49"/>
        <v>6892.4400000000005</v>
      </c>
      <c r="M782" s="9">
        <f t="shared" si="50"/>
        <v>689.24400000000014</v>
      </c>
      <c r="N782" s="10">
        <f t="shared" si="51"/>
        <v>6203.1959999999999</v>
      </c>
      <c r="O782" s="2" t="s">
        <v>68</v>
      </c>
      <c r="P782" s="2" t="s">
        <v>39</v>
      </c>
      <c r="Q782" s="2" t="s">
        <v>34</v>
      </c>
    </row>
    <row r="783" spans="1:17" x14ac:dyDescent="0.25">
      <c r="A783" s="3" t="s">
        <v>1137</v>
      </c>
      <c r="B783" s="4">
        <v>45822</v>
      </c>
      <c r="C783" s="4" t="str">
        <f t="shared" si="48"/>
        <v>Jun</v>
      </c>
      <c r="D783" s="3" t="s">
        <v>493</v>
      </c>
      <c r="E783" s="3" t="s">
        <v>65</v>
      </c>
      <c r="F783" s="3" t="s">
        <v>66</v>
      </c>
      <c r="G783" s="3" t="s">
        <v>43</v>
      </c>
      <c r="H783" s="3" t="s">
        <v>127</v>
      </c>
      <c r="I783" s="3">
        <v>5926.34</v>
      </c>
      <c r="J783" s="3">
        <v>5</v>
      </c>
      <c r="K783" s="3">
        <v>15</v>
      </c>
      <c r="L783" s="9">
        <f t="shared" si="49"/>
        <v>29631.7</v>
      </c>
      <c r="M783" s="9">
        <f t="shared" si="50"/>
        <v>4444.7550000000001</v>
      </c>
      <c r="N783" s="10">
        <f t="shared" si="51"/>
        <v>25186.945</v>
      </c>
      <c r="O783" s="3" t="s">
        <v>33</v>
      </c>
      <c r="P783" s="3" t="s">
        <v>27</v>
      </c>
      <c r="Q783" s="3" t="s">
        <v>34</v>
      </c>
    </row>
    <row r="784" spans="1:17" x14ac:dyDescent="0.25">
      <c r="A784" s="2" t="s">
        <v>1138</v>
      </c>
      <c r="B784" s="4">
        <v>45823</v>
      </c>
      <c r="C784" s="4" t="str">
        <f t="shared" si="48"/>
        <v>Jun</v>
      </c>
      <c r="D784" s="2" t="s">
        <v>223</v>
      </c>
      <c r="E784" s="2" t="s">
        <v>47</v>
      </c>
      <c r="F784" s="2" t="s">
        <v>48</v>
      </c>
      <c r="G784" s="2" t="s">
        <v>36</v>
      </c>
      <c r="H784" s="2" t="s">
        <v>78</v>
      </c>
      <c r="I784" s="2">
        <v>85636.37</v>
      </c>
      <c r="J784" s="2">
        <v>4</v>
      </c>
      <c r="K784" s="2">
        <v>0</v>
      </c>
      <c r="L784" s="9">
        <f t="shared" si="49"/>
        <v>342545.48</v>
      </c>
      <c r="M784" s="9">
        <f t="shared" si="50"/>
        <v>0</v>
      </c>
      <c r="N784" s="10">
        <f t="shared" si="51"/>
        <v>342545.48</v>
      </c>
      <c r="O784" s="2" t="s">
        <v>17</v>
      </c>
      <c r="P784" s="2" t="s">
        <v>52</v>
      </c>
      <c r="Q784" s="2" t="s">
        <v>34</v>
      </c>
    </row>
    <row r="785" spans="1:17" x14ac:dyDescent="0.25">
      <c r="A785" s="3" t="s">
        <v>1139</v>
      </c>
      <c r="B785" s="4">
        <v>45824</v>
      </c>
      <c r="C785" s="4" t="str">
        <f t="shared" si="48"/>
        <v>Jun</v>
      </c>
      <c r="D785" s="3" t="s">
        <v>265</v>
      </c>
      <c r="E785" s="3" t="s">
        <v>83</v>
      </c>
      <c r="F785" s="3" t="s">
        <v>84</v>
      </c>
      <c r="G785" s="3" t="s">
        <v>31</v>
      </c>
      <c r="H785" s="3" t="s">
        <v>242</v>
      </c>
      <c r="I785" s="3">
        <v>871.33</v>
      </c>
      <c r="J785" s="3">
        <v>2</v>
      </c>
      <c r="K785" s="3">
        <v>10</v>
      </c>
      <c r="L785" s="9">
        <f t="shared" si="49"/>
        <v>1742.66</v>
      </c>
      <c r="M785" s="9">
        <f t="shared" si="50"/>
        <v>174.26600000000002</v>
      </c>
      <c r="N785" s="10">
        <f t="shared" si="51"/>
        <v>1568.394</v>
      </c>
      <c r="O785" s="3" t="s">
        <v>68</v>
      </c>
      <c r="P785" s="3" t="s">
        <v>39</v>
      </c>
      <c r="Q785" s="3" t="s">
        <v>19</v>
      </c>
    </row>
    <row r="786" spans="1:17" x14ac:dyDescent="0.25">
      <c r="A786" s="2" t="s">
        <v>1140</v>
      </c>
      <c r="B786" s="4">
        <v>45825</v>
      </c>
      <c r="C786" s="4" t="str">
        <f t="shared" si="48"/>
        <v>Jun</v>
      </c>
      <c r="D786" s="2" t="s">
        <v>307</v>
      </c>
      <c r="E786" s="2" t="s">
        <v>47</v>
      </c>
      <c r="F786" s="2" t="s">
        <v>48</v>
      </c>
      <c r="G786" s="2" t="s">
        <v>15</v>
      </c>
      <c r="H786" s="2" t="s">
        <v>95</v>
      </c>
      <c r="I786" s="2">
        <v>1316.87</v>
      </c>
      <c r="J786" s="2">
        <v>1</v>
      </c>
      <c r="K786" s="2">
        <v>0</v>
      </c>
      <c r="L786" s="9">
        <f t="shared" si="49"/>
        <v>1316.87</v>
      </c>
      <c r="M786" s="9">
        <f t="shared" si="50"/>
        <v>0</v>
      </c>
      <c r="N786" s="10">
        <f t="shared" si="51"/>
        <v>1316.87</v>
      </c>
      <c r="O786" s="2" t="s">
        <v>38</v>
      </c>
      <c r="P786" s="2" t="s">
        <v>18</v>
      </c>
      <c r="Q786" s="2" t="s">
        <v>19</v>
      </c>
    </row>
    <row r="787" spans="1:17" x14ac:dyDescent="0.25">
      <c r="A787" s="3" t="s">
        <v>1141</v>
      </c>
      <c r="B787" s="4">
        <v>45826</v>
      </c>
      <c r="C787" s="4" t="str">
        <f t="shared" si="48"/>
        <v>Jun</v>
      </c>
      <c r="D787" s="3" t="s">
        <v>562</v>
      </c>
      <c r="E787" s="3" t="s">
        <v>22</v>
      </c>
      <c r="F787" s="3" t="s">
        <v>23</v>
      </c>
      <c r="G787" s="3" t="s">
        <v>43</v>
      </c>
      <c r="H787" s="3" t="s">
        <v>105</v>
      </c>
      <c r="I787" s="3">
        <v>2840.56</v>
      </c>
      <c r="J787" s="3">
        <v>1</v>
      </c>
      <c r="K787" s="3">
        <v>10</v>
      </c>
      <c r="L787" s="9">
        <f t="shared" si="49"/>
        <v>2840.56</v>
      </c>
      <c r="M787" s="9">
        <f t="shared" si="50"/>
        <v>284.05599999999998</v>
      </c>
      <c r="N787" s="10">
        <f t="shared" si="51"/>
        <v>2556.5039999999999</v>
      </c>
      <c r="O787" s="3" t="s">
        <v>38</v>
      </c>
      <c r="P787" s="3" t="s">
        <v>18</v>
      </c>
      <c r="Q787" s="3" t="s">
        <v>19</v>
      </c>
    </row>
    <row r="788" spans="1:17" x14ac:dyDescent="0.25">
      <c r="A788" s="2" t="s">
        <v>1142</v>
      </c>
      <c r="B788" s="4">
        <v>45827</v>
      </c>
      <c r="C788" s="4" t="str">
        <f t="shared" si="48"/>
        <v>Jun</v>
      </c>
      <c r="D788" s="2" t="s">
        <v>647</v>
      </c>
      <c r="E788" s="2" t="s">
        <v>83</v>
      </c>
      <c r="F788" s="2" t="s">
        <v>84</v>
      </c>
      <c r="G788" s="2" t="s">
        <v>72</v>
      </c>
      <c r="H788" s="2" t="s">
        <v>73</v>
      </c>
      <c r="I788" s="2">
        <v>331.37</v>
      </c>
      <c r="J788" s="2">
        <v>3</v>
      </c>
      <c r="K788" s="2">
        <v>15</v>
      </c>
      <c r="L788" s="9">
        <f t="shared" si="49"/>
        <v>994.11</v>
      </c>
      <c r="M788" s="9">
        <f t="shared" si="50"/>
        <v>149.1165</v>
      </c>
      <c r="N788" s="10">
        <f t="shared" si="51"/>
        <v>844.99350000000004</v>
      </c>
      <c r="O788" s="2" t="s">
        <v>17</v>
      </c>
      <c r="P788" s="2" t="s">
        <v>27</v>
      </c>
      <c r="Q788" s="2" t="s">
        <v>53</v>
      </c>
    </row>
    <row r="789" spans="1:17" x14ac:dyDescent="0.25">
      <c r="A789" s="3" t="s">
        <v>1143</v>
      </c>
      <c r="B789" s="4">
        <v>45828</v>
      </c>
      <c r="C789" s="4" t="str">
        <f t="shared" si="48"/>
        <v>Jun</v>
      </c>
      <c r="D789" s="3" t="s">
        <v>334</v>
      </c>
      <c r="E789" s="3" t="s">
        <v>51</v>
      </c>
      <c r="F789" s="3" t="s">
        <v>14</v>
      </c>
      <c r="G789" s="3" t="s">
        <v>36</v>
      </c>
      <c r="H789" s="3" t="s">
        <v>338</v>
      </c>
      <c r="I789" s="3">
        <v>65213.87</v>
      </c>
      <c r="J789" s="3">
        <v>2</v>
      </c>
      <c r="K789" s="3">
        <v>15</v>
      </c>
      <c r="L789" s="9">
        <f t="shared" si="49"/>
        <v>130427.74</v>
      </c>
      <c r="M789" s="9">
        <f t="shared" si="50"/>
        <v>19564.161</v>
      </c>
      <c r="N789" s="10">
        <f t="shared" si="51"/>
        <v>110863.579</v>
      </c>
      <c r="O789" s="3" t="s">
        <v>33</v>
      </c>
      <c r="P789" s="3" t="s">
        <v>18</v>
      </c>
      <c r="Q789" s="3" t="s">
        <v>53</v>
      </c>
    </row>
    <row r="790" spans="1:17" x14ac:dyDescent="0.25">
      <c r="A790" s="2" t="s">
        <v>1144</v>
      </c>
      <c r="B790" s="4">
        <v>45829</v>
      </c>
      <c r="C790" s="4" t="str">
        <f t="shared" si="48"/>
        <v>Jun</v>
      </c>
      <c r="D790" s="2" t="s">
        <v>530</v>
      </c>
      <c r="E790" s="2" t="s">
        <v>22</v>
      </c>
      <c r="F790" s="2" t="s">
        <v>23</v>
      </c>
      <c r="G790" s="2" t="s">
        <v>36</v>
      </c>
      <c r="H790" s="2" t="s">
        <v>78</v>
      </c>
      <c r="I790" s="2">
        <v>83723.070000000007</v>
      </c>
      <c r="J790" s="2">
        <v>2</v>
      </c>
      <c r="K790" s="2">
        <v>0</v>
      </c>
      <c r="L790" s="9">
        <f t="shared" si="49"/>
        <v>167446.14000000001</v>
      </c>
      <c r="M790" s="9">
        <f t="shared" si="50"/>
        <v>0</v>
      </c>
      <c r="N790" s="10">
        <f t="shared" si="51"/>
        <v>167446.14000000001</v>
      </c>
      <c r="O790" s="2" t="s">
        <v>26</v>
      </c>
      <c r="P790" s="2" t="s">
        <v>18</v>
      </c>
      <c r="Q790" s="2" t="s">
        <v>40</v>
      </c>
    </row>
    <row r="791" spans="1:17" x14ac:dyDescent="0.25">
      <c r="A791" s="3" t="s">
        <v>1145</v>
      </c>
      <c r="B791" s="4">
        <v>45830</v>
      </c>
      <c r="C791" s="4" t="str">
        <f t="shared" si="48"/>
        <v>Jun</v>
      </c>
      <c r="D791" s="3" t="s">
        <v>19</v>
      </c>
      <c r="E791" s="3" t="s">
        <v>65</v>
      </c>
      <c r="F791" s="3" t="s">
        <v>66</v>
      </c>
      <c r="G791" s="3" t="s">
        <v>110</v>
      </c>
      <c r="H791" s="3" t="s">
        <v>111</v>
      </c>
      <c r="I791" s="3">
        <v>9536</v>
      </c>
      <c r="J791" s="3">
        <v>4</v>
      </c>
      <c r="K791" s="3">
        <v>5</v>
      </c>
      <c r="L791" s="9">
        <f t="shared" si="49"/>
        <v>38144</v>
      </c>
      <c r="M791" s="9">
        <f t="shared" si="50"/>
        <v>1907.2</v>
      </c>
      <c r="N791" s="10">
        <f t="shared" si="51"/>
        <v>36236.800000000003</v>
      </c>
      <c r="O791" s="3" t="s">
        <v>17</v>
      </c>
      <c r="P791" s="3" t="s">
        <v>18</v>
      </c>
      <c r="Q791" s="3" t="s">
        <v>60</v>
      </c>
    </row>
    <row r="792" spans="1:17" x14ac:dyDescent="0.25">
      <c r="A792" s="2" t="s">
        <v>1146</v>
      </c>
      <c r="B792" s="4">
        <v>45831</v>
      </c>
      <c r="C792" s="4" t="str">
        <f t="shared" si="48"/>
        <v>Jun</v>
      </c>
      <c r="D792" s="2" t="s">
        <v>107</v>
      </c>
      <c r="E792" s="2" t="s">
        <v>65</v>
      </c>
      <c r="F792" s="2" t="s">
        <v>66</v>
      </c>
      <c r="G792" s="2" t="s">
        <v>72</v>
      </c>
      <c r="H792" s="2" t="s">
        <v>102</v>
      </c>
      <c r="I792" s="2">
        <v>603.77</v>
      </c>
      <c r="J792" s="2">
        <v>2</v>
      </c>
      <c r="K792" s="2">
        <v>10</v>
      </c>
      <c r="L792" s="9">
        <f t="shared" si="49"/>
        <v>1207.54</v>
      </c>
      <c r="M792" s="9">
        <f t="shared" si="50"/>
        <v>120.75399999999999</v>
      </c>
      <c r="N792" s="10">
        <f t="shared" si="51"/>
        <v>1086.7860000000001</v>
      </c>
      <c r="O792" s="2" t="s">
        <v>33</v>
      </c>
      <c r="P792" s="2" t="s">
        <v>18</v>
      </c>
      <c r="Q792" s="2" t="s">
        <v>19</v>
      </c>
    </row>
    <row r="793" spans="1:17" x14ac:dyDescent="0.25">
      <c r="A793" s="3" t="s">
        <v>1147</v>
      </c>
      <c r="B793" s="4">
        <v>45832</v>
      </c>
      <c r="C793" s="4" t="str">
        <f t="shared" si="48"/>
        <v>Jun</v>
      </c>
      <c r="D793" s="3" t="s">
        <v>455</v>
      </c>
      <c r="E793" s="3" t="s">
        <v>51</v>
      </c>
      <c r="F793" s="3" t="s">
        <v>14</v>
      </c>
      <c r="G793" s="3" t="s">
        <v>43</v>
      </c>
      <c r="H793" s="3" t="s">
        <v>145</v>
      </c>
      <c r="I793" s="3">
        <v>10878.26</v>
      </c>
      <c r="J793" s="3">
        <v>2</v>
      </c>
      <c r="K793" s="3">
        <v>5</v>
      </c>
      <c r="L793" s="9">
        <f t="shared" si="49"/>
        <v>21756.52</v>
      </c>
      <c r="M793" s="9">
        <f t="shared" si="50"/>
        <v>1087.826</v>
      </c>
      <c r="N793" s="10">
        <f t="shared" si="51"/>
        <v>20668.694</v>
      </c>
      <c r="O793" s="3" t="s">
        <v>38</v>
      </c>
      <c r="P793" s="3" t="s">
        <v>18</v>
      </c>
      <c r="Q793" s="3" t="s">
        <v>19</v>
      </c>
    </row>
    <row r="794" spans="1:17" x14ac:dyDescent="0.25">
      <c r="A794" s="2" t="s">
        <v>1148</v>
      </c>
      <c r="B794" s="4">
        <v>45833</v>
      </c>
      <c r="C794" s="4" t="str">
        <f t="shared" si="48"/>
        <v>Jun</v>
      </c>
      <c r="D794" s="2" t="s">
        <v>468</v>
      </c>
      <c r="E794" s="2" t="s">
        <v>87</v>
      </c>
      <c r="F794" s="2" t="s">
        <v>88</v>
      </c>
      <c r="G794" s="2" t="s">
        <v>110</v>
      </c>
      <c r="H794" s="2" t="s">
        <v>215</v>
      </c>
      <c r="I794" s="2">
        <v>2270.14</v>
      </c>
      <c r="J794" s="2">
        <v>2</v>
      </c>
      <c r="K794" s="2">
        <v>0</v>
      </c>
      <c r="L794" s="9">
        <f t="shared" si="49"/>
        <v>4540.28</v>
      </c>
      <c r="M794" s="9">
        <f t="shared" si="50"/>
        <v>0</v>
      </c>
      <c r="N794" s="10">
        <f t="shared" si="51"/>
        <v>4540.28</v>
      </c>
      <c r="O794" s="2" t="s">
        <v>38</v>
      </c>
      <c r="P794" s="2" t="s">
        <v>18</v>
      </c>
      <c r="Q794" s="2" t="s">
        <v>34</v>
      </c>
    </row>
    <row r="795" spans="1:17" x14ac:dyDescent="0.25">
      <c r="A795" s="3" t="s">
        <v>1149</v>
      </c>
      <c r="B795" s="4">
        <v>45834</v>
      </c>
      <c r="C795" s="4" t="str">
        <f t="shared" si="48"/>
        <v>Jun</v>
      </c>
      <c r="D795" s="3" t="s">
        <v>490</v>
      </c>
      <c r="E795" s="3" t="s">
        <v>13</v>
      </c>
      <c r="F795" s="3" t="s">
        <v>14</v>
      </c>
      <c r="G795" s="3" t="s">
        <v>72</v>
      </c>
      <c r="H795" s="3" t="s">
        <v>102</v>
      </c>
      <c r="I795" s="3">
        <v>603.48</v>
      </c>
      <c r="J795" s="3">
        <v>5</v>
      </c>
      <c r="K795" s="3">
        <v>0</v>
      </c>
      <c r="L795" s="9">
        <f t="shared" si="49"/>
        <v>3017.4</v>
      </c>
      <c r="M795" s="9">
        <f t="shared" si="50"/>
        <v>0</v>
      </c>
      <c r="N795" s="10">
        <f t="shared" si="51"/>
        <v>3017.4</v>
      </c>
      <c r="O795" s="3" t="s">
        <v>68</v>
      </c>
      <c r="P795" s="3" t="s">
        <v>18</v>
      </c>
      <c r="Q795" s="3" t="s">
        <v>34</v>
      </c>
    </row>
    <row r="796" spans="1:17" x14ac:dyDescent="0.25">
      <c r="A796" s="2" t="s">
        <v>1150</v>
      </c>
      <c r="B796" s="4">
        <v>45835</v>
      </c>
      <c r="C796" s="4" t="str">
        <f t="shared" si="48"/>
        <v>Jun</v>
      </c>
      <c r="D796" s="2" t="s">
        <v>326</v>
      </c>
      <c r="E796" s="2" t="s">
        <v>76</v>
      </c>
      <c r="F796" s="2" t="s">
        <v>77</v>
      </c>
      <c r="G796" s="2" t="s">
        <v>36</v>
      </c>
      <c r="H796" s="2" t="s">
        <v>78</v>
      </c>
      <c r="I796" s="2">
        <v>85808.13</v>
      </c>
      <c r="J796" s="2">
        <v>1</v>
      </c>
      <c r="K796" s="2">
        <v>0</v>
      </c>
      <c r="L796" s="9">
        <f t="shared" si="49"/>
        <v>85808.13</v>
      </c>
      <c r="M796" s="9">
        <f t="shared" si="50"/>
        <v>0</v>
      </c>
      <c r="N796" s="10">
        <f t="shared" si="51"/>
        <v>85808.13</v>
      </c>
      <c r="O796" s="2" t="s">
        <v>33</v>
      </c>
      <c r="P796" s="2" t="s">
        <v>18</v>
      </c>
      <c r="Q796" s="2" t="s">
        <v>19</v>
      </c>
    </row>
    <row r="797" spans="1:17" x14ac:dyDescent="0.25">
      <c r="A797" s="3" t="s">
        <v>1151</v>
      </c>
      <c r="B797" s="4">
        <v>45836</v>
      </c>
      <c r="C797" s="4" t="str">
        <f t="shared" si="48"/>
        <v>Jun</v>
      </c>
      <c r="D797" s="3" t="s">
        <v>429</v>
      </c>
      <c r="E797" s="3" t="s">
        <v>87</v>
      </c>
      <c r="F797" s="3" t="s">
        <v>88</v>
      </c>
      <c r="G797" s="3" t="s">
        <v>72</v>
      </c>
      <c r="H797" s="3" t="s">
        <v>129</v>
      </c>
      <c r="I797" s="3">
        <v>1791.08</v>
      </c>
      <c r="J797" s="3">
        <v>5</v>
      </c>
      <c r="K797" s="3">
        <v>5</v>
      </c>
      <c r="L797" s="9">
        <f t="shared" si="49"/>
        <v>8955.4</v>
      </c>
      <c r="M797" s="9">
        <f t="shared" si="50"/>
        <v>447.77</v>
      </c>
      <c r="N797" s="10">
        <f t="shared" si="51"/>
        <v>8507.6299999999992</v>
      </c>
      <c r="O797" s="3" t="s">
        <v>26</v>
      </c>
      <c r="P797" s="3" t="s">
        <v>52</v>
      </c>
      <c r="Q797" s="3" t="s">
        <v>60</v>
      </c>
    </row>
    <row r="798" spans="1:17" x14ac:dyDescent="0.25">
      <c r="A798" s="2" t="s">
        <v>1152</v>
      </c>
      <c r="B798" s="4">
        <v>45837</v>
      </c>
      <c r="C798" s="4" t="str">
        <f t="shared" si="48"/>
        <v>Jun</v>
      </c>
      <c r="D798" s="2" t="s">
        <v>786</v>
      </c>
      <c r="E798" s="2" t="s">
        <v>100</v>
      </c>
      <c r="F798" s="2" t="s">
        <v>88</v>
      </c>
      <c r="G798" s="2" t="s">
        <v>72</v>
      </c>
      <c r="H798" s="2" t="s">
        <v>137</v>
      </c>
      <c r="I798" s="2">
        <v>2019.3</v>
      </c>
      <c r="J798" s="2">
        <v>5</v>
      </c>
      <c r="K798" s="2">
        <v>0</v>
      </c>
      <c r="L798" s="9">
        <f t="shared" si="49"/>
        <v>10096.5</v>
      </c>
      <c r="M798" s="9">
        <f t="shared" si="50"/>
        <v>0</v>
      </c>
      <c r="N798" s="10">
        <f t="shared" si="51"/>
        <v>10096.5</v>
      </c>
      <c r="O798" s="2" t="s">
        <v>17</v>
      </c>
      <c r="P798" s="2" t="s">
        <v>18</v>
      </c>
      <c r="Q798" s="2" t="s">
        <v>60</v>
      </c>
    </row>
    <row r="799" spans="1:17" x14ac:dyDescent="0.25">
      <c r="A799" s="3" t="s">
        <v>1153</v>
      </c>
      <c r="B799" s="4">
        <v>45838</v>
      </c>
      <c r="C799" s="4" t="str">
        <f t="shared" si="48"/>
        <v>Jun</v>
      </c>
      <c r="D799" s="3" t="s">
        <v>1044</v>
      </c>
      <c r="E799" s="3" t="s">
        <v>83</v>
      </c>
      <c r="F799" s="3" t="s">
        <v>84</v>
      </c>
      <c r="G799" s="3" t="s">
        <v>36</v>
      </c>
      <c r="H799" s="3" t="s">
        <v>121</v>
      </c>
      <c r="I799" s="3">
        <v>102410.82</v>
      </c>
      <c r="J799" s="3">
        <v>3</v>
      </c>
      <c r="K799" s="3">
        <v>15</v>
      </c>
      <c r="L799" s="9">
        <f t="shared" si="49"/>
        <v>307232.46000000002</v>
      </c>
      <c r="M799" s="9">
        <f t="shared" si="50"/>
        <v>46084.869000000006</v>
      </c>
      <c r="N799" s="10">
        <f t="shared" si="51"/>
        <v>261147.59100000001</v>
      </c>
      <c r="O799" s="3" t="s">
        <v>68</v>
      </c>
      <c r="P799" s="3" t="s">
        <v>39</v>
      </c>
      <c r="Q799" s="3" t="s">
        <v>53</v>
      </c>
    </row>
    <row r="800" spans="1:17" x14ac:dyDescent="0.25">
      <c r="A800" s="2" t="s">
        <v>1154</v>
      </c>
      <c r="B800" s="4">
        <v>45839</v>
      </c>
      <c r="C800" s="4" t="str">
        <f t="shared" si="48"/>
        <v>Jul</v>
      </c>
      <c r="D800" s="2" t="s">
        <v>1155</v>
      </c>
      <c r="E800" s="2" t="s">
        <v>47</v>
      </c>
      <c r="F800" s="2" t="s">
        <v>48</v>
      </c>
      <c r="G800" s="2" t="s">
        <v>110</v>
      </c>
      <c r="H800" s="2" t="s">
        <v>207</v>
      </c>
      <c r="I800" s="2">
        <v>8744.65</v>
      </c>
      <c r="J800" s="2">
        <v>1</v>
      </c>
      <c r="K800" s="2">
        <v>0</v>
      </c>
      <c r="L800" s="9">
        <f t="shared" si="49"/>
        <v>8744.65</v>
      </c>
      <c r="M800" s="9">
        <f t="shared" si="50"/>
        <v>0</v>
      </c>
      <c r="N800" s="10">
        <f t="shared" si="51"/>
        <v>8744.65</v>
      </c>
      <c r="O800" s="2" t="s">
        <v>17</v>
      </c>
      <c r="P800" s="2" t="s">
        <v>52</v>
      </c>
      <c r="Q800" s="2" t="s">
        <v>19</v>
      </c>
    </row>
    <row r="801" spans="1:17" x14ac:dyDescent="0.25">
      <c r="A801" s="3" t="s">
        <v>1156</v>
      </c>
      <c r="B801" s="4">
        <v>45840</v>
      </c>
      <c r="C801" s="4" t="str">
        <f t="shared" si="48"/>
        <v>Jul</v>
      </c>
      <c r="D801" s="3" t="s">
        <v>126</v>
      </c>
      <c r="E801" s="3" t="s">
        <v>51</v>
      </c>
      <c r="F801" s="3" t="s">
        <v>14</v>
      </c>
      <c r="G801" s="3" t="s">
        <v>72</v>
      </c>
      <c r="H801" s="3" t="s">
        <v>129</v>
      </c>
      <c r="I801" s="3">
        <v>1800.95</v>
      </c>
      <c r="J801" s="3">
        <v>1</v>
      </c>
      <c r="K801" s="3">
        <v>0</v>
      </c>
      <c r="L801" s="9">
        <f t="shared" si="49"/>
        <v>1800.95</v>
      </c>
      <c r="M801" s="9">
        <f t="shared" si="50"/>
        <v>0</v>
      </c>
      <c r="N801" s="10">
        <f t="shared" si="51"/>
        <v>1800.95</v>
      </c>
      <c r="O801" s="3" t="s">
        <v>17</v>
      </c>
      <c r="P801" s="3" t="s">
        <v>18</v>
      </c>
      <c r="Q801" s="3" t="s">
        <v>40</v>
      </c>
    </row>
    <row r="802" spans="1:17" x14ac:dyDescent="0.25">
      <c r="A802" s="2" t="s">
        <v>1157</v>
      </c>
      <c r="B802" s="4">
        <v>45841</v>
      </c>
      <c r="C802" s="4" t="str">
        <f t="shared" si="48"/>
        <v>Jul</v>
      </c>
      <c r="D802" s="2" t="s">
        <v>525</v>
      </c>
      <c r="E802" s="2" t="s">
        <v>29</v>
      </c>
      <c r="F802" s="2" t="s">
        <v>30</v>
      </c>
      <c r="G802" s="2" t="s">
        <v>43</v>
      </c>
      <c r="H802" s="2" t="s">
        <v>44</v>
      </c>
      <c r="I802" s="2">
        <v>3714.84</v>
      </c>
      <c r="J802" s="2">
        <v>5</v>
      </c>
      <c r="K802" s="2">
        <v>5</v>
      </c>
      <c r="L802" s="9">
        <f t="shared" si="49"/>
        <v>18574.2</v>
      </c>
      <c r="M802" s="9">
        <f t="shared" si="50"/>
        <v>928.71</v>
      </c>
      <c r="N802" s="10">
        <f t="shared" si="51"/>
        <v>17645.490000000002</v>
      </c>
      <c r="O802" s="2" t="s">
        <v>33</v>
      </c>
      <c r="P802" s="2" t="s">
        <v>52</v>
      </c>
      <c r="Q802" s="2" t="s">
        <v>40</v>
      </c>
    </row>
    <row r="803" spans="1:17" x14ac:dyDescent="0.25">
      <c r="A803" s="3" t="s">
        <v>1158</v>
      </c>
      <c r="B803" s="4">
        <v>45842</v>
      </c>
      <c r="C803" s="4" t="str">
        <f t="shared" si="48"/>
        <v>Jul</v>
      </c>
      <c r="D803" s="3" t="s">
        <v>610</v>
      </c>
      <c r="E803" s="3" t="s">
        <v>65</v>
      </c>
      <c r="F803" s="3" t="s">
        <v>66</v>
      </c>
      <c r="G803" s="3" t="s">
        <v>24</v>
      </c>
      <c r="H803" s="3" t="s">
        <v>134</v>
      </c>
      <c r="I803" s="3">
        <v>2262.0300000000002</v>
      </c>
      <c r="J803" s="3">
        <v>5</v>
      </c>
      <c r="K803" s="3">
        <v>0</v>
      </c>
      <c r="L803" s="9">
        <f t="shared" si="49"/>
        <v>11310.150000000001</v>
      </c>
      <c r="M803" s="9">
        <f t="shared" si="50"/>
        <v>0</v>
      </c>
      <c r="N803" s="10">
        <f t="shared" si="51"/>
        <v>11310.150000000001</v>
      </c>
      <c r="O803" s="3" t="s">
        <v>33</v>
      </c>
      <c r="P803" s="3" t="s">
        <v>18</v>
      </c>
      <c r="Q803" s="3" t="s">
        <v>40</v>
      </c>
    </row>
    <row r="804" spans="1:17" x14ac:dyDescent="0.25">
      <c r="A804" s="2" t="s">
        <v>1159</v>
      </c>
      <c r="B804" s="4">
        <v>45843</v>
      </c>
      <c r="C804" s="4" t="str">
        <f t="shared" si="48"/>
        <v>Jul</v>
      </c>
      <c r="D804" s="2" t="s">
        <v>203</v>
      </c>
      <c r="E804" s="2" t="s">
        <v>100</v>
      </c>
      <c r="F804" s="2" t="s">
        <v>88</v>
      </c>
      <c r="G804" s="2" t="s">
        <v>31</v>
      </c>
      <c r="H804" s="2" t="s">
        <v>186</v>
      </c>
      <c r="I804" s="2">
        <v>749.23</v>
      </c>
      <c r="J804" s="2">
        <v>1</v>
      </c>
      <c r="K804" s="2">
        <v>0</v>
      </c>
      <c r="L804" s="9">
        <f t="shared" si="49"/>
        <v>749.23</v>
      </c>
      <c r="M804" s="9">
        <f t="shared" si="50"/>
        <v>0</v>
      </c>
      <c r="N804" s="10">
        <f t="shared" si="51"/>
        <v>749.23</v>
      </c>
      <c r="O804" s="2" t="s">
        <v>38</v>
      </c>
      <c r="P804" s="2" t="s">
        <v>18</v>
      </c>
      <c r="Q804" s="2" t="s">
        <v>53</v>
      </c>
    </row>
    <row r="805" spans="1:17" x14ac:dyDescent="0.25">
      <c r="A805" s="3" t="s">
        <v>1160</v>
      </c>
      <c r="B805" s="4">
        <v>45844</v>
      </c>
      <c r="C805" s="4" t="str">
        <f t="shared" si="48"/>
        <v>Jul</v>
      </c>
      <c r="D805" s="3" t="s">
        <v>75</v>
      </c>
      <c r="E805" s="3" t="s">
        <v>100</v>
      </c>
      <c r="F805" s="3" t="s">
        <v>88</v>
      </c>
      <c r="G805" s="3" t="s">
        <v>36</v>
      </c>
      <c r="H805" s="3" t="s">
        <v>121</v>
      </c>
      <c r="I805" s="3">
        <v>86611.53</v>
      </c>
      <c r="J805" s="3">
        <v>4</v>
      </c>
      <c r="K805" s="3">
        <v>0</v>
      </c>
      <c r="L805" s="9">
        <f t="shared" si="49"/>
        <v>346446.12</v>
      </c>
      <c r="M805" s="9">
        <f t="shared" si="50"/>
        <v>0</v>
      </c>
      <c r="N805" s="10">
        <f t="shared" si="51"/>
        <v>346446.12</v>
      </c>
      <c r="O805" s="3" t="s">
        <v>38</v>
      </c>
      <c r="P805" s="3" t="s">
        <v>18</v>
      </c>
      <c r="Q805" s="3" t="s">
        <v>60</v>
      </c>
    </row>
    <row r="806" spans="1:17" x14ac:dyDescent="0.25">
      <c r="A806" s="2" t="s">
        <v>1161</v>
      </c>
      <c r="B806" s="4">
        <v>45845</v>
      </c>
      <c r="C806" s="4" t="str">
        <f t="shared" si="48"/>
        <v>Jul</v>
      </c>
      <c r="D806" s="2" t="s">
        <v>683</v>
      </c>
      <c r="E806" s="2" t="s">
        <v>22</v>
      </c>
      <c r="F806" s="2" t="s">
        <v>23</v>
      </c>
      <c r="G806" s="2" t="s">
        <v>36</v>
      </c>
      <c r="H806" s="2" t="s">
        <v>49</v>
      </c>
      <c r="I806" s="2">
        <v>142188.69</v>
      </c>
      <c r="J806" s="2">
        <v>5</v>
      </c>
      <c r="K806" s="2">
        <v>10</v>
      </c>
      <c r="L806" s="9">
        <f t="shared" si="49"/>
        <v>710943.45</v>
      </c>
      <c r="M806" s="9">
        <f t="shared" si="50"/>
        <v>71094.345000000001</v>
      </c>
      <c r="N806" s="10">
        <f t="shared" si="51"/>
        <v>639849.10499999998</v>
      </c>
      <c r="O806" s="2" t="s">
        <v>26</v>
      </c>
      <c r="P806" s="2" t="s">
        <v>18</v>
      </c>
      <c r="Q806" s="2" t="s">
        <v>19</v>
      </c>
    </row>
    <row r="807" spans="1:17" x14ac:dyDescent="0.25">
      <c r="A807" s="3" t="s">
        <v>1162</v>
      </c>
      <c r="B807" s="4">
        <v>45846</v>
      </c>
      <c r="C807" s="4" t="str">
        <f t="shared" si="48"/>
        <v>Jul</v>
      </c>
      <c r="D807" s="3" t="s">
        <v>568</v>
      </c>
      <c r="E807" s="3" t="s">
        <v>47</v>
      </c>
      <c r="F807" s="3" t="s">
        <v>48</v>
      </c>
      <c r="G807" s="3" t="s">
        <v>36</v>
      </c>
      <c r="H807" s="3" t="s">
        <v>338</v>
      </c>
      <c r="I807" s="3">
        <v>64542.71</v>
      </c>
      <c r="J807" s="3">
        <v>4</v>
      </c>
      <c r="K807" s="3">
        <v>15</v>
      </c>
      <c r="L807" s="9">
        <f t="shared" si="49"/>
        <v>258170.84</v>
      </c>
      <c r="M807" s="9">
        <f t="shared" si="50"/>
        <v>38725.626000000004</v>
      </c>
      <c r="N807" s="10">
        <f t="shared" si="51"/>
        <v>219445.21399999998</v>
      </c>
      <c r="O807" s="3" t="s">
        <v>33</v>
      </c>
      <c r="P807" s="3" t="s">
        <v>18</v>
      </c>
      <c r="Q807" s="3" t="s">
        <v>60</v>
      </c>
    </row>
    <row r="808" spans="1:17" x14ac:dyDescent="0.25">
      <c r="A808" s="2" t="s">
        <v>1163</v>
      </c>
      <c r="B808" s="4">
        <v>45847</v>
      </c>
      <c r="C808" s="4" t="str">
        <f t="shared" si="48"/>
        <v>Jul</v>
      </c>
      <c r="D808" s="2" t="s">
        <v>875</v>
      </c>
      <c r="E808" s="2" t="s">
        <v>47</v>
      </c>
      <c r="F808" s="2" t="s">
        <v>48</v>
      </c>
      <c r="G808" s="2" t="s">
        <v>110</v>
      </c>
      <c r="H808" s="2" t="s">
        <v>111</v>
      </c>
      <c r="I808" s="2">
        <v>9832.69</v>
      </c>
      <c r="J808" s="2">
        <v>2</v>
      </c>
      <c r="K808" s="2">
        <v>5</v>
      </c>
      <c r="L808" s="9">
        <f t="shared" si="49"/>
        <v>19665.38</v>
      </c>
      <c r="M808" s="9">
        <f t="shared" si="50"/>
        <v>983.26900000000012</v>
      </c>
      <c r="N808" s="10">
        <f t="shared" si="51"/>
        <v>18682.111000000001</v>
      </c>
      <c r="O808" s="2" t="s">
        <v>26</v>
      </c>
      <c r="P808" s="2" t="s">
        <v>18</v>
      </c>
      <c r="Q808" s="2" t="s">
        <v>19</v>
      </c>
    </row>
    <row r="809" spans="1:17" x14ac:dyDescent="0.25">
      <c r="A809" s="3" t="s">
        <v>1164</v>
      </c>
      <c r="B809" s="4">
        <v>45848</v>
      </c>
      <c r="C809" s="4" t="str">
        <f t="shared" si="48"/>
        <v>Jul</v>
      </c>
      <c r="D809" s="3" t="s">
        <v>263</v>
      </c>
      <c r="E809" s="3" t="s">
        <v>83</v>
      </c>
      <c r="F809" s="3" t="s">
        <v>84</v>
      </c>
      <c r="G809" s="3" t="s">
        <v>24</v>
      </c>
      <c r="H809" s="3" t="s">
        <v>25</v>
      </c>
      <c r="I809" s="3">
        <v>4385.97</v>
      </c>
      <c r="J809" s="3">
        <v>2</v>
      </c>
      <c r="K809" s="3">
        <v>5</v>
      </c>
      <c r="L809" s="9">
        <f t="shared" si="49"/>
        <v>8771.94</v>
      </c>
      <c r="M809" s="9">
        <f t="shared" si="50"/>
        <v>438.59700000000004</v>
      </c>
      <c r="N809" s="10">
        <f t="shared" si="51"/>
        <v>8333.3430000000008</v>
      </c>
      <c r="O809" s="3" t="s">
        <v>17</v>
      </c>
      <c r="P809" s="3" t="s">
        <v>18</v>
      </c>
      <c r="Q809" s="3" t="s">
        <v>19</v>
      </c>
    </row>
    <row r="810" spans="1:17" x14ac:dyDescent="0.25">
      <c r="A810" s="2" t="s">
        <v>1165</v>
      </c>
      <c r="B810" s="4">
        <v>45849</v>
      </c>
      <c r="C810" s="4" t="str">
        <f t="shared" si="48"/>
        <v>Jul</v>
      </c>
      <c r="D810" s="2" t="s">
        <v>21</v>
      </c>
      <c r="E810" s="2" t="s">
        <v>76</v>
      </c>
      <c r="F810" s="2" t="s">
        <v>77</v>
      </c>
      <c r="G810" s="2" t="s">
        <v>72</v>
      </c>
      <c r="H810" s="2" t="s">
        <v>73</v>
      </c>
      <c r="I810" s="2">
        <v>335.25</v>
      </c>
      <c r="J810" s="2">
        <v>2</v>
      </c>
      <c r="K810" s="2">
        <v>10</v>
      </c>
      <c r="L810" s="9">
        <f t="shared" si="49"/>
        <v>670.5</v>
      </c>
      <c r="M810" s="9">
        <f t="shared" si="50"/>
        <v>67.05</v>
      </c>
      <c r="N810" s="10">
        <f t="shared" si="51"/>
        <v>603.45000000000005</v>
      </c>
      <c r="O810" s="2" t="s">
        <v>68</v>
      </c>
      <c r="P810" s="2" t="s">
        <v>18</v>
      </c>
      <c r="Q810" s="2" t="s">
        <v>34</v>
      </c>
    </row>
    <row r="811" spans="1:17" x14ac:dyDescent="0.25">
      <c r="A811" s="3" t="s">
        <v>1166</v>
      </c>
      <c r="B811" s="4">
        <v>45850</v>
      </c>
      <c r="C811" s="4" t="str">
        <f t="shared" si="48"/>
        <v>Jul</v>
      </c>
      <c r="D811" s="3" t="s">
        <v>421</v>
      </c>
      <c r="E811" s="3" t="s">
        <v>65</v>
      </c>
      <c r="F811" s="3" t="s">
        <v>66</v>
      </c>
      <c r="G811" s="3" t="s">
        <v>31</v>
      </c>
      <c r="H811" s="3" t="s">
        <v>186</v>
      </c>
      <c r="I811" s="3">
        <v>813.63</v>
      </c>
      <c r="J811" s="3">
        <v>5</v>
      </c>
      <c r="K811" s="3">
        <v>10</v>
      </c>
      <c r="L811" s="9">
        <f t="shared" si="49"/>
        <v>4068.15</v>
      </c>
      <c r="M811" s="9">
        <f t="shared" si="50"/>
        <v>406.815</v>
      </c>
      <c r="N811" s="10">
        <f t="shared" si="51"/>
        <v>3661.335</v>
      </c>
      <c r="O811" s="3" t="s">
        <v>68</v>
      </c>
      <c r="P811" s="3" t="s">
        <v>18</v>
      </c>
      <c r="Q811" s="3" t="s">
        <v>19</v>
      </c>
    </row>
    <row r="812" spans="1:17" x14ac:dyDescent="0.25">
      <c r="A812" s="2" t="s">
        <v>1167</v>
      </c>
      <c r="B812" s="4">
        <v>45851</v>
      </c>
      <c r="C812" s="4" t="str">
        <f t="shared" si="48"/>
        <v>Jul</v>
      </c>
      <c r="D812" s="2" t="s">
        <v>369</v>
      </c>
      <c r="E812" s="2" t="s">
        <v>22</v>
      </c>
      <c r="F812" s="2" t="s">
        <v>23</v>
      </c>
      <c r="G812" s="2" t="s">
        <v>43</v>
      </c>
      <c r="H812" s="2" t="s">
        <v>44</v>
      </c>
      <c r="I812" s="2">
        <v>3731.35</v>
      </c>
      <c r="J812" s="2">
        <v>5</v>
      </c>
      <c r="K812" s="2">
        <v>10</v>
      </c>
      <c r="L812" s="9">
        <f t="shared" si="49"/>
        <v>18656.75</v>
      </c>
      <c r="M812" s="9">
        <f t="shared" si="50"/>
        <v>1865.675</v>
      </c>
      <c r="N812" s="10">
        <f t="shared" si="51"/>
        <v>16791.075000000001</v>
      </c>
      <c r="O812" s="2" t="s">
        <v>33</v>
      </c>
      <c r="P812" s="2" t="s">
        <v>18</v>
      </c>
      <c r="Q812" s="2" t="s">
        <v>19</v>
      </c>
    </row>
    <row r="813" spans="1:17" x14ac:dyDescent="0.25">
      <c r="A813" s="3" t="s">
        <v>1168</v>
      </c>
      <c r="B813" s="4">
        <v>45852</v>
      </c>
      <c r="C813" s="4" t="str">
        <f t="shared" si="48"/>
        <v>Jul</v>
      </c>
      <c r="D813" s="3" t="s">
        <v>211</v>
      </c>
      <c r="E813" s="3" t="s">
        <v>87</v>
      </c>
      <c r="F813" s="3" t="s">
        <v>88</v>
      </c>
      <c r="G813" s="3" t="s">
        <v>15</v>
      </c>
      <c r="H813" s="3" t="s">
        <v>16</v>
      </c>
      <c r="I813" s="3">
        <v>1643.89</v>
      </c>
      <c r="J813" s="3">
        <v>4</v>
      </c>
      <c r="K813" s="3">
        <v>0</v>
      </c>
      <c r="L813" s="9">
        <f t="shared" si="49"/>
        <v>6575.56</v>
      </c>
      <c r="M813" s="9">
        <f t="shared" si="50"/>
        <v>0</v>
      </c>
      <c r="N813" s="10">
        <f t="shared" si="51"/>
        <v>6575.56</v>
      </c>
      <c r="O813" s="3" t="s">
        <v>26</v>
      </c>
      <c r="P813" s="3" t="s">
        <v>27</v>
      </c>
      <c r="Q813" s="3" t="s">
        <v>34</v>
      </c>
    </row>
    <row r="814" spans="1:17" x14ac:dyDescent="0.25">
      <c r="A814" s="2" t="s">
        <v>1169</v>
      </c>
      <c r="B814" s="4">
        <v>45853</v>
      </c>
      <c r="C814" s="4" t="str">
        <f t="shared" si="48"/>
        <v>Jul</v>
      </c>
      <c r="D814" s="2" t="s">
        <v>167</v>
      </c>
      <c r="E814" s="2" t="s">
        <v>29</v>
      </c>
      <c r="F814" s="2" t="s">
        <v>30</v>
      </c>
      <c r="G814" s="2" t="s">
        <v>31</v>
      </c>
      <c r="H814" s="2" t="s">
        <v>32</v>
      </c>
      <c r="I814" s="2">
        <v>2707.01</v>
      </c>
      <c r="J814" s="2">
        <v>2</v>
      </c>
      <c r="K814" s="2">
        <v>0</v>
      </c>
      <c r="L814" s="9">
        <f t="shared" si="49"/>
        <v>5414.02</v>
      </c>
      <c r="M814" s="9">
        <f t="shared" si="50"/>
        <v>0</v>
      </c>
      <c r="N814" s="10">
        <f t="shared" si="51"/>
        <v>5414.02</v>
      </c>
      <c r="O814" s="2" t="s">
        <v>68</v>
      </c>
      <c r="P814" s="2" t="s">
        <v>52</v>
      </c>
      <c r="Q814" s="2" t="s">
        <v>60</v>
      </c>
    </row>
    <row r="815" spans="1:17" x14ac:dyDescent="0.25">
      <c r="A815" s="3" t="s">
        <v>1170</v>
      </c>
      <c r="B815" s="4">
        <v>45854</v>
      </c>
      <c r="C815" s="4" t="str">
        <f t="shared" si="48"/>
        <v>Jul</v>
      </c>
      <c r="D815" s="3" t="s">
        <v>574</v>
      </c>
      <c r="E815" s="3" t="s">
        <v>100</v>
      </c>
      <c r="F815" s="3" t="s">
        <v>88</v>
      </c>
      <c r="G815" s="3" t="s">
        <v>43</v>
      </c>
      <c r="H815" s="3" t="s">
        <v>89</v>
      </c>
      <c r="I815" s="3">
        <v>4855.74</v>
      </c>
      <c r="J815" s="3">
        <v>4</v>
      </c>
      <c r="K815" s="3">
        <v>10</v>
      </c>
      <c r="L815" s="9">
        <f t="shared" si="49"/>
        <v>19422.96</v>
      </c>
      <c r="M815" s="9">
        <f t="shared" si="50"/>
        <v>1942.2959999999998</v>
      </c>
      <c r="N815" s="10">
        <f t="shared" si="51"/>
        <v>17480.664000000001</v>
      </c>
      <c r="O815" s="3" t="s">
        <v>17</v>
      </c>
      <c r="P815" s="3" t="s">
        <v>18</v>
      </c>
      <c r="Q815" s="3" t="s">
        <v>40</v>
      </c>
    </row>
    <row r="816" spans="1:17" x14ac:dyDescent="0.25">
      <c r="A816" s="2" t="s">
        <v>1171</v>
      </c>
      <c r="B816" s="4">
        <v>45855</v>
      </c>
      <c r="C816" s="4" t="str">
        <f t="shared" si="48"/>
        <v>Jul</v>
      </c>
      <c r="D816" s="2" t="s">
        <v>574</v>
      </c>
      <c r="E816" s="2" t="s">
        <v>76</v>
      </c>
      <c r="F816" s="2" t="s">
        <v>77</v>
      </c>
      <c r="G816" s="2" t="s">
        <v>15</v>
      </c>
      <c r="H816" s="2" t="s">
        <v>198</v>
      </c>
      <c r="I816" s="2">
        <v>776.48</v>
      </c>
      <c r="J816" s="2">
        <v>4</v>
      </c>
      <c r="K816" s="2">
        <v>15</v>
      </c>
      <c r="L816" s="9">
        <f t="shared" si="49"/>
        <v>3105.92</v>
      </c>
      <c r="M816" s="9">
        <f t="shared" si="50"/>
        <v>465.88800000000003</v>
      </c>
      <c r="N816" s="10">
        <f t="shared" si="51"/>
        <v>2640.0320000000002</v>
      </c>
      <c r="O816" s="2" t="s">
        <v>38</v>
      </c>
      <c r="P816" s="2" t="s">
        <v>18</v>
      </c>
      <c r="Q816" s="2" t="s">
        <v>53</v>
      </c>
    </row>
    <row r="817" spans="1:17" x14ac:dyDescent="0.25">
      <c r="A817" s="3" t="s">
        <v>1172</v>
      </c>
      <c r="B817" s="4">
        <v>45856</v>
      </c>
      <c r="C817" s="4" t="str">
        <f t="shared" si="48"/>
        <v>Jul</v>
      </c>
      <c r="D817" s="3" t="s">
        <v>821</v>
      </c>
      <c r="E817" s="3" t="s">
        <v>76</v>
      </c>
      <c r="F817" s="3" t="s">
        <v>77</v>
      </c>
      <c r="G817" s="3" t="s">
        <v>31</v>
      </c>
      <c r="H817" s="3" t="s">
        <v>186</v>
      </c>
      <c r="I817" s="3">
        <v>791.13</v>
      </c>
      <c r="J817" s="3">
        <v>2</v>
      </c>
      <c r="K817" s="3">
        <v>0</v>
      </c>
      <c r="L817" s="9">
        <f t="shared" si="49"/>
        <v>1582.26</v>
      </c>
      <c r="M817" s="9">
        <f t="shared" si="50"/>
        <v>0</v>
      </c>
      <c r="N817" s="10">
        <f t="shared" si="51"/>
        <v>1582.26</v>
      </c>
      <c r="O817" s="3" t="s">
        <v>38</v>
      </c>
      <c r="P817" s="3" t="s">
        <v>27</v>
      </c>
      <c r="Q817" s="3" t="s">
        <v>34</v>
      </c>
    </row>
    <row r="818" spans="1:17" x14ac:dyDescent="0.25">
      <c r="A818" s="2" t="s">
        <v>1173</v>
      </c>
      <c r="B818" s="4">
        <v>45857</v>
      </c>
      <c r="C818" s="4" t="str">
        <f t="shared" si="48"/>
        <v>Jul</v>
      </c>
      <c r="D818" s="2" t="s">
        <v>1174</v>
      </c>
      <c r="E818" s="2" t="s">
        <v>47</v>
      </c>
      <c r="F818" s="2" t="s">
        <v>48</v>
      </c>
      <c r="G818" s="2" t="s">
        <v>72</v>
      </c>
      <c r="H818" s="2" t="s">
        <v>102</v>
      </c>
      <c r="I818" s="2">
        <v>615.45000000000005</v>
      </c>
      <c r="J818" s="2">
        <v>4</v>
      </c>
      <c r="K818" s="2">
        <v>15</v>
      </c>
      <c r="L818" s="9">
        <f t="shared" si="49"/>
        <v>2461.8000000000002</v>
      </c>
      <c r="M818" s="9">
        <f t="shared" si="50"/>
        <v>369.27</v>
      </c>
      <c r="N818" s="10">
        <f t="shared" si="51"/>
        <v>2092.5300000000002</v>
      </c>
      <c r="O818" s="2" t="s">
        <v>68</v>
      </c>
      <c r="P818" s="2" t="s">
        <v>18</v>
      </c>
      <c r="Q818" s="2" t="s">
        <v>60</v>
      </c>
    </row>
    <row r="819" spans="1:17" x14ac:dyDescent="0.25">
      <c r="A819" s="3" t="s">
        <v>1175</v>
      </c>
      <c r="B819" s="4">
        <v>45858</v>
      </c>
      <c r="C819" s="4" t="str">
        <f t="shared" si="48"/>
        <v>Jul</v>
      </c>
      <c r="D819" s="3" t="s">
        <v>583</v>
      </c>
      <c r="E819" s="3" t="s">
        <v>51</v>
      </c>
      <c r="F819" s="3" t="s">
        <v>14</v>
      </c>
      <c r="G819" s="3" t="s">
        <v>36</v>
      </c>
      <c r="H819" s="3" t="s">
        <v>49</v>
      </c>
      <c r="I819" s="3">
        <v>164527.91</v>
      </c>
      <c r="J819" s="3">
        <v>4</v>
      </c>
      <c r="K819" s="3">
        <v>5</v>
      </c>
      <c r="L819" s="9">
        <f t="shared" si="49"/>
        <v>658111.64</v>
      </c>
      <c r="M819" s="9">
        <f t="shared" si="50"/>
        <v>32905.582000000002</v>
      </c>
      <c r="N819" s="10">
        <f t="shared" si="51"/>
        <v>625206.05799999996</v>
      </c>
      <c r="O819" s="3" t="s">
        <v>38</v>
      </c>
      <c r="P819" s="3" t="s">
        <v>52</v>
      </c>
      <c r="Q819" s="3" t="s">
        <v>19</v>
      </c>
    </row>
    <row r="820" spans="1:17" x14ac:dyDescent="0.25">
      <c r="A820" s="2" t="s">
        <v>1176</v>
      </c>
      <c r="B820" s="4">
        <v>45859</v>
      </c>
      <c r="C820" s="4" t="str">
        <f t="shared" si="48"/>
        <v>Jul</v>
      </c>
      <c r="D820" s="2" t="s">
        <v>791</v>
      </c>
      <c r="E820" s="2" t="s">
        <v>51</v>
      </c>
      <c r="F820" s="2" t="s">
        <v>14</v>
      </c>
      <c r="G820" s="2" t="s">
        <v>15</v>
      </c>
      <c r="H820" s="2" t="s">
        <v>56</v>
      </c>
      <c r="I820" s="2">
        <v>1861.98</v>
      </c>
      <c r="J820" s="2">
        <v>5</v>
      </c>
      <c r="K820" s="2">
        <v>0</v>
      </c>
      <c r="L820" s="9">
        <f t="shared" si="49"/>
        <v>9309.9</v>
      </c>
      <c r="M820" s="9">
        <f t="shared" si="50"/>
        <v>0</v>
      </c>
      <c r="N820" s="10">
        <f t="shared" si="51"/>
        <v>9309.9</v>
      </c>
      <c r="O820" s="2" t="s">
        <v>26</v>
      </c>
      <c r="P820" s="2" t="s">
        <v>18</v>
      </c>
      <c r="Q820" s="2" t="s">
        <v>19</v>
      </c>
    </row>
    <row r="821" spans="1:17" x14ac:dyDescent="0.25">
      <c r="A821" s="3" t="s">
        <v>1177</v>
      </c>
      <c r="B821" s="4">
        <v>45860</v>
      </c>
      <c r="C821" s="4" t="str">
        <f t="shared" si="48"/>
        <v>Jul</v>
      </c>
      <c r="D821" s="3" t="s">
        <v>942</v>
      </c>
      <c r="E821" s="3" t="s">
        <v>100</v>
      </c>
      <c r="F821" s="3" t="s">
        <v>88</v>
      </c>
      <c r="G821" s="3" t="s">
        <v>31</v>
      </c>
      <c r="H821" s="3" t="s">
        <v>242</v>
      </c>
      <c r="I821" s="3">
        <v>963.99</v>
      </c>
      <c r="J821" s="3">
        <v>5</v>
      </c>
      <c r="K821" s="3">
        <v>15</v>
      </c>
      <c r="L821" s="9">
        <f t="shared" si="49"/>
        <v>4819.95</v>
      </c>
      <c r="M821" s="9">
        <f t="shared" si="50"/>
        <v>722.99249999999995</v>
      </c>
      <c r="N821" s="10">
        <f t="shared" si="51"/>
        <v>4096.9574999999995</v>
      </c>
      <c r="O821" s="3" t="s">
        <v>26</v>
      </c>
      <c r="P821" s="3" t="s">
        <v>39</v>
      </c>
      <c r="Q821" s="3" t="s">
        <v>40</v>
      </c>
    </row>
    <row r="822" spans="1:17" x14ac:dyDescent="0.25">
      <c r="A822" s="2" t="s">
        <v>1178</v>
      </c>
      <c r="B822" s="4">
        <v>45861</v>
      </c>
      <c r="C822" s="4" t="str">
        <f t="shared" si="48"/>
        <v>Jul</v>
      </c>
      <c r="D822" s="2" t="s">
        <v>19</v>
      </c>
      <c r="E822" s="2" t="s">
        <v>29</v>
      </c>
      <c r="F822" s="2" t="s">
        <v>30</v>
      </c>
      <c r="G822" s="2" t="s">
        <v>31</v>
      </c>
      <c r="H822" s="2" t="s">
        <v>242</v>
      </c>
      <c r="I822" s="2">
        <v>968.96</v>
      </c>
      <c r="J822" s="2">
        <v>1</v>
      </c>
      <c r="K822" s="2">
        <v>5</v>
      </c>
      <c r="L822" s="9">
        <f t="shared" si="49"/>
        <v>968.96</v>
      </c>
      <c r="M822" s="9">
        <f t="shared" si="50"/>
        <v>48.448</v>
      </c>
      <c r="N822" s="10">
        <f t="shared" si="51"/>
        <v>920.51200000000006</v>
      </c>
      <c r="O822" s="2" t="s">
        <v>68</v>
      </c>
      <c r="P822" s="2" t="s">
        <v>39</v>
      </c>
      <c r="Q822" s="2" t="s">
        <v>34</v>
      </c>
    </row>
    <row r="823" spans="1:17" x14ac:dyDescent="0.25">
      <c r="A823" s="3" t="s">
        <v>1179</v>
      </c>
      <c r="B823" s="4">
        <v>45862</v>
      </c>
      <c r="C823" s="4" t="str">
        <f t="shared" si="48"/>
        <v>Jul</v>
      </c>
      <c r="D823" s="3" t="s">
        <v>764</v>
      </c>
      <c r="E823" s="3" t="s">
        <v>22</v>
      </c>
      <c r="F823" s="3" t="s">
        <v>23</v>
      </c>
      <c r="G823" s="3" t="s">
        <v>15</v>
      </c>
      <c r="H823" s="3" t="s">
        <v>56</v>
      </c>
      <c r="I823" s="3">
        <v>1787.97</v>
      </c>
      <c r="J823" s="3">
        <v>3</v>
      </c>
      <c r="K823" s="3">
        <v>0</v>
      </c>
      <c r="L823" s="9">
        <f t="shared" si="49"/>
        <v>5363.91</v>
      </c>
      <c r="M823" s="9">
        <f t="shared" si="50"/>
        <v>0</v>
      </c>
      <c r="N823" s="10">
        <f t="shared" si="51"/>
        <v>5363.91</v>
      </c>
      <c r="O823" s="3" t="s">
        <v>68</v>
      </c>
      <c r="P823" s="3" t="s">
        <v>27</v>
      </c>
      <c r="Q823" s="3" t="s">
        <v>53</v>
      </c>
    </row>
    <row r="824" spans="1:17" x14ac:dyDescent="0.25">
      <c r="A824" s="2" t="s">
        <v>1180</v>
      </c>
      <c r="B824" s="4">
        <v>45863</v>
      </c>
      <c r="C824" s="4" t="str">
        <f t="shared" si="48"/>
        <v>Jul</v>
      </c>
      <c r="D824" s="2" t="s">
        <v>683</v>
      </c>
      <c r="E824" s="2" t="s">
        <v>83</v>
      </c>
      <c r="F824" s="2" t="s">
        <v>84</v>
      </c>
      <c r="G824" s="2" t="s">
        <v>43</v>
      </c>
      <c r="H824" s="2" t="s">
        <v>105</v>
      </c>
      <c r="I824" s="2">
        <v>2522.89</v>
      </c>
      <c r="J824" s="2">
        <v>2</v>
      </c>
      <c r="K824" s="2">
        <v>15</v>
      </c>
      <c r="L824" s="9">
        <f t="shared" si="49"/>
        <v>5045.78</v>
      </c>
      <c r="M824" s="9">
        <f t="shared" si="50"/>
        <v>756.86699999999996</v>
      </c>
      <c r="N824" s="10">
        <f t="shared" si="51"/>
        <v>4288.9129999999996</v>
      </c>
      <c r="O824" s="2" t="s">
        <v>68</v>
      </c>
      <c r="P824" s="2" t="s">
        <v>52</v>
      </c>
      <c r="Q824" s="2" t="s">
        <v>40</v>
      </c>
    </row>
    <row r="825" spans="1:17" x14ac:dyDescent="0.25">
      <c r="A825" s="3" t="s">
        <v>1181</v>
      </c>
      <c r="B825" s="4">
        <v>45864</v>
      </c>
      <c r="C825" s="4" t="str">
        <f t="shared" si="48"/>
        <v>Jul</v>
      </c>
      <c r="D825" s="3" t="s">
        <v>482</v>
      </c>
      <c r="E825" s="3" t="s">
        <v>65</v>
      </c>
      <c r="F825" s="3" t="s">
        <v>66</v>
      </c>
      <c r="G825" s="3" t="s">
        <v>36</v>
      </c>
      <c r="H825" s="3" t="s">
        <v>49</v>
      </c>
      <c r="I825" s="3">
        <v>140906.29999999999</v>
      </c>
      <c r="J825" s="3">
        <v>3</v>
      </c>
      <c r="K825" s="3">
        <v>0</v>
      </c>
      <c r="L825" s="9">
        <f t="shared" si="49"/>
        <v>422718.89999999997</v>
      </c>
      <c r="M825" s="9">
        <f t="shared" si="50"/>
        <v>0</v>
      </c>
      <c r="N825" s="10">
        <f t="shared" si="51"/>
        <v>422718.89999999997</v>
      </c>
      <c r="O825" s="3" t="s">
        <v>68</v>
      </c>
      <c r="P825" s="3" t="s">
        <v>27</v>
      </c>
      <c r="Q825" s="3" t="s">
        <v>40</v>
      </c>
    </row>
    <row r="826" spans="1:17" x14ac:dyDescent="0.25">
      <c r="A826" s="2" t="s">
        <v>1182</v>
      </c>
      <c r="B826" s="4">
        <v>45865</v>
      </c>
      <c r="C826" s="4" t="str">
        <f t="shared" si="48"/>
        <v>Jul</v>
      </c>
      <c r="D826" s="2" t="s">
        <v>1183</v>
      </c>
      <c r="E826" s="2" t="s">
        <v>13</v>
      </c>
      <c r="F826" s="2" t="s">
        <v>14</v>
      </c>
      <c r="G826" s="2" t="s">
        <v>110</v>
      </c>
      <c r="H826" s="2" t="s">
        <v>215</v>
      </c>
      <c r="I826" s="2">
        <v>2670.25</v>
      </c>
      <c r="J826" s="2">
        <v>2</v>
      </c>
      <c r="K826" s="2">
        <v>0</v>
      </c>
      <c r="L826" s="9">
        <f t="shared" si="49"/>
        <v>5340.5</v>
      </c>
      <c r="M826" s="9">
        <f t="shared" si="50"/>
        <v>0</v>
      </c>
      <c r="N826" s="10">
        <f t="shared" si="51"/>
        <v>5340.5</v>
      </c>
      <c r="O826" s="2" t="s">
        <v>33</v>
      </c>
      <c r="P826" s="2" t="s">
        <v>18</v>
      </c>
      <c r="Q826" s="2" t="s">
        <v>34</v>
      </c>
    </row>
    <row r="827" spans="1:17" x14ac:dyDescent="0.25">
      <c r="A827" s="3" t="s">
        <v>1184</v>
      </c>
      <c r="B827" s="4">
        <v>45866</v>
      </c>
      <c r="C827" s="4" t="str">
        <f t="shared" si="48"/>
        <v>Jul</v>
      </c>
      <c r="D827" s="3" t="s">
        <v>665</v>
      </c>
      <c r="E827" s="3" t="s">
        <v>51</v>
      </c>
      <c r="F827" s="3" t="s">
        <v>14</v>
      </c>
      <c r="G827" s="3" t="s">
        <v>36</v>
      </c>
      <c r="H827" s="3" t="s">
        <v>113</v>
      </c>
      <c r="I827" s="3">
        <v>122869.6</v>
      </c>
      <c r="J827" s="3">
        <v>1</v>
      </c>
      <c r="K827" s="3">
        <v>0</v>
      </c>
      <c r="L827" s="9">
        <f t="shared" si="49"/>
        <v>122869.6</v>
      </c>
      <c r="M827" s="9">
        <f t="shared" si="50"/>
        <v>0</v>
      </c>
      <c r="N827" s="10">
        <f t="shared" si="51"/>
        <v>122869.6</v>
      </c>
      <c r="O827" s="3" t="s">
        <v>33</v>
      </c>
      <c r="P827" s="3" t="s">
        <v>52</v>
      </c>
      <c r="Q827" s="3" t="s">
        <v>40</v>
      </c>
    </row>
    <row r="828" spans="1:17" x14ac:dyDescent="0.25">
      <c r="A828" s="2" t="s">
        <v>1185</v>
      </c>
      <c r="B828" s="4">
        <v>45867</v>
      </c>
      <c r="C828" s="4" t="str">
        <f t="shared" si="48"/>
        <v>Jul</v>
      </c>
      <c r="D828" s="2" t="s">
        <v>21</v>
      </c>
      <c r="E828" s="2" t="s">
        <v>65</v>
      </c>
      <c r="F828" s="2" t="s">
        <v>66</v>
      </c>
      <c r="G828" s="2" t="s">
        <v>31</v>
      </c>
      <c r="H828" s="2" t="s">
        <v>32</v>
      </c>
      <c r="I828" s="2">
        <v>2641.32</v>
      </c>
      <c r="J828" s="2">
        <v>1</v>
      </c>
      <c r="K828" s="2">
        <v>15</v>
      </c>
      <c r="L828" s="9">
        <f t="shared" si="49"/>
        <v>2641.32</v>
      </c>
      <c r="M828" s="9">
        <f t="shared" si="50"/>
        <v>396.19800000000004</v>
      </c>
      <c r="N828" s="10">
        <f t="shared" si="51"/>
        <v>2245.1220000000003</v>
      </c>
      <c r="O828" s="2" t="s">
        <v>68</v>
      </c>
      <c r="P828" s="2" t="s">
        <v>18</v>
      </c>
      <c r="Q828" s="2" t="s">
        <v>19</v>
      </c>
    </row>
    <row r="829" spans="1:17" x14ac:dyDescent="0.25">
      <c r="A829" s="3" t="s">
        <v>1186</v>
      </c>
      <c r="B829" s="4">
        <v>45868</v>
      </c>
      <c r="C829" s="4" t="str">
        <f t="shared" si="48"/>
        <v>Jul</v>
      </c>
      <c r="D829" s="3" t="s">
        <v>281</v>
      </c>
      <c r="E829" s="3" t="s">
        <v>22</v>
      </c>
      <c r="F829" s="3" t="s">
        <v>23</v>
      </c>
      <c r="G829" s="3" t="s">
        <v>15</v>
      </c>
      <c r="H829" s="3" t="s">
        <v>198</v>
      </c>
      <c r="I829" s="3">
        <v>809.48</v>
      </c>
      <c r="J829" s="3">
        <v>3</v>
      </c>
      <c r="K829" s="3">
        <v>5</v>
      </c>
      <c r="L829" s="9">
        <f t="shared" si="49"/>
        <v>2428.44</v>
      </c>
      <c r="M829" s="9">
        <f t="shared" si="50"/>
        <v>121.42200000000001</v>
      </c>
      <c r="N829" s="10">
        <f t="shared" si="51"/>
        <v>2307.018</v>
      </c>
      <c r="O829" s="3" t="s">
        <v>33</v>
      </c>
      <c r="P829" s="3" t="s">
        <v>18</v>
      </c>
      <c r="Q829" s="3" t="s">
        <v>19</v>
      </c>
    </row>
    <row r="830" spans="1:17" x14ac:dyDescent="0.25">
      <c r="A830" s="2" t="s">
        <v>1187</v>
      </c>
      <c r="B830" s="4">
        <v>45869</v>
      </c>
      <c r="C830" s="4" t="str">
        <f t="shared" si="48"/>
        <v>Jul</v>
      </c>
      <c r="D830" s="2" t="s">
        <v>268</v>
      </c>
      <c r="E830" s="2" t="s">
        <v>29</v>
      </c>
      <c r="F830" s="2" t="s">
        <v>30</v>
      </c>
      <c r="G830" s="2" t="s">
        <v>36</v>
      </c>
      <c r="H830" s="2" t="s">
        <v>37</v>
      </c>
      <c r="I830" s="2">
        <v>11721.41</v>
      </c>
      <c r="J830" s="2">
        <v>4</v>
      </c>
      <c r="K830" s="2">
        <v>15</v>
      </c>
      <c r="L830" s="9">
        <f t="shared" si="49"/>
        <v>46885.64</v>
      </c>
      <c r="M830" s="9">
        <f t="shared" si="50"/>
        <v>7032.8459999999995</v>
      </c>
      <c r="N830" s="10">
        <f t="shared" si="51"/>
        <v>39852.794000000002</v>
      </c>
      <c r="O830" s="2" t="s">
        <v>17</v>
      </c>
      <c r="P830" s="2" t="s">
        <v>18</v>
      </c>
      <c r="Q830" s="2" t="s">
        <v>34</v>
      </c>
    </row>
    <row r="831" spans="1:17" x14ac:dyDescent="0.25">
      <c r="A831" s="3" t="s">
        <v>1188</v>
      </c>
      <c r="B831" s="4">
        <v>45870</v>
      </c>
      <c r="C831" s="4" t="str">
        <f t="shared" si="48"/>
        <v>Aug</v>
      </c>
      <c r="D831" s="3" t="s">
        <v>194</v>
      </c>
      <c r="E831" s="3" t="s">
        <v>76</v>
      </c>
      <c r="F831" s="3" t="s">
        <v>77</v>
      </c>
      <c r="G831" s="3" t="s">
        <v>110</v>
      </c>
      <c r="H831" s="3" t="s">
        <v>215</v>
      </c>
      <c r="I831" s="3">
        <v>2543.91</v>
      </c>
      <c r="J831" s="3">
        <v>1</v>
      </c>
      <c r="K831" s="3">
        <v>10</v>
      </c>
      <c r="L831" s="9">
        <f t="shared" si="49"/>
        <v>2543.91</v>
      </c>
      <c r="M831" s="9">
        <f t="shared" si="50"/>
        <v>254.39099999999999</v>
      </c>
      <c r="N831" s="10">
        <f t="shared" si="51"/>
        <v>2289.5189999999998</v>
      </c>
      <c r="O831" s="3" t="s">
        <v>68</v>
      </c>
      <c r="P831" s="3" t="s">
        <v>52</v>
      </c>
      <c r="Q831" s="3" t="s">
        <v>40</v>
      </c>
    </row>
    <row r="832" spans="1:17" x14ac:dyDescent="0.25">
      <c r="A832" s="2" t="s">
        <v>1189</v>
      </c>
      <c r="B832" s="4">
        <v>45871</v>
      </c>
      <c r="C832" s="4" t="str">
        <f t="shared" si="48"/>
        <v>Aug</v>
      </c>
      <c r="D832" s="2" t="s">
        <v>453</v>
      </c>
      <c r="E832" s="2" t="s">
        <v>100</v>
      </c>
      <c r="F832" s="2" t="s">
        <v>88</v>
      </c>
      <c r="G832" s="2" t="s">
        <v>15</v>
      </c>
      <c r="H832" s="2" t="s">
        <v>56</v>
      </c>
      <c r="I832" s="2">
        <v>1712.26</v>
      </c>
      <c r="J832" s="2">
        <v>4</v>
      </c>
      <c r="K832" s="2">
        <v>0</v>
      </c>
      <c r="L832" s="9">
        <f t="shared" si="49"/>
        <v>6849.04</v>
      </c>
      <c r="M832" s="9">
        <f t="shared" si="50"/>
        <v>0</v>
      </c>
      <c r="N832" s="10">
        <f t="shared" si="51"/>
        <v>6849.04</v>
      </c>
      <c r="O832" s="2" t="s">
        <v>17</v>
      </c>
      <c r="P832" s="2" t="s">
        <v>18</v>
      </c>
      <c r="Q832" s="2" t="s">
        <v>53</v>
      </c>
    </row>
    <row r="833" spans="1:17" x14ac:dyDescent="0.25">
      <c r="A833" s="3" t="s">
        <v>1190</v>
      </c>
      <c r="B833" s="4">
        <v>45872</v>
      </c>
      <c r="C833" s="4" t="str">
        <f t="shared" si="48"/>
        <v>Aug</v>
      </c>
      <c r="D833" s="3" t="s">
        <v>1191</v>
      </c>
      <c r="E833" s="3" t="s">
        <v>13</v>
      </c>
      <c r="F833" s="3" t="s">
        <v>14</v>
      </c>
      <c r="G833" s="3" t="s">
        <v>24</v>
      </c>
      <c r="H833" s="3" t="s">
        <v>108</v>
      </c>
      <c r="I833" s="3">
        <v>8135.24</v>
      </c>
      <c r="J833" s="3">
        <v>5</v>
      </c>
      <c r="K833" s="3">
        <v>10</v>
      </c>
      <c r="L833" s="9">
        <f t="shared" si="49"/>
        <v>40676.199999999997</v>
      </c>
      <c r="M833" s="9">
        <f t="shared" si="50"/>
        <v>4067.62</v>
      </c>
      <c r="N833" s="10">
        <f t="shared" si="51"/>
        <v>36608.579999999994</v>
      </c>
      <c r="O833" s="3" t="s">
        <v>38</v>
      </c>
      <c r="P833" s="3" t="s">
        <v>18</v>
      </c>
      <c r="Q833" s="3" t="s">
        <v>19</v>
      </c>
    </row>
    <row r="834" spans="1:17" x14ac:dyDescent="0.25">
      <c r="A834" s="2" t="s">
        <v>1192</v>
      </c>
      <c r="B834" s="4">
        <v>45873</v>
      </c>
      <c r="C834" s="4" t="str">
        <f t="shared" ref="C834:C897" si="52">TEXT(B834,"mmm")</f>
        <v>Aug</v>
      </c>
      <c r="D834" s="2" t="s">
        <v>703</v>
      </c>
      <c r="E834" s="2" t="s">
        <v>76</v>
      </c>
      <c r="F834" s="2" t="s">
        <v>77</v>
      </c>
      <c r="G834" s="2" t="s">
        <v>31</v>
      </c>
      <c r="H834" s="2" t="s">
        <v>242</v>
      </c>
      <c r="I834" s="2">
        <v>871.72</v>
      </c>
      <c r="J834" s="2">
        <v>3</v>
      </c>
      <c r="K834" s="2">
        <v>0</v>
      </c>
      <c r="L834" s="9">
        <f t="shared" ref="L834:L897" si="53">J834*I834</f>
        <v>2615.16</v>
      </c>
      <c r="M834" s="9">
        <f t="shared" ref="M834:M897" si="54">L834*K834/100</f>
        <v>0</v>
      </c>
      <c r="N834" s="10">
        <f t="shared" ref="N834:N897" si="55">L834-M834</f>
        <v>2615.16</v>
      </c>
      <c r="O834" s="2" t="s">
        <v>17</v>
      </c>
      <c r="P834" s="2" t="s">
        <v>52</v>
      </c>
      <c r="Q834" s="2" t="s">
        <v>53</v>
      </c>
    </row>
    <row r="835" spans="1:17" x14ac:dyDescent="0.25">
      <c r="A835" s="3" t="s">
        <v>1193</v>
      </c>
      <c r="B835" s="4">
        <v>45874</v>
      </c>
      <c r="C835" s="4" t="str">
        <f t="shared" si="52"/>
        <v>Aug</v>
      </c>
      <c r="D835" s="3" t="s">
        <v>258</v>
      </c>
      <c r="E835" s="3" t="s">
        <v>83</v>
      </c>
      <c r="F835" s="3" t="s">
        <v>84</v>
      </c>
      <c r="G835" s="3" t="s">
        <v>72</v>
      </c>
      <c r="H835" s="3" t="s">
        <v>81</v>
      </c>
      <c r="I835" s="3">
        <v>1476.62</v>
      </c>
      <c r="J835" s="3">
        <v>2</v>
      </c>
      <c r="K835" s="3">
        <v>0</v>
      </c>
      <c r="L835" s="9">
        <f t="shared" si="53"/>
        <v>2953.24</v>
      </c>
      <c r="M835" s="9">
        <f t="shared" si="54"/>
        <v>0</v>
      </c>
      <c r="N835" s="10">
        <f t="shared" si="55"/>
        <v>2953.24</v>
      </c>
      <c r="O835" s="3" t="s">
        <v>26</v>
      </c>
      <c r="P835" s="3" t="s">
        <v>39</v>
      </c>
      <c r="Q835" s="3" t="s">
        <v>40</v>
      </c>
    </row>
    <row r="836" spans="1:17" x14ac:dyDescent="0.25">
      <c r="A836" s="2" t="s">
        <v>1194</v>
      </c>
      <c r="B836" s="4">
        <v>45875</v>
      </c>
      <c r="C836" s="4" t="str">
        <f t="shared" si="52"/>
        <v>Aug</v>
      </c>
      <c r="D836" s="2" t="s">
        <v>717</v>
      </c>
      <c r="E836" s="2" t="s">
        <v>76</v>
      </c>
      <c r="F836" s="2" t="s">
        <v>77</v>
      </c>
      <c r="G836" s="2" t="s">
        <v>15</v>
      </c>
      <c r="H836" s="2" t="s">
        <v>95</v>
      </c>
      <c r="I836" s="2">
        <v>1223.94</v>
      </c>
      <c r="J836" s="2">
        <v>3</v>
      </c>
      <c r="K836" s="2">
        <v>0</v>
      </c>
      <c r="L836" s="9">
        <f t="shared" si="53"/>
        <v>3671.82</v>
      </c>
      <c r="M836" s="9">
        <f t="shared" si="54"/>
        <v>0</v>
      </c>
      <c r="N836" s="10">
        <f t="shared" si="55"/>
        <v>3671.82</v>
      </c>
      <c r="O836" s="2" t="s">
        <v>17</v>
      </c>
      <c r="P836" s="2" t="s">
        <v>18</v>
      </c>
      <c r="Q836" s="2" t="s">
        <v>19</v>
      </c>
    </row>
    <row r="837" spans="1:17" x14ac:dyDescent="0.25">
      <c r="A837" s="3" t="s">
        <v>1195</v>
      </c>
      <c r="B837" s="4">
        <v>45876</v>
      </c>
      <c r="C837" s="4" t="str">
        <f t="shared" si="52"/>
        <v>Aug</v>
      </c>
      <c r="D837" s="3" t="s">
        <v>279</v>
      </c>
      <c r="E837" s="3" t="s">
        <v>100</v>
      </c>
      <c r="F837" s="3" t="s">
        <v>88</v>
      </c>
      <c r="G837" s="3" t="s">
        <v>36</v>
      </c>
      <c r="H837" s="3" t="s">
        <v>37</v>
      </c>
      <c r="I837" s="3">
        <v>12902.65</v>
      </c>
      <c r="J837" s="3">
        <v>1</v>
      </c>
      <c r="K837" s="3">
        <v>15</v>
      </c>
      <c r="L837" s="9">
        <f t="shared" si="53"/>
        <v>12902.65</v>
      </c>
      <c r="M837" s="9">
        <f t="shared" si="54"/>
        <v>1935.3975</v>
      </c>
      <c r="N837" s="10">
        <f t="shared" si="55"/>
        <v>10967.252499999999</v>
      </c>
      <c r="O837" s="3" t="s">
        <v>26</v>
      </c>
      <c r="P837" s="3" t="s">
        <v>18</v>
      </c>
      <c r="Q837" s="3" t="s">
        <v>53</v>
      </c>
    </row>
    <row r="838" spans="1:17" x14ac:dyDescent="0.25">
      <c r="A838" s="2" t="s">
        <v>1196</v>
      </c>
      <c r="B838" s="4">
        <v>45877</v>
      </c>
      <c r="C838" s="4" t="str">
        <f t="shared" si="52"/>
        <v>Aug</v>
      </c>
      <c r="D838" s="2" t="s">
        <v>237</v>
      </c>
      <c r="E838" s="2" t="s">
        <v>29</v>
      </c>
      <c r="F838" s="2" t="s">
        <v>30</v>
      </c>
      <c r="G838" s="2" t="s">
        <v>24</v>
      </c>
      <c r="H838" s="2" t="s">
        <v>25</v>
      </c>
      <c r="I838" s="2">
        <v>4482.67</v>
      </c>
      <c r="J838" s="2">
        <v>3</v>
      </c>
      <c r="K838" s="2">
        <v>0</v>
      </c>
      <c r="L838" s="9">
        <f t="shared" si="53"/>
        <v>13448.01</v>
      </c>
      <c r="M838" s="9">
        <f t="shared" si="54"/>
        <v>0</v>
      </c>
      <c r="N838" s="10">
        <f t="shared" si="55"/>
        <v>13448.01</v>
      </c>
      <c r="O838" s="2" t="s">
        <v>26</v>
      </c>
      <c r="P838" s="2" t="s">
        <v>18</v>
      </c>
      <c r="Q838" s="2" t="s">
        <v>53</v>
      </c>
    </row>
    <row r="839" spans="1:17" x14ac:dyDescent="0.25">
      <c r="A839" s="3" t="s">
        <v>1197</v>
      </c>
      <c r="B839" s="4">
        <v>45878</v>
      </c>
      <c r="C839" s="4" t="str">
        <f t="shared" si="52"/>
        <v>Aug</v>
      </c>
      <c r="D839" s="3" t="s">
        <v>351</v>
      </c>
      <c r="E839" s="3" t="s">
        <v>22</v>
      </c>
      <c r="F839" s="3" t="s">
        <v>23</v>
      </c>
      <c r="G839" s="3" t="s">
        <v>31</v>
      </c>
      <c r="H839" s="3" t="s">
        <v>32</v>
      </c>
      <c r="I839" s="3">
        <v>2527.35</v>
      </c>
      <c r="J839" s="3">
        <v>2</v>
      </c>
      <c r="K839" s="3">
        <v>0</v>
      </c>
      <c r="L839" s="9">
        <f t="shared" si="53"/>
        <v>5054.7</v>
      </c>
      <c r="M839" s="9">
        <f t="shared" si="54"/>
        <v>0</v>
      </c>
      <c r="N839" s="10">
        <f t="shared" si="55"/>
        <v>5054.7</v>
      </c>
      <c r="O839" s="3" t="s">
        <v>33</v>
      </c>
      <c r="P839" s="3" t="s">
        <v>18</v>
      </c>
      <c r="Q839" s="3" t="s">
        <v>19</v>
      </c>
    </row>
    <row r="840" spans="1:17" x14ac:dyDescent="0.25">
      <c r="A840" s="2" t="s">
        <v>1198</v>
      </c>
      <c r="B840" s="4">
        <v>45879</v>
      </c>
      <c r="C840" s="4" t="str">
        <f t="shared" si="52"/>
        <v>Aug</v>
      </c>
      <c r="D840" s="2" t="s">
        <v>21</v>
      </c>
      <c r="E840" s="2" t="s">
        <v>51</v>
      </c>
      <c r="F840" s="2" t="s">
        <v>14</v>
      </c>
      <c r="G840" s="2" t="s">
        <v>24</v>
      </c>
      <c r="H840" s="2" t="s">
        <v>108</v>
      </c>
      <c r="I840" s="2">
        <v>7478.63</v>
      </c>
      <c r="J840" s="2">
        <v>3</v>
      </c>
      <c r="K840" s="2">
        <v>0</v>
      </c>
      <c r="L840" s="9">
        <f t="shared" si="53"/>
        <v>22435.89</v>
      </c>
      <c r="M840" s="9">
        <f t="shared" si="54"/>
        <v>0</v>
      </c>
      <c r="N840" s="10">
        <f t="shared" si="55"/>
        <v>22435.89</v>
      </c>
      <c r="O840" s="2" t="s">
        <v>38</v>
      </c>
      <c r="P840" s="2" t="s">
        <v>39</v>
      </c>
      <c r="Q840" s="2" t="s">
        <v>19</v>
      </c>
    </row>
    <row r="841" spans="1:17" x14ac:dyDescent="0.25">
      <c r="A841" s="3" t="s">
        <v>1199</v>
      </c>
      <c r="B841" s="4">
        <v>45880</v>
      </c>
      <c r="C841" s="4" t="str">
        <f t="shared" si="52"/>
        <v>Aug</v>
      </c>
      <c r="D841" s="3" t="s">
        <v>188</v>
      </c>
      <c r="E841" s="3" t="s">
        <v>13</v>
      </c>
      <c r="F841" s="3" t="s">
        <v>14</v>
      </c>
      <c r="G841" s="3" t="s">
        <v>24</v>
      </c>
      <c r="H841" s="3" t="s">
        <v>108</v>
      </c>
      <c r="I841" s="3">
        <v>8657.0400000000009</v>
      </c>
      <c r="J841" s="3">
        <v>1</v>
      </c>
      <c r="K841" s="3">
        <v>0</v>
      </c>
      <c r="L841" s="9">
        <f t="shared" si="53"/>
        <v>8657.0400000000009</v>
      </c>
      <c r="M841" s="9">
        <f t="shared" si="54"/>
        <v>0</v>
      </c>
      <c r="N841" s="10">
        <f t="shared" si="55"/>
        <v>8657.0400000000009</v>
      </c>
      <c r="O841" s="3" t="s">
        <v>26</v>
      </c>
      <c r="P841" s="3" t="s">
        <v>18</v>
      </c>
      <c r="Q841" s="3" t="s">
        <v>40</v>
      </c>
    </row>
    <row r="842" spans="1:17" x14ac:dyDescent="0.25">
      <c r="A842" s="2" t="s">
        <v>1200</v>
      </c>
      <c r="B842" s="4">
        <v>45881</v>
      </c>
      <c r="C842" s="4" t="str">
        <f t="shared" si="52"/>
        <v>Aug</v>
      </c>
      <c r="D842" s="2" t="s">
        <v>297</v>
      </c>
      <c r="E842" s="2" t="s">
        <v>76</v>
      </c>
      <c r="F842" s="2" t="s">
        <v>77</v>
      </c>
      <c r="G842" s="2" t="s">
        <v>24</v>
      </c>
      <c r="H842" s="2" t="s">
        <v>108</v>
      </c>
      <c r="I842" s="2">
        <v>8495.18</v>
      </c>
      <c r="J842" s="2">
        <v>2</v>
      </c>
      <c r="K842" s="2">
        <v>0</v>
      </c>
      <c r="L842" s="9">
        <f t="shared" si="53"/>
        <v>16990.36</v>
      </c>
      <c r="M842" s="9">
        <f t="shared" si="54"/>
        <v>0</v>
      </c>
      <c r="N842" s="10">
        <f t="shared" si="55"/>
        <v>16990.36</v>
      </c>
      <c r="O842" s="2" t="s">
        <v>17</v>
      </c>
      <c r="P842" s="2" t="s">
        <v>18</v>
      </c>
      <c r="Q842" s="2" t="s">
        <v>40</v>
      </c>
    </row>
    <row r="843" spans="1:17" x14ac:dyDescent="0.25">
      <c r="A843" s="3" t="s">
        <v>1201</v>
      </c>
      <c r="B843" s="4">
        <v>45882</v>
      </c>
      <c r="C843" s="4" t="str">
        <f t="shared" si="52"/>
        <v>Aug</v>
      </c>
      <c r="D843" s="3" t="s">
        <v>703</v>
      </c>
      <c r="E843" s="3" t="s">
        <v>51</v>
      </c>
      <c r="F843" s="3" t="s">
        <v>14</v>
      </c>
      <c r="G843" s="3" t="s">
        <v>24</v>
      </c>
      <c r="H843" s="3" t="s">
        <v>59</v>
      </c>
      <c r="I843" s="3">
        <v>4878.2</v>
      </c>
      <c r="J843" s="3">
        <v>3</v>
      </c>
      <c r="K843" s="3">
        <v>0</v>
      </c>
      <c r="L843" s="9">
        <f t="shared" si="53"/>
        <v>14634.599999999999</v>
      </c>
      <c r="M843" s="9">
        <f t="shared" si="54"/>
        <v>0</v>
      </c>
      <c r="N843" s="10">
        <f t="shared" si="55"/>
        <v>14634.599999999999</v>
      </c>
      <c r="O843" s="3" t="s">
        <v>17</v>
      </c>
      <c r="P843" s="3" t="s">
        <v>18</v>
      </c>
      <c r="Q843" s="3" t="s">
        <v>53</v>
      </c>
    </row>
    <row r="844" spans="1:17" x14ac:dyDescent="0.25">
      <c r="A844" s="2" t="s">
        <v>1202</v>
      </c>
      <c r="B844" s="4">
        <v>45883</v>
      </c>
      <c r="C844" s="4" t="str">
        <f t="shared" si="52"/>
        <v>Aug</v>
      </c>
      <c r="D844" s="2" t="s">
        <v>173</v>
      </c>
      <c r="E844" s="2" t="s">
        <v>51</v>
      </c>
      <c r="F844" s="2" t="s">
        <v>14</v>
      </c>
      <c r="G844" s="2" t="s">
        <v>72</v>
      </c>
      <c r="H844" s="2" t="s">
        <v>73</v>
      </c>
      <c r="I844" s="2">
        <v>335.59</v>
      </c>
      <c r="J844" s="2">
        <v>2</v>
      </c>
      <c r="K844" s="2">
        <v>0</v>
      </c>
      <c r="L844" s="9">
        <f t="shared" si="53"/>
        <v>671.18</v>
      </c>
      <c r="M844" s="9">
        <f t="shared" si="54"/>
        <v>0</v>
      </c>
      <c r="N844" s="10">
        <f t="shared" si="55"/>
        <v>671.18</v>
      </c>
      <c r="O844" s="2" t="s">
        <v>26</v>
      </c>
      <c r="P844" s="2" t="s">
        <v>18</v>
      </c>
      <c r="Q844" s="2" t="s">
        <v>34</v>
      </c>
    </row>
    <row r="845" spans="1:17" x14ac:dyDescent="0.25">
      <c r="A845" s="3" t="s">
        <v>1203</v>
      </c>
      <c r="B845" s="4">
        <v>45884</v>
      </c>
      <c r="C845" s="4" t="str">
        <f t="shared" si="52"/>
        <v>Aug</v>
      </c>
      <c r="D845" s="3" t="s">
        <v>228</v>
      </c>
      <c r="E845" s="3" t="s">
        <v>76</v>
      </c>
      <c r="F845" s="3" t="s">
        <v>77</v>
      </c>
      <c r="G845" s="3" t="s">
        <v>24</v>
      </c>
      <c r="H845" s="3" t="s">
        <v>170</v>
      </c>
      <c r="I845" s="3">
        <v>1099.54</v>
      </c>
      <c r="J845" s="3">
        <v>4</v>
      </c>
      <c r="K845" s="3">
        <v>10</v>
      </c>
      <c r="L845" s="9">
        <f t="shared" si="53"/>
        <v>4398.16</v>
      </c>
      <c r="M845" s="9">
        <f t="shared" si="54"/>
        <v>439.81599999999997</v>
      </c>
      <c r="N845" s="10">
        <f t="shared" si="55"/>
        <v>3958.3440000000001</v>
      </c>
      <c r="O845" s="3" t="s">
        <v>17</v>
      </c>
      <c r="P845" s="3" t="s">
        <v>18</v>
      </c>
      <c r="Q845" s="3" t="s">
        <v>53</v>
      </c>
    </row>
    <row r="846" spans="1:17" x14ac:dyDescent="0.25">
      <c r="A846" s="2" t="s">
        <v>1204</v>
      </c>
      <c r="B846" s="4">
        <v>45885</v>
      </c>
      <c r="C846" s="4" t="str">
        <f t="shared" si="52"/>
        <v>Aug</v>
      </c>
      <c r="D846" s="2" t="s">
        <v>143</v>
      </c>
      <c r="E846" s="2" t="s">
        <v>83</v>
      </c>
      <c r="F846" s="2" t="s">
        <v>84</v>
      </c>
      <c r="G846" s="2" t="s">
        <v>31</v>
      </c>
      <c r="H846" s="2" t="s">
        <v>70</v>
      </c>
      <c r="I846" s="2">
        <v>602.27</v>
      </c>
      <c r="J846" s="2">
        <v>2</v>
      </c>
      <c r="K846" s="2">
        <v>15</v>
      </c>
      <c r="L846" s="9">
        <f t="shared" si="53"/>
        <v>1204.54</v>
      </c>
      <c r="M846" s="9">
        <f t="shared" si="54"/>
        <v>180.68099999999998</v>
      </c>
      <c r="N846" s="10">
        <f t="shared" si="55"/>
        <v>1023.8589999999999</v>
      </c>
      <c r="O846" s="2" t="s">
        <v>38</v>
      </c>
      <c r="P846" s="2" t="s">
        <v>52</v>
      </c>
      <c r="Q846" s="2" t="s">
        <v>60</v>
      </c>
    </row>
    <row r="847" spans="1:17" x14ac:dyDescent="0.25">
      <c r="A847" s="3" t="s">
        <v>1205</v>
      </c>
      <c r="B847" s="4">
        <v>45886</v>
      </c>
      <c r="C847" s="4" t="str">
        <f t="shared" si="52"/>
        <v>Aug</v>
      </c>
      <c r="D847" s="3" t="s">
        <v>155</v>
      </c>
      <c r="E847" s="3" t="s">
        <v>47</v>
      </c>
      <c r="F847" s="3" t="s">
        <v>48</v>
      </c>
      <c r="G847" s="3" t="s">
        <v>110</v>
      </c>
      <c r="H847" s="3" t="s">
        <v>67</v>
      </c>
      <c r="I847" s="3">
        <v>4624.3</v>
      </c>
      <c r="J847" s="3">
        <v>5</v>
      </c>
      <c r="K847" s="3">
        <v>0</v>
      </c>
      <c r="L847" s="9">
        <f t="shared" si="53"/>
        <v>23121.5</v>
      </c>
      <c r="M847" s="9">
        <f t="shared" si="54"/>
        <v>0</v>
      </c>
      <c r="N847" s="10">
        <f t="shared" si="55"/>
        <v>23121.5</v>
      </c>
      <c r="O847" s="3" t="s">
        <v>68</v>
      </c>
      <c r="P847" s="3" t="s">
        <v>18</v>
      </c>
      <c r="Q847" s="3" t="s">
        <v>53</v>
      </c>
    </row>
    <row r="848" spans="1:17" x14ac:dyDescent="0.25">
      <c r="A848" s="2" t="s">
        <v>1206</v>
      </c>
      <c r="B848" s="4">
        <v>45887</v>
      </c>
      <c r="C848" s="4" t="str">
        <f t="shared" si="52"/>
        <v>Aug</v>
      </c>
      <c r="D848" s="2" t="s">
        <v>1037</v>
      </c>
      <c r="E848" s="2" t="s">
        <v>65</v>
      </c>
      <c r="F848" s="2" t="s">
        <v>66</v>
      </c>
      <c r="G848" s="2" t="s">
        <v>24</v>
      </c>
      <c r="H848" s="2" t="s">
        <v>108</v>
      </c>
      <c r="I848" s="2">
        <v>7880.04</v>
      </c>
      <c r="J848" s="2">
        <v>4</v>
      </c>
      <c r="K848" s="2">
        <v>0</v>
      </c>
      <c r="L848" s="9">
        <f t="shared" si="53"/>
        <v>31520.16</v>
      </c>
      <c r="M848" s="9">
        <f t="shared" si="54"/>
        <v>0</v>
      </c>
      <c r="N848" s="10">
        <f t="shared" si="55"/>
        <v>31520.16</v>
      </c>
      <c r="O848" s="2" t="s">
        <v>26</v>
      </c>
      <c r="P848" s="2" t="s">
        <v>39</v>
      </c>
      <c r="Q848" s="2" t="s">
        <v>34</v>
      </c>
    </row>
    <row r="849" spans="1:17" x14ac:dyDescent="0.25">
      <c r="A849" s="3" t="s">
        <v>1207</v>
      </c>
      <c r="B849" s="4">
        <v>45888</v>
      </c>
      <c r="C849" s="4" t="str">
        <f t="shared" si="52"/>
        <v>Aug</v>
      </c>
      <c r="D849" s="3" t="s">
        <v>382</v>
      </c>
      <c r="E849" s="3" t="s">
        <v>100</v>
      </c>
      <c r="F849" s="3" t="s">
        <v>88</v>
      </c>
      <c r="G849" s="3" t="s">
        <v>72</v>
      </c>
      <c r="H849" s="3" t="s">
        <v>81</v>
      </c>
      <c r="I849" s="3">
        <v>1438.51</v>
      </c>
      <c r="J849" s="3">
        <v>5</v>
      </c>
      <c r="K849" s="3">
        <v>5</v>
      </c>
      <c r="L849" s="9">
        <f t="shared" si="53"/>
        <v>7192.55</v>
      </c>
      <c r="M849" s="9">
        <f t="shared" si="54"/>
        <v>359.6275</v>
      </c>
      <c r="N849" s="10">
        <f t="shared" si="55"/>
        <v>6832.9225000000006</v>
      </c>
      <c r="O849" s="3" t="s">
        <v>26</v>
      </c>
      <c r="P849" s="3" t="s">
        <v>52</v>
      </c>
      <c r="Q849" s="3" t="s">
        <v>40</v>
      </c>
    </row>
    <row r="850" spans="1:17" x14ac:dyDescent="0.25">
      <c r="A850" s="2" t="s">
        <v>1208</v>
      </c>
      <c r="B850" s="4">
        <v>45889</v>
      </c>
      <c r="C850" s="4" t="str">
        <f t="shared" si="52"/>
        <v>Aug</v>
      </c>
      <c r="D850" s="2" t="s">
        <v>228</v>
      </c>
      <c r="E850" s="2" t="s">
        <v>87</v>
      </c>
      <c r="F850" s="2" t="s">
        <v>88</v>
      </c>
      <c r="G850" s="2" t="s">
        <v>43</v>
      </c>
      <c r="H850" s="2" t="s">
        <v>145</v>
      </c>
      <c r="I850" s="2">
        <v>11922.12</v>
      </c>
      <c r="J850" s="2">
        <v>4</v>
      </c>
      <c r="K850" s="2">
        <v>5</v>
      </c>
      <c r="L850" s="9">
        <f t="shared" si="53"/>
        <v>47688.480000000003</v>
      </c>
      <c r="M850" s="9">
        <f t="shared" si="54"/>
        <v>2384.4240000000004</v>
      </c>
      <c r="N850" s="10">
        <f t="shared" si="55"/>
        <v>45304.056000000004</v>
      </c>
      <c r="O850" s="2" t="s">
        <v>33</v>
      </c>
      <c r="P850" s="2" t="s">
        <v>18</v>
      </c>
      <c r="Q850" s="2" t="s">
        <v>34</v>
      </c>
    </row>
    <row r="851" spans="1:17" x14ac:dyDescent="0.25">
      <c r="A851" s="3" t="s">
        <v>1209</v>
      </c>
      <c r="B851" s="4">
        <v>45890</v>
      </c>
      <c r="C851" s="4" t="str">
        <f t="shared" si="52"/>
        <v>Aug</v>
      </c>
      <c r="D851" s="3" t="s">
        <v>131</v>
      </c>
      <c r="E851" s="3" t="s">
        <v>76</v>
      </c>
      <c r="F851" s="3" t="s">
        <v>77</v>
      </c>
      <c r="G851" s="3" t="s">
        <v>24</v>
      </c>
      <c r="H851" s="3" t="s">
        <v>108</v>
      </c>
      <c r="I851" s="3">
        <v>8232.57</v>
      </c>
      <c r="J851" s="3">
        <v>3</v>
      </c>
      <c r="K851" s="3">
        <v>10</v>
      </c>
      <c r="L851" s="9">
        <f t="shared" si="53"/>
        <v>24697.71</v>
      </c>
      <c r="M851" s="9">
        <f t="shared" si="54"/>
        <v>2469.7709999999997</v>
      </c>
      <c r="N851" s="10">
        <f t="shared" si="55"/>
        <v>22227.938999999998</v>
      </c>
      <c r="O851" s="3" t="s">
        <v>38</v>
      </c>
      <c r="P851" s="3" t="s">
        <v>39</v>
      </c>
      <c r="Q851" s="3" t="s">
        <v>19</v>
      </c>
    </row>
    <row r="852" spans="1:17" x14ac:dyDescent="0.25">
      <c r="A852" s="2" t="s">
        <v>1210</v>
      </c>
      <c r="B852" s="4">
        <v>45891</v>
      </c>
      <c r="C852" s="4" t="str">
        <f t="shared" si="52"/>
        <v>Aug</v>
      </c>
      <c r="D852" s="2" t="s">
        <v>318</v>
      </c>
      <c r="E852" s="2" t="s">
        <v>22</v>
      </c>
      <c r="F852" s="2" t="s">
        <v>23</v>
      </c>
      <c r="G852" s="2" t="s">
        <v>72</v>
      </c>
      <c r="H852" s="2" t="s">
        <v>137</v>
      </c>
      <c r="I852" s="2">
        <v>2387.71</v>
      </c>
      <c r="J852" s="2">
        <v>1</v>
      </c>
      <c r="K852" s="2">
        <v>10</v>
      </c>
      <c r="L852" s="9">
        <f t="shared" si="53"/>
        <v>2387.71</v>
      </c>
      <c r="M852" s="9">
        <f t="shared" si="54"/>
        <v>238.77099999999999</v>
      </c>
      <c r="N852" s="10">
        <f t="shared" si="55"/>
        <v>2148.9389999999999</v>
      </c>
      <c r="O852" s="2" t="s">
        <v>68</v>
      </c>
      <c r="P852" s="2" t="s">
        <v>18</v>
      </c>
      <c r="Q852" s="2" t="s">
        <v>40</v>
      </c>
    </row>
    <row r="853" spans="1:17" x14ac:dyDescent="0.25">
      <c r="A853" s="3" t="s">
        <v>1211</v>
      </c>
      <c r="B853" s="4">
        <v>45892</v>
      </c>
      <c r="C853" s="4" t="str">
        <f t="shared" si="52"/>
        <v>Aug</v>
      </c>
      <c r="D853" s="3" t="s">
        <v>323</v>
      </c>
      <c r="E853" s="3" t="s">
        <v>51</v>
      </c>
      <c r="F853" s="3" t="s">
        <v>14</v>
      </c>
      <c r="G853" s="3" t="s">
        <v>15</v>
      </c>
      <c r="H853" s="3" t="s">
        <v>16</v>
      </c>
      <c r="I853" s="3">
        <v>1425.01</v>
      </c>
      <c r="J853" s="3">
        <v>3</v>
      </c>
      <c r="K853" s="3">
        <v>0</v>
      </c>
      <c r="L853" s="9">
        <f t="shared" si="53"/>
        <v>4275.03</v>
      </c>
      <c r="M853" s="9">
        <f t="shared" si="54"/>
        <v>0</v>
      </c>
      <c r="N853" s="10">
        <f t="shared" si="55"/>
        <v>4275.03</v>
      </c>
      <c r="O853" s="3" t="s">
        <v>17</v>
      </c>
      <c r="P853" s="3" t="s">
        <v>18</v>
      </c>
      <c r="Q853" s="3" t="s">
        <v>19</v>
      </c>
    </row>
    <row r="854" spans="1:17" x14ac:dyDescent="0.25">
      <c r="A854" s="2" t="s">
        <v>1212</v>
      </c>
      <c r="B854" s="4">
        <v>45893</v>
      </c>
      <c r="C854" s="4" t="str">
        <f t="shared" si="52"/>
        <v>Aug</v>
      </c>
      <c r="D854" s="2" t="s">
        <v>413</v>
      </c>
      <c r="E854" s="2" t="s">
        <v>47</v>
      </c>
      <c r="F854" s="2" t="s">
        <v>48</v>
      </c>
      <c r="G854" s="2" t="s">
        <v>72</v>
      </c>
      <c r="H854" s="2" t="s">
        <v>137</v>
      </c>
      <c r="I854" s="2">
        <v>2324.58</v>
      </c>
      <c r="J854" s="2">
        <v>4</v>
      </c>
      <c r="K854" s="2">
        <v>5</v>
      </c>
      <c r="L854" s="9">
        <f t="shared" si="53"/>
        <v>9298.32</v>
      </c>
      <c r="M854" s="9">
        <f t="shared" si="54"/>
        <v>464.916</v>
      </c>
      <c r="N854" s="10">
        <f t="shared" si="55"/>
        <v>8833.4040000000005</v>
      </c>
      <c r="O854" s="2" t="s">
        <v>17</v>
      </c>
      <c r="P854" s="2" t="s">
        <v>39</v>
      </c>
      <c r="Q854" s="2" t="s">
        <v>40</v>
      </c>
    </row>
    <row r="855" spans="1:17" x14ac:dyDescent="0.25">
      <c r="A855" s="3" t="s">
        <v>1213</v>
      </c>
      <c r="B855" s="4">
        <v>45894</v>
      </c>
      <c r="C855" s="4" t="str">
        <f t="shared" si="52"/>
        <v>Aug</v>
      </c>
      <c r="D855" s="3" t="s">
        <v>555</v>
      </c>
      <c r="E855" s="3" t="s">
        <v>100</v>
      </c>
      <c r="F855" s="3" t="s">
        <v>88</v>
      </c>
      <c r="G855" s="3" t="s">
        <v>72</v>
      </c>
      <c r="H855" s="3" t="s">
        <v>129</v>
      </c>
      <c r="I855" s="3">
        <v>1701.93</v>
      </c>
      <c r="J855" s="3">
        <v>2</v>
      </c>
      <c r="K855" s="3">
        <v>10</v>
      </c>
      <c r="L855" s="9">
        <f t="shared" si="53"/>
        <v>3403.86</v>
      </c>
      <c r="M855" s="9">
        <f t="shared" si="54"/>
        <v>340.38599999999997</v>
      </c>
      <c r="N855" s="10">
        <f t="shared" si="55"/>
        <v>3063.4740000000002</v>
      </c>
      <c r="O855" s="3" t="s">
        <v>26</v>
      </c>
      <c r="P855" s="3" t="s">
        <v>52</v>
      </c>
      <c r="Q855" s="3" t="s">
        <v>19</v>
      </c>
    </row>
    <row r="856" spans="1:17" x14ac:dyDescent="0.25">
      <c r="A856" s="2" t="s">
        <v>1214</v>
      </c>
      <c r="B856" s="4">
        <v>45895</v>
      </c>
      <c r="C856" s="4" t="str">
        <f t="shared" si="52"/>
        <v>Aug</v>
      </c>
      <c r="D856" s="2" t="s">
        <v>256</v>
      </c>
      <c r="E856" s="2" t="s">
        <v>76</v>
      </c>
      <c r="F856" s="2" t="s">
        <v>77</v>
      </c>
      <c r="G856" s="2" t="s">
        <v>31</v>
      </c>
      <c r="H856" s="2" t="s">
        <v>32</v>
      </c>
      <c r="I856" s="2">
        <v>2406.54</v>
      </c>
      <c r="J856" s="2">
        <v>2</v>
      </c>
      <c r="K856" s="2">
        <v>5</v>
      </c>
      <c r="L856" s="9">
        <f t="shared" si="53"/>
        <v>4813.08</v>
      </c>
      <c r="M856" s="9">
        <f t="shared" si="54"/>
        <v>240.65400000000002</v>
      </c>
      <c r="N856" s="10">
        <f t="shared" si="55"/>
        <v>4572.4259999999995</v>
      </c>
      <c r="O856" s="2" t="s">
        <v>33</v>
      </c>
      <c r="P856" s="2" t="s">
        <v>18</v>
      </c>
      <c r="Q856" s="2" t="s">
        <v>60</v>
      </c>
    </row>
    <row r="857" spans="1:17" x14ac:dyDescent="0.25">
      <c r="A857" s="3" t="s">
        <v>1215</v>
      </c>
      <c r="B857" s="4">
        <v>45896</v>
      </c>
      <c r="C857" s="4" t="str">
        <f t="shared" si="52"/>
        <v>Aug</v>
      </c>
      <c r="D857" s="3" t="s">
        <v>169</v>
      </c>
      <c r="E857" s="3" t="s">
        <v>87</v>
      </c>
      <c r="F857" s="3" t="s">
        <v>88</v>
      </c>
      <c r="G857" s="3" t="s">
        <v>24</v>
      </c>
      <c r="H857" s="3" t="s">
        <v>59</v>
      </c>
      <c r="I857" s="3">
        <v>5373.75</v>
      </c>
      <c r="J857" s="3">
        <v>3</v>
      </c>
      <c r="K857" s="3">
        <v>0</v>
      </c>
      <c r="L857" s="9">
        <f t="shared" si="53"/>
        <v>16121.25</v>
      </c>
      <c r="M857" s="9">
        <f t="shared" si="54"/>
        <v>0</v>
      </c>
      <c r="N857" s="10">
        <f t="shared" si="55"/>
        <v>16121.25</v>
      </c>
      <c r="O857" s="3" t="s">
        <v>33</v>
      </c>
      <c r="P857" s="3" t="s">
        <v>39</v>
      </c>
      <c r="Q857" s="3" t="s">
        <v>34</v>
      </c>
    </row>
    <row r="858" spans="1:17" x14ac:dyDescent="0.25">
      <c r="A858" s="2" t="s">
        <v>1216</v>
      </c>
      <c r="B858" s="4">
        <v>45897</v>
      </c>
      <c r="C858" s="4" t="str">
        <f t="shared" si="52"/>
        <v>Aug</v>
      </c>
      <c r="D858" s="2" t="s">
        <v>241</v>
      </c>
      <c r="E858" s="2" t="s">
        <v>65</v>
      </c>
      <c r="F858" s="2" t="s">
        <v>66</v>
      </c>
      <c r="G858" s="2" t="s">
        <v>15</v>
      </c>
      <c r="H858" s="2" t="s">
        <v>95</v>
      </c>
      <c r="I858" s="2">
        <v>1263.08</v>
      </c>
      <c r="J858" s="2">
        <v>5</v>
      </c>
      <c r="K858" s="2">
        <v>10</v>
      </c>
      <c r="L858" s="9">
        <f t="shared" si="53"/>
        <v>6315.4</v>
      </c>
      <c r="M858" s="9">
        <f t="shared" si="54"/>
        <v>631.54</v>
      </c>
      <c r="N858" s="10">
        <f t="shared" si="55"/>
        <v>5683.86</v>
      </c>
      <c r="O858" s="2" t="s">
        <v>38</v>
      </c>
      <c r="P858" s="2" t="s">
        <v>52</v>
      </c>
      <c r="Q858" s="2" t="s">
        <v>40</v>
      </c>
    </row>
    <row r="859" spans="1:17" x14ac:dyDescent="0.25">
      <c r="A859" s="3" t="s">
        <v>1217</v>
      </c>
      <c r="B859" s="4">
        <v>45898</v>
      </c>
      <c r="C859" s="4" t="str">
        <f t="shared" si="52"/>
        <v>Aug</v>
      </c>
      <c r="D859" s="3" t="s">
        <v>442</v>
      </c>
      <c r="E859" s="3" t="s">
        <v>100</v>
      </c>
      <c r="F859" s="3" t="s">
        <v>88</v>
      </c>
      <c r="G859" s="3" t="s">
        <v>31</v>
      </c>
      <c r="H859" s="3" t="s">
        <v>242</v>
      </c>
      <c r="I859" s="3">
        <v>923.37</v>
      </c>
      <c r="J859" s="3">
        <v>5</v>
      </c>
      <c r="K859" s="3">
        <v>5</v>
      </c>
      <c r="L859" s="9">
        <f t="shared" si="53"/>
        <v>4616.8500000000004</v>
      </c>
      <c r="M859" s="9">
        <f t="shared" si="54"/>
        <v>230.8425</v>
      </c>
      <c r="N859" s="10">
        <f t="shared" si="55"/>
        <v>4386.0075000000006</v>
      </c>
      <c r="O859" s="3" t="s">
        <v>17</v>
      </c>
      <c r="P859" s="3" t="s">
        <v>39</v>
      </c>
      <c r="Q859" s="3" t="s">
        <v>60</v>
      </c>
    </row>
    <row r="860" spans="1:17" x14ac:dyDescent="0.25">
      <c r="A860" s="2" t="s">
        <v>1218</v>
      </c>
      <c r="B860" s="4">
        <v>45899</v>
      </c>
      <c r="C860" s="4" t="str">
        <f t="shared" si="52"/>
        <v>Aug</v>
      </c>
      <c r="D860" s="2" t="s">
        <v>277</v>
      </c>
      <c r="E860" s="2" t="s">
        <v>22</v>
      </c>
      <c r="F860" s="2" t="s">
        <v>23</v>
      </c>
      <c r="G860" s="2" t="s">
        <v>110</v>
      </c>
      <c r="H860" s="2" t="s">
        <v>67</v>
      </c>
      <c r="I860" s="2">
        <v>4219.5</v>
      </c>
      <c r="J860" s="2">
        <v>1</v>
      </c>
      <c r="K860" s="2">
        <v>0</v>
      </c>
      <c r="L860" s="9">
        <f t="shared" si="53"/>
        <v>4219.5</v>
      </c>
      <c r="M860" s="9">
        <f t="shared" si="54"/>
        <v>0</v>
      </c>
      <c r="N860" s="10">
        <f t="shared" si="55"/>
        <v>4219.5</v>
      </c>
      <c r="O860" s="2" t="s">
        <v>17</v>
      </c>
      <c r="P860" s="2" t="s">
        <v>18</v>
      </c>
      <c r="Q860" s="2" t="s">
        <v>34</v>
      </c>
    </row>
    <row r="861" spans="1:17" x14ac:dyDescent="0.25">
      <c r="A861" s="3" t="s">
        <v>1219</v>
      </c>
      <c r="B861" s="4">
        <v>45900</v>
      </c>
      <c r="C861" s="4" t="str">
        <f t="shared" si="52"/>
        <v>Aug</v>
      </c>
      <c r="D861" s="3" t="s">
        <v>1021</v>
      </c>
      <c r="E861" s="3" t="s">
        <v>83</v>
      </c>
      <c r="F861" s="3" t="s">
        <v>84</v>
      </c>
      <c r="G861" s="3" t="s">
        <v>24</v>
      </c>
      <c r="H861" s="3" t="s">
        <v>92</v>
      </c>
      <c r="I861" s="3">
        <v>1597.94</v>
      </c>
      <c r="J861" s="3">
        <v>5</v>
      </c>
      <c r="K861" s="3">
        <v>0</v>
      </c>
      <c r="L861" s="9">
        <f t="shared" si="53"/>
        <v>7989.7000000000007</v>
      </c>
      <c r="M861" s="9">
        <f t="shared" si="54"/>
        <v>0</v>
      </c>
      <c r="N861" s="10">
        <f t="shared" si="55"/>
        <v>7989.7000000000007</v>
      </c>
      <c r="O861" s="3" t="s">
        <v>68</v>
      </c>
      <c r="P861" s="3" t="s">
        <v>18</v>
      </c>
      <c r="Q861" s="3" t="s">
        <v>53</v>
      </c>
    </row>
    <row r="862" spans="1:17" x14ac:dyDescent="0.25">
      <c r="A862" s="2" t="s">
        <v>1220</v>
      </c>
      <c r="B862" s="4">
        <v>45901</v>
      </c>
      <c r="C862" s="4" t="str">
        <f t="shared" si="52"/>
        <v>Sep</v>
      </c>
      <c r="D862" s="2" t="s">
        <v>58</v>
      </c>
      <c r="E862" s="2" t="s">
        <v>51</v>
      </c>
      <c r="F862" s="2" t="s">
        <v>14</v>
      </c>
      <c r="G862" s="2" t="s">
        <v>24</v>
      </c>
      <c r="H862" s="2" t="s">
        <v>108</v>
      </c>
      <c r="I862" s="2">
        <v>8255.31</v>
      </c>
      <c r="J862" s="2">
        <v>1</v>
      </c>
      <c r="K862" s="2">
        <v>0</v>
      </c>
      <c r="L862" s="9">
        <f t="shared" si="53"/>
        <v>8255.31</v>
      </c>
      <c r="M862" s="9">
        <f t="shared" si="54"/>
        <v>0</v>
      </c>
      <c r="N862" s="10">
        <f t="shared" si="55"/>
        <v>8255.31</v>
      </c>
      <c r="O862" s="2" t="s">
        <v>68</v>
      </c>
      <c r="P862" s="2" t="s">
        <v>18</v>
      </c>
      <c r="Q862" s="2" t="s">
        <v>19</v>
      </c>
    </row>
    <row r="863" spans="1:17" x14ac:dyDescent="0.25">
      <c r="A863" s="3" t="s">
        <v>1221</v>
      </c>
      <c r="B863" s="4">
        <v>45902</v>
      </c>
      <c r="C863" s="4" t="str">
        <f t="shared" si="52"/>
        <v>Sep</v>
      </c>
      <c r="D863" s="3" t="s">
        <v>768</v>
      </c>
      <c r="E863" s="3" t="s">
        <v>65</v>
      </c>
      <c r="F863" s="3" t="s">
        <v>66</v>
      </c>
      <c r="G863" s="3" t="s">
        <v>43</v>
      </c>
      <c r="H863" s="3" t="s">
        <v>127</v>
      </c>
      <c r="I863" s="3">
        <v>6038.55</v>
      </c>
      <c r="J863" s="3">
        <v>2</v>
      </c>
      <c r="K863" s="3">
        <v>5</v>
      </c>
      <c r="L863" s="9">
        <f t="shared" si="53"/>
        <v>12077.1</v>
      </c>
      <c r="M863" s="9">
        <f t="shared" si="54"/>
        <v>603.85500000000002</v>
      </c>
      <c r="N863" s="10">
        <f t="shared" si="55"/>
        <v>11473.245000000001</v>
      </c>
      <c r="O863" s="3" t="s">
        <v>33</v>
      </c>
      <c r="P863" s="3" t="s">
        <v>18</v>
      </c>
      <c r="Q863" s="3" t="s">
        <v>40</v>
      </c>
    </row>
    <row r="864" spans="1:17" x14ac:dyDescent="0.25">
      <c r="A864" s="2" t="s">
        <v>1222</v>
      </c>
      <c r="B864" s="4">
        <v>45903</v>
      </c>
      <c r="C864" s="4" t="str">
        <f t="shared" si="52"/>
        <v>Sep</v>
      </c>
      <c r="D864" s="2" t="s">
        <v>285</v>
      </c>
      <c r="E864" s="2" t="s">
        <v>51</v>
      </c>
      <c r="F864" s="2" t="s">
        <v>14</v>
      </c>
      <c r="G864" s="2" t="s">
        <v>31</v>
      </c>
      <c r="H864" s="2" t="s">
        <v>70</v>
      </c>
      <c r="I864" s="2">
        <v>638.15</v>
      </c>
      <c r="J864" s="2">
        <v>4</v>
      </c>
      <c r="K864" s="2">
        <v>10</v>
      </c>
      <c r="L864" s="9">
        <f t="shared" si="53"/>
        <v>2552.6</v>
      </c>
      <c r="M864" s="9">
        <f t="shared" si="54"/>
        <v>255.26</v>
      </c>
      <c r="N864" s="10">
        <f t="shared" si="55"/>
        <v>2297.34</v>
      </c>
      <c r="O864" s="2" t="s">
        <v>17</v>
      </c>
      <c r="P864" s="2" t="s">
        <v>52</v>
      </c>
      <c r="Q864" s="2" t="s">
        <v>34</v>
      </c>
    </row>
    <row r="865" spans="1:17" x14ac:dyDescent="0.25">
      <c r="A865" s="3" t="s">
        <v>1223</v>
      </c>
      <c r="B865" s="4">
        <v>45904</v>
      </c>
      <c r="C865" s="4" t="str">
        <f t="shared" si="52"/>
        <v>Sep</v>
      </c>
      <c r="D865" s="3" t="s">
        <v>759</v>
      </c>
      <c r="E865" s="3" t="s">
        <v>76</v>
      </c>
      <c r="F865" s="3" t="s">
        <v>77</v>
      </c>
      <c r="G865" s="3" t="s">
        <v>31</v>
      </c>
      <c r="H865" s="3" t="s">
        <v>186</v>
      </c>
      <c r="I865" s="3">
        <v>721.19</v>
      </c>
      <c r="J865" s="3">
        <v>2</v>
      </c>
      <c r="K865" s="3">
        <v>10</v>
      </c>
      <c r="L865" s="9">
        <f t="shared" si="53"/>
        <v>1442.38</v>
      </c>
      <c r="M865" s="9">
        <f t="shared" si="54"/>
        <v>144.238</v>
      </c>
      <c r="N865" s="10">
        <f t="shared" si="55"/>
        <v>1298.1420000000001</v>
      </c>
      <c r="O865" s="3" t="s">
        <v>68</v>
      </c>
      <c r="P865" s="3" t="s">
        <v>39</v>
      </c>
      <c r="Q865" s="3" t="s">
        <v>60</v>
      </c>
    </row>
    <row r="866" spans="1:17" x14ac:dyDescent="0.25">
      <c r="A866" s="2" t="s">
        <v>1224</v>
      </c>
      <c r="B866" s="4">
        <v>45905</v>
      </c>
      <c r="C866" s="4" t="str">
        <f t="shared" si="52"/>
        <v>Sep</v>
      </c>
      <c r="D866" s="2" t="s">
        <v>258</v>
      </c>
      <c r="E866" s="2" t="s">
        <v>87</v>
      </c>
      <c r="F866" s="2" t="s">
        <v>88</v>
      </c>
      <c r="G866" s="2" t="s">
        <v>110</v>
      </c>
      <c r="H866" s="2" t="s">
        <v>67</v>
      </c>
      <c r="I866" s="2">
        <v>4464.18</v>
      </c>
      <c r="J866" s="2">
        <v>5</v>
      </c>
      <c r="K866" s="2">
        <v>0</v>
      </c>
      <c r="L866" s="9">
        <f t="shared" si="53"/>
        <v>22320.9</v>
      </c>
      <c r="M866" s="9">
        <f t="shared" si="54"/>
        <v>0</v>
      </c>
      <c r="N866" s="10">
        <f t="shared" si="55"/>
        <v>22320.9</v>
      </c>
      <c r="O866" s="2" t="s">
        <v>68</v>
      </c>
      <c r="P866" s="2" t="s">
        <v>18</v>
      </c>
      <c r="Q866" s="2" t="s">
        <v>60</v>
      </c>
    </row>
    <row r="867" spans="1:17" x14ac:dyDescent="0.25">
      <c r="A867" s="3" t="s">
        <v>1225</v>
      </c>
      <c r="B867" s="4">
        <v>45906</v>
      </c>
      <c r="C867" s="4" t="str">
        <f t="shared" si="52"/>
        <v>Sep</v>
      </c>
      <c r="D867" s="3" t="s">
        <v>150</v>
      </c>
      <c r="E867" s="3" t="s">
        <v>47</v>
      </c>
      <c r="F867" s="3" t="s">
        <v>48</v>
      </c>
      <c r="G867" s="3" t="s">
        <v>43</v>
      </c>
      <c r="H867" s="3" t="s">
        <v>89</v>
      </c>
      <c r="I867" s="3">
        <v>4791.09</v>
      </c>
      <c r="J867" s="3">
        <v>2</v>
      </c>
      <c r="K867" s="3">
        <v>15</v>
      </c>
      <c r="L867" s="9">
        <f t="shared" si="53"/>
        <v>9582.18</v>
      </c>
      <c r="M867" s="9">
        <f t="shared" si="54"/>
        <v>1437.3270000000002</v>
      </c>
      <c r="N867" s="10">
        <f t="shared" si="55"/>
        <v>8144.8530000000001</v>
      </c>
      <c r="O867" s="3" t="s">
        <v>26</v>
      </c>
      <c r="P867" s="3" t="s">
        <v>18</v>
      </c>
      <c r="Q867" s="3" t="s">
        <v>19</v>
      </c>
    </row>
    <row r="868" spans="1:17" x14ac:dyDescent="0.25">
      <c r="A868" s="2" t="s">
        <v>1226</v>
      </c>
      <c r="B868" s="4">
        <v>45907</v>
      </c>
      <c r="C868" s="4" t="str">
        <f t="shared" si="52"/>
        <v>Sep</v>
      </c>
      <c r="D868" s="2" t="s">
        <v>796</v>
      </c>
      <c r="E868" s="2" t="s">
        <v>65</v>
      </c>
      <c r="F868" s="2" t="s">
        <v>66</v>
      </c>
      <c r="G868" s="2" t="s">
        <v>15</v>
      </c>
      <c r="H868" s="2" t="s">
        <v>163</v>
      </c>
      <c r="I868" s="2">
        <v>2599.2600000000002</v>
      </c>
      <c r="J868" s="2">
        <v>1</v>
      </c>
      <c r="K868" s="2">
        <v>0</v>
      </c>
      <c r="L868" s="9">
        <f t="shared" si="53"/>
        <v>2599.2600000000002</v>
      </c>
      <c r="M868" s="9">
        <f t="shared" si="54"/>
        <v>0</v>
      </c>
      <c r="N868" s="10">
        <f t="shared" si="55"/>
        <v>2599.2600000000002</v>
      </c>
      <c r="O868" s="2" t="s">
        <v>68</v>
      </c>
      <c r="P868" s="2" t="s">
        <v>18</v>
      </c>
      <c r="Q868" s="2" t="s">
        <v>53</v>
      </c>
    </row>
    <row r="869" spans="1:17" x14ac:dyDescent="0.25">
      <c r="A869" s="3" t="s">
        <v>1227</v>
      </c>
      <c r="B869" s="4">
        <v>45908</v>
      </c>
      <c r="C869" s="4" t="str">
        <f t="shared" si="52"/>
        <v>Sep</v>
      </c>
      <c r="D869" s="3" t="s">
        <v>555</v>
      </c>
      <c r="E869" s="3" t="s">
        <v>47</v>
      </c>
      <c r="F869" s="3" t="s">
        <v>48</v>
      </c>
      <c r="G869" s="3" t="s">
        <v>15</v>
      </c>
      <c r="H869" s="3" t="s">
        <v>198</v>
      </c>
      <c r="I869" s="3">
        <v>831.69</v>
      </c>
      <c r="J869" s="3">
        <v>2</v>
      </c>
      <c r="K869" s="3">
        <v>0</v>
      </c>
      <c r="L869" s="9">
        <f t="shared" si="53"/>
        <v>1663.38</v>
      </c>
      <c r="M869" s="9">
        <f t="shared" si="54"/>
        <v>0</v>
      </c>
      <c r="N869" s="10">
        <f t="shared" si="55"/>
        <v>1663.38</v>
      </c>
      <c r="O869" s="3" t="s">
        <v>33</v>
      </c>
      <c r="P869" s="3" t="s">
        <v>39</v>
      </c>
      <c r="Q869" s="3" t="s">
        <v>19</v>
      </c>
    </row>
    <row r="870" spans="1:17" x14ac:dyDescent="0.25">
      <c r="A870" s="2" t="s">
        <v>1228</v>
      </c>
      <c r="B870" s="4">
        <v>45909</v>
      </c>
      <c r="C870" s="4" t="str">
        <f t="shared" si="52"/>
        <v>Sep</v>
      </c>
      <c r="D870" s="2" t="s">
        <v>451</v>
      </c>
      <c r="E870" s="2" t="s">
        <v>22</v>
      </c>
      <c r="F870" s="2" t="s">
        <v>23</v>
      </c>
      <c r="G870" s="2" t="s">
        <v>110</v>
      </c>
      <c r="H870" s="2" t="s">
        <v>215</v>
      </c>
      <c r="I870" s="2">
        <v>2455.0500000000002</v>
      </c>
      <c r="J870" s="2">
        <v>2</v>
      </c>
      <c r="K870" s="2">
        <v>5</v>
      </c>
      <c r="L870" s="9">
        <f t="shared" si="53"/>
        <v>4910.1000000000004</v>
      </c>
      <c r="M870" s="9">
        <f t="shared" si="54"/>
        <v>245.505</v>
      </c>
      <c r="N870" s="10">
        <f t="shared" si="55"/>
        <v>4664.5950000000003</v>
      </c>
      <c r="O870" s="2" t="s">
        <v>26</v>
      </c>
      <c r="P870" s="2" t="s">
        <v>52</v>
      </c>
      <c r="Q870" s="2" t="s">
        <v>40</v>
      </c>
    </row>
    <row r="871" spans="1:17" x14ac:dyDescent="0.25">
      <c r="A871" s="3" t="s">
        <v>1229</v>
      </c>
      <c r="B871" s="4">
        <v>45910</v>
      </c>
      <c r="C871" s="4" t="str">
        <f t="shared" si="52"/>
        <v>Sep</v>
      </c>
      <c r="D871" s="3" t="s">
        <v>821</v>
      </c>
      <c r="E871" s="3" t="s">
        <v>76</v>
      </c>
      <c r="F871" s="3" t="s">
        <v>77</v>
      </c>
      <c r="G871" s="3" t="s">
        <v>43</v>
      </c>
      <c r="H871" s="3" t="s">
        <v>105</v>
      </c>
      <c r="I871" s="3">
        <v>2937.74</v>
      </c>
      <c r="J871" s="3">
        <v>2</v>
      </c>
      <c r="K871" s="3">
        <v>0</v>
      </c>
      <c r="L871" s="9">
        <f t="shared" si="53"/>
        <v>5875.48</v>
      </c>
      <c r="M871" s="9">
        <f t="shared" si="54"/>
        <v>0</v>
      </c>
      <c r="N871" s="10">
        <f t="shared" si="55"/>
        <v>5875.48</v>
      </c>
      <c r="O871" s="3" t="s">
        <v>68</v>
      </c>
      <c r="P871" s="3" t="s">
        <v>18</v>
      </c>
      <c r="Q871" s="3" t="s">
        <v>34</v>
      </c>
    </row>
    <row r="872" spans="1:17" x14ac:dyDescent="0.25">
      <c r="A872" s="2" t="s">
        <v>1230</v>
      </c>
      <c r="B872" s="4">
        <v>45911</v>
      </c>
      <c r="C872" s="4" t="str">
        <f t="shared" si="52"/>
        <v>Sep</v>
      </c>
      <c r="D872" s="2" t="s">
        <v>219</v>
      </c>
      <c r="E872" s="2" t="s">
        <v>87</v>
      </c>
      <c r="F872" s="2" t="s">
        <v>88</v>
      </c>
      <c r="G872" s="2" t="s">
        <v>15</v>
      </c>
      <c r="H872" s="2" t="s">
        <v>95</v>
      </c>
      <c r="I872" s="2">
        <v>1196.3399999999999</v>
      </c>
      <c r="J872" s="2">
        <v>1</v>
      </c>
      <c r="K872" s="2">
        <v>15</v>
      </c>
      <c r="L872" s="9">
        <f t="shared" si="53"/>
        <v>1196.3399999999999</v>
      </c>
      <c r="M872" s="9">
        <f t="shared" si="54"/>
        <v>179.45099999999999</v>
      </c>
      <c r="N872" s="10">
        <f t="shared" si="55"/>
        <v>1016.8889999999999</v>
      </c>
      <c r="O872" s="2" t="s">
        <v>17</v>
      </c>
      <c r="P872" s="2" t="s">
        <v>27</v>
      </c>
      <c r="Q872" s="2" t="s">
        <v>53</v>
      </c>
    </row>
    <row r="873" spans="1:17" x14ac:dyDescent="0.25">
      <c r="A873" s="3" t="s">
        <v>1231</v>
      </c>
      <c r="B873" s="4">
        <v>45912</v>
      </c>
      <c r="C873" s="4" t="str">
        <f t="shared" si="52"/>
        <v>Sep</v>
      </c>
      <c r="D873" s="3" t="s">
        <v>660</v>
      </c>
      <c r="E873" s="3" t="s">
        <v>76</v>
      </c>
      <c r="F873" s="3" t="s">
        <v>77</v>
      </c>
      <c r="G873" s="3" t="s">
        <v>72</v>
      </c>
      <c r="H873" s="3" t="s">
        <v>137</v>
      </c>
      <c r="I873" s="3">
        <v>2350.29</v>
      </c>
      <c r="J873" s="3">
        <v>2</v>
      </c>
      <c r="K873" s="3">
        <v>0</v>
      </c>
      <c r="L873" s="9">
        <f t="shared" si="53"/>
        <v>4700.58</v>
      </c>
      <c r="M873" s="9">
        <f t="shared" si="54"/>
        <v>0</v>
      </c>
      <c r="N873" s="10">
        <f t="shared" si="55"/>
        <v>4700.58</v>
      </c>
      <c r="O873" s="3" t="s">
        <v>17</v>
      </c>
      <c r="P873" s="3" t="s">
        <v>18</v>
      </c>
      <c r="Q873" s="3" t="s">
        <v>53</v>
      </c>
    </row>
    <row r="874" spans="1:17" x14ac:dyDescent="0.25">
      <c r="A874" s="2" t="s">
        <v>1232</v>
      </c>
      <c r="B874" s="4">
        <v>45913</v>
      </c>
      <c r="C874" s="4" t="str">
        <f t="shared" si="52"/>
        <v>Sep</v>
      </c>
      <c r="D874" s="2" t="s">
        <v>203</v>
      </c>
      <c r="E874" s="2" t="s">
        <v>65</v>
      </c>
      <c r="F874" s="2" t="s">
        <v>66</v>
      </c>
      <c r="G874" s="2" t="s">
        <v>24</v>
      </c>
      <c r="H874" s="2" t="s">
        <v>92</v>
      </c>
      <c r="I874" s="2">
        <v>1551.42</v>
      </c>
      <c r="J874" s="2">
        <v>1</v>
      </c>
      <c r="K874" s="2">
        <v>0</v>
      </c>
      <c r="L874" s="9">
        <f t="shared" si="53"/>
        <v>1551.42</v>
      </c>
      <c r="M874" s="9">
        <f t="shared" si="54"/>
        <v>0</v>
      </c>
      <c r="N874" s="10">
        <f t="shared" si="55"/>
        <v>1551.42</v>
      </c>
      <c r="O874" s="2" t="s">
        <v>38</v>
      </c>
      <c r="P874" s="2" t="s">
        <v>18</v>
      </c>
      <c r="Q874" s="2" t="s">
        <v>60</v>
      </c>
    </row>
    <row r="875" spans="1:17" x14ac:dyDescent="0.25">
      <c r="A875" s="3" t="s">
        <v>1233</v>
      </c>
      <c r="B875" s="4">
        <v>45914</v>
      </c>
      <c r="C875" s="4" t="str">
        <f t="shared" si="52"/>
        <v>Sep</v>
      </c>
      <c r="D875" s="3" t="s">
        <v>188</v>
      </c>
      <c r="E875" s="3" t="s">
        <v>13</v>
      </c>
      <c r="F875" s="3" t="s">
        <v>14</v>
      </c>
      <c r="G875" s="3" t="s">
        <v>15</v>
      </c>
      <c r="H875" s="3" t="s">
        <v>56</v>
      </c>
      <c r="I875" s="3">
        <v>1697.82</v>
      </c>
      <c r="J875" s="3">
        <v>1</v>
      </c>
      <c r="K875" s="3">
        <v>5</v>
      </c>
      <c r="L875" s="9">
        <f t="shared" si="53"/>
        <v>1697.82</v>
      </c>
      <c r="M875" s="9">
        <f t="shared" si="54"/>
        <v>84.891000000000005</v>
      </c>
      <c r="N875" s="10">
        <f t="shared" si="55"/>
        <v>1612.9289999999999</v>
      </c>
      <c r="O875" s="3" t="s">
        <v>17</v>
      </c>
      <c r="P875" s="3" t="s">
        <v>27</v>
      </c>
      <c r="Q875" s="3" t="s">
        <v>40</v>
      </c>
    </row>
    <row r="876" spans="1:17" x14ac:dyDescent="0.25">
      <c r="A876" s="2" t="s">
        <v>1234</v>
      </c>
      <c r="B876" s="4">
        <v>45915</v>
      </c>
      <c r="C876" s="4" t="str">
        <f t="shared" si="52"/>
        <v>Sep</v>
      </c>
      <c r="D876" s="2" t="s">
        <v>576</v>
      </c>
      <c r="E876" s="2" t="s">
        <v>76</v>
      </c>
      <c r="F876" s="2" t="s">
        <v>77</v>
      </c>
      <c r="G876" s="2" t="s">
        <v>36</v>
      </c>
      <c r="H876" s="2" t="s">
        <v>113</v>
      </c>
      <c r="I876" s="2">
        <v>108111.98</v>
      </c>
      <c r="J876" s="2">
        <v>4</v>
      </c>
      <c r="K876" s="2">
        <v>0</v>
      </c>
      <c r="L876" s="9">
        <f t="shared" si="53"/>
        <v>432447.92</v>
      </c>
      <c r="M876" s="9">
        <f t="shared" si="54"/>
        <v>0</v>
      </c>
      <c r="N876" s="10">
        <f t="shared" si="55"/>
        <v>432447.92</v>
      </c>
      <c r="O876" s="2" t="s">
        <v>26</v>
      </c>
      <c r="P876" s="2" t="s">
        <v>18</v>
      </c>
      <c r="Q876" s="2" t="s">
        <v>53</v>
      </c>
    </row>
    <row r="877" spans="1:17" x14ac:dyDescent="0.25">
      <c r="A877" s="3" t="s">
        <v>1235</v>
      </c>
      <c r="B877" s="4">
        <v>45916</v>
      </c>
      <c r="C877" s="4" t="str">
        <f t="shared" si="52"/>
        <v>Sep</v>
      </c>
      <c r="D877" s="3" t="s">
        <v>433</v>
      </c>
      <c r="E877" s="3" t="s">
        <v>65</v>
      </c>
      <c r="F877" s="3" t="s">
        <v>66</v>
      </c>
      <c r="G877" s="3" t="s">
        <v>36</v>
      </c>
      <c r="H877" s="3" t="s">
        <v>78</v>
      </c>
      <c r="I877" s="3">
        <v>82230.98</v>
      </c>
      <c r="J877" s="3">
        <v>2</v>
      </c>
      <c r="K877" s="3">
        <v>15</v>
      </c>
      <c r="L877" s="9">
        <f t="shared" si="53"/>
        <v>164461.96</v>
      </c>
      <c r="M877" s="9">
        <f t="shared" si="54"/>
        <v>24669.293999999998</v>
      </c>
      <c r="N877" s="10">
        <f t="shared" si="55"/>
        <v>139792.666</v>
      </c>
      <c r="O877" s="3" t="s">
        <v>68</v>
      </c>
      <c r="P877" s="3" t="s">
        <v>18</v>
      </c>
      <c r="Q877" s="3" t="s">
        <v>40</v>
      </c>
    </row>
    <row r="878" spans="1:17" x14ac:dyDescent="0.25">
      <c r="A878" s="2" t="s">
        <v>1236</v>
      </c>
      <c r="B878" s="4">
        <v>45917</v>
      </c>
      <c r="C878" s="4" t="str">
        <f t="shared" si="52"/>
        <v>Sep</v>
      </c>
      <c r="D878" s="2" t="s">
        <v>326</v>
      </c>
      <c r="E878" s="2" t="s">
        <v>100</v>
      </c>
      <c r="F878" s="2" t="s">
        <v>88</v>
      </c>
      <c r="G878" s="2" t="s">
        <v>36</v>
      </c>
      <c r="H878" s="2" t="s">
        <v>37</v>
      </c>
      <c r="I878" s="2">
        <v>12030</v>
      </c>
      <c r="J878" s="2">
        <v>3</v>
      </c>
      <c r="K878" s="2">
        <v>10</v>
      </c>
      <c r="L878" s="9">
        <f t="shared" si="53"/>
        <v>36090</v>
      </c>
      <c r="M878" s="9">
        <f t="shared" si="54"/>
        <v>3609</v>
      </c>
      <c r="N878" s="10">
        <f t="shared" si="55"/>
        <v>32481</v>
      </c>
      <c r="O878" s="2" t="s">
        <v>17</v>
      </c>
      <c r="P878" s="2" t="s">
        <v>27</v>
      </c>
      <c r="Q878" s="2" t="s">
        <v>53</v>
      </c>
    </row>
    <row r="879" spans="1:17" x14ac:dyDescent="0.25">
      <c r="A879" s="3" t="s">
        <v>1237</v>
      </c>
      <c r="B879" s="4">
        <v>45918</v>
      </c>
      <c r="C879" s="4" t="str">
        <f t="shared" si="52"/>
        <v>Sep</v>
      </c>
      <c r="D879" s="3" t="s">
        <v>759</v>
      </c>
      <c r="E879" s="3" t="s">
        <v>65</v>
      </c>
      <c r="F879" s="3" t="s">
        <v>66</v>
      </c>
      <c r="G879" s="3" t="s">
        <v>43</v>
      </c>
      <c r="H879" s="3" t="s">
        <v>44</v>
      </c>
      <c r="I879" s="3">
        <v>3312.69</v>
      </c>
      <c r="J879" s="3">
        <v>1</v>
      </c>
      <c r="K879" s="3">
        <v>5</v>
      </c>
      <c r="L879" s="9">
        <f t="shared" si="53"/>
        <v>3312.69</v>
      </c>
      <c r="M879" s="9">
        <f t="shared" si="54"/>
        <v>165.6345</v>
      </c>
      <c r="N879" s="10">
        <f t="shared" si="55"/>
        <v>3147.0554999999999</v>
      </c>
      <c r="O879" s="3" t="s">
        <v>38</v>
      </c>
      <c r="P879" s="3" t="s">
        <v>18</v>
      </c>
      <c r="Q879" s="3" t="s">
        <v>40</v>
      </c>
    </row>
    <row r="880" spans="1:17" x14ac:dyDescent="0.25">
      <c r="A880" s="2" t="s">
        <v>1238</v>
      </c>
      <c r="B880" s="4">
        <v>45919</v>
      </c>
      <c r="C880" s="4" t="str">
        <f t="shared" si="52"/>
        <v>Sep</v>
      </c>
      <c r="D880" s="2" t="s">
        <v>336</v>
      </c>
      <c r="E880" s="2" t="s">
        <v>13</v>
      </c>
      <c r="F880" s="2" t="s">
        <v>14</v>
      </c>
      <c r="G880" s="2" t="s">
        <v>43</v>
      </c>
      <c r="H880" s="2" t="s">
        <v>127</v>
      </c>
      <c r="I880" s="2">
        <v>5454.65</v>
      </c>
      <c r="J880" s="2">
        <v>1</v>
      </c>
      <c r="K880" s="2">
        <v>0</v>
      </c>
      <c r="L880" s="9">
        <f t="shared" si="53"/>
        <v>5454.65</v>
      </c>
      <c r="M880" s="9">
        <f t="shared" si="54"/>
        <v>0</v>
      </c>
      <c r="N880" s="10">
        <f t="shared" si="55"/>
        <v>5454.65</v>
      </c>
      <c r="O880" s="2" t="s">
        <v>38</v>
      </c>
      <c r="P880" s="2" t="s">
        <v>27</v>
      </c>
      <c r="Q880" s="2" t="s">
        <v>19</v>
      </c>
    </row>
    <row r="881" spans="1:17" x14ac:dyDescent="0.25">
      <c r="A881" s="3" t="s">
        <v>1239</v>
      </c>
      <c r="B881" s="4">
        <v>45920</v>
      </c>
      <c r="C881" s="4" t="str">
        <f t="shared" si="52"/>
        <v>Sep</v>
      </c>
      <c r="D881" s="3" t="s">
        <v>1240</v>
      </c>
      <c r="E881" s="3" t="s">
        <v>51</v>
      </c>
      <c r="F881" s="3" t="s">
        <v>14</v>
      </c>
      <c r="G881" s="3" t="s">
        <v>43</v>
      </c>
      <c r="H881" s="3" t="s">
        <v>105</v>
      </c>
      <c r="I881" s="3">
        <v>2949.83</v>
      </c>
      <c r="J881" s="3">
        <v>4</v>
      </c>
      <c r="K881" s="3">
        <v>0</v>
      </c>
      <c r="L881" s="9">
        <f t="shared" si="53"/>
        <v>11799.32</v>
      </c>
      <c r="M881" s="9">
        <f t="shared" si="54"/>
        <v>0</v>
      </c>
      <c r="N881" s="10">
        <f t="shared" si="55"/>
        <v>11799.32</v>
      </c>
      <c r="O881" s="3" t="s">
        <v>17</v>
      </c>
      <c r="P881" s="3" t="s">
        <v>39</v>
      </c>
      <c r="Q881" s="3" t="s">
        <v>19</v>
      </c>
    </row>
    <row r="882" spans="1:17" x14ac:dyDescent="0.25">
      <c r="A882" s="2" t="s">
        <v>1241</v>
      </c>
      <c r="B882" s="4">
        <v>45921</v>
      </c>
      <c r="C882" s="4" t="str">
        <f t="shared" si="52"/>
        <v>Sep</v>
      </c>
      <c r="D882" s="2" t="s">
        <v>1242</v>
      </c>
      <c r="E882" s="2" t="s">
        <v>29</v>
      </c>
      <c r="F882" s="2" t="s">
        <v>30</v>
      </c>
      <c r="G882" s="2" t="s">
        <v>31</v>
      </c>
      <c r="H882" s="2" t="s">
        <v>70</v>
      </c>
      <c r="I882" s="2">
        <v>621.35</v>
      </c>
      <c r="J882" s="2">
        <v>2</v>
      </c>
      <c r="K882" s="2">
        <v>15</v>
      </c>
      <c r="L882" s="9">
        <f t="shared" si="53"/>
        <v>1242.7</v>
      </c>
      <c r="M882" s="9">
        <f t="shared" si="54"/>
        <v>186.405</v>
      </c>
      <c r="N882" s="10">
        <f t="shared" si="55"/>
        <v>1056.2950000000001</v>
      </c>
      <c r="O882" s="2" t="s">
        <v>26</v>
      </c>
      <c r="P882" s="2" t="s">
        <v>27</v>
      </c>
      <c r="Q882" s="2" t="s">
        <v>34</v>
      </c>
    </row>
    <row r="883" spans="1:17" x14ac:dyDescent="0.25">
      <c r="A883" s="3" t="s">
        <v>1243</v>
      </c>
      <c r="B883" s="4">
        <v>45922</v>
      </c>
      <c r="C883" s="4" t="str">
        <f t="shared" si="52"/>
        <v>Sep</v>
      </c>
      <c r="D883" s="3" t="s">
        <v>919</v>
      </c>
      <c r="E883" s="3" t="s">
        <v>87</v>
      </c>
      <c r="F883" s="3" t="s">
        <v>88</v>
      </c>
      <c r="G883" s="3" t="s">
        <v>36</v>
      </c>
      <c r="H883" s="3" t="s">
        <v>113</v>
      </c>
      <c r="I883" s="3">
        <v>129890.48</v>
      </c>
      <c r="J883" s="3">
        <v>4</v>
      </c>
      <c r="K883" s="3">
        <v>10</v>
      </c>
      <c r="L883" s="9">
        <f t="shared" si="53"/>
        <v>519561.92</v>
      </c>
      <c r="M883" s="9">
        <f t="shared" si="54"/>
        <v>51956.192000000003</v>
      </c>
      <c r="N883" s="10">
        <f t="shared" si="55"/>
        <v>467605.728</v>
      </c>
      <c r="O883" s="3" t="s">
        <v>17</v>
      </c>
      <c r="P883" s="3" t="s">
        <v>27</v>
      </c>
      <c r="Q883" s="3" t="s">
        <v>53</v>
      </c>
    </row>
    <row r="884" spans="1:17" x14ac:dyDescent="0.25">
      <c r="A884" s="2" t="s">
        <v>1244</v>
      </c>
      <c r="B884" s="4">
        <v>45923</v>
      </c>
      <c r="C884" s="4" t="str">
        <f t="shared" si="52"/>
        <v>Sep</v>
      </c>
      <c r="D884" s="2" t="s">
        <v>504</v>
      </c>
      <c r="E884" s="2" t="s">
        <v>13</v>
      </c>
      <c r="F884" s="2" t="s">
        <v>14</v>
      </c>
      <c r="G884" s="2" t="s">
        <v>24</v>
      </c>
      <c r="H884" s="2" t="s">
        <v>92</v>
      </c>
      <c r="I884" s="2">
        <v>1534.9</v>
      </c>
      <c r="J884" s="2">
        <v>1</v>
      </c>
      <c r="K884" s="2">
        <v>0</v>
      </c>
      <c r="L884" s="9">
        <f t="shared" si="53"/>
        <v>1534.9</v>
      </c>
      <c r="M884" s="9">
        <f t="shared" si="54"/>
        <v>0</v>
      </c>
      <c r="N884" s="10">
        <f t="shared" si="55"/>
        <v>1534.9</v>
      </c>
      <c r="O884" s="2" t="s">
        <v>26</v>
      </c>
      <c r="P884" s="2" t="s">
        <v>27</v>
      </c>
      <c r="Q884" s="2" t="s">
        <v>60</v>
      </c>
    </row>
    <row r="885" spans="1:17" x14ac:dyDescent="0.25">
      <c r="A885" s="3" t="s">
        <v>1245</v>
      </c>
      <c r="B885" s="4">
        <v>45924</v>
      </c>
      <c r="C885" s="4" t="str">
        <f t="shared" si="52"/>
        <v>Sep</v>
      </c>
      <c r="D885" s="3" t="s">
        <v>1246</v>
      </c>
      <c r="E885" s="3" t="s">
        <v>13</v>
      </c>
      <c r="F885" s="3" t="s">
        <v>14</v>
      </c>
      <c r="G885" s="3" t="s">
        <v>24</v>
      </c>
      <c r="H885" s="3" t="s">
        <v>108</v>
      </c>
      <c r="I885" s="3">
        <v>7997.96</v>
      </c>
      <c r="J885" s="3">
        <v>2</v>
      </c>
      <c r="K885" s="3">
        <v>0</v>
      </c>
      <c r="L885" s="9">
        <f t="shared" si="53"/>
        <v>15995.92</v>
      </c>
      <c r="M885" s="9">
        <f t="shared" si="54"/>
        <v>0</v>
      </c>
      <c r="N885" s="10">
        <f t="shared" si="55"/>
        <v>15995.92</v>
      </c>
      <c r="O885" s="3" t="s">
        <v>33</v>
      </c>
      <c r="P885" s="3" t="s">
        <v>18</v>
      </c>
      <c r="Q885" s="3" t="s">
        <v>40</v>
      </c>
    </row>
    <row r="886" spans="1:17" x14ac:dyDescent="0.25">
      <c r="A886" s="2" t="s">
        <v>1247</v>
      </c>
      <c r="B886" s="4">
        <v>45925</v>
      </c>
      <c r="C886" s="4" t="str">
        <f t="shared" si="52"/>
        <v>Sep</v>
      </c>
      <c r="D886" s="2" t="s">
        <v>205</v>
      </c>
      <c r="E886" s="2" t="s">
        <v>76</v>
      </c>
      <c r="F886" s="2" t="s">
        <v>77</v>
      </c>
      <c r="G886" s="2" t="s">
        <v>15</v>
      </c>
      <c r="H886" s="2" t="s">
        <v>16</v>
      </c>
      <c r="I886" s="2">
        <v>1390.28</v>
      </c>
      <c r="J886" s="2">
        <v>3</v>
      </c>
      <c r="K886" s="2">
        <v>15</v>
      </c>
      <c r="L886" s="9">
        <f t="shared" si="53"/>
        <v>4170.84</v>
      </c>
      <c r="M886" s="9">
        <f t="shared" si="54"/>
        <v>625.62600000000009</v>
      </c>
      <c r="N886" s="10">
        <f t="shared" si="55"/>
        <v>3545.2139999999999</v>
      </c>
      <c r="O886" s="2" t="s">
        <v>68</v>
      </c>
      <c r="P886" s="2" t="s">
        <v>52</v>
      </c>
      <c r="Q886" s="2" t="s">
        <v>60</v>
      </c>
    </row>
    <row r="887" spans="1:17" x14ac:dyDescent="0.25">
      <c r="A887" s="3" t="s">
        <v>1248</v>
      </c>
      <c r="B887" s="4">
        <v>45926</v>
      </c>
      <c r="C887" s="4" t="str">
        <f t="shared" si="52"/>
        <v>Sep</v>
      </c>
      <c r="D887" s="3" t="s">
        <v>234</v>
      </c>
      <c r="E887" s="3" t="s">
        <v>51</v>
      </c>
      <c r="F887" s="3" t="s">
        <v>14</v>
      </c>
      <c r="G887" s="3" t="s">
        <v>72</v>
      </c>
      <c r="H887" s="3" t="s">
        <v>137</v>
      </c>
      <c r="I887" s="3">
        <v>2130.8000000000002</v>
      </c>
      <c r="J887" s="3">
        <v>2</v>
      </c>
      <c r="K887" s="3">
        <v>15</v>
      </c>
      <c r="L887" s="9">
        <f t="shared" si="53"/>
        <v>4261.6000000000004</v>
      </c>
      <c r="M887" s="9">
        <f t="shared" si="54"/>
        <v>639.24000000000012</v>
      </c>
      <c r="N887" s="10">
        <f t="shared" si="55"/>
        <v>3622.36</v>
      </c>
      <c r="O887" s="3" t="s">
        <v>68</v>
      </c>
      <c r="P887" s="3" t="s">
        <v>27</v>
      </c>
      <c r="Q887" s="3" t="s">
        <v>53</v>
      </c>
    </row>
    <row r="888" spans="1:17" x14ac:dyDescent="0.25">
      <c r="A888" s="2" t="s">
        <v>1249</v>
      </c>
      <c r="B888" s="4">
        <v>45927</v>
      </c>
      <c r="C888" s="4" t="str">
        <f t="shared" si="52"/>
        <v>Sep</v>
      </c>
      <c r="D888" s="2" t="s">
        <v>150</v>
      </c>
      <c r="E888" s="2" t="s">
        <v>51</v>
      </c>
      <c r="F888" s="2" t="s">
        <v>14</v>
      </c>
      <c r="G888" s="2" t="s">
        <v>110</v>
      </c>
      <c r="H888" s="2" t="s">
        <v>67</v>
      </c>
      <c r="I888" s="2">
        <v>4519.32</v>
      </c>
      <c r="J888" s="2">
        <v>2</v>
      </c>
      <c r="K888" s="2">
        <v>0</v>
      </c>
      <c r="L888" s="9">
        <f t="shared" si="53"/>
        <v>9038.64</v>
      </c>
      <c r="M888" s="9">
        <f t="shared" si="54"/>
        <v>0</v>
      </c>
      <c r="N888" s="10">
        <f t="shared" si="55"/>
        <v>9038.64</v>
      </c>
      <c r="O888" s="2" t="s">
        <v>68</v>
      </c>
      <c r="P888" s="2" t="s">
        <v>18</v>
      </c>
      <c r="Q888" s="2" t="s">
        <v>60</v>
      </c>
    </row>
    <row r="889" spans="1:17" x14ac:dyDescent="0.25">
      <c r="A889" s="3" t="s">
        <v>1250</v>
      </c>
      <c r="B889" s="4">
        <v>45928</v>
      </c>
      <c r="C889" s="4" t="str">
        <f t="shared" si="52"/>
        <v>Sep</v>
      </c>
      <c r="D889" s="3" t="s">
        <v>553</v>
      </c>
      <c r="E889" s="3" t="s">
        <v>100</v>
      </c>
      <c r="F889" s="3" t="s">
        <v>88</v>
      </c>
      <c r="G889" s="3" t="s">
        <v>24</v>
      </c>
      <c r="H889" s="3" t="s">
        <v>25</v>
      </c>
      <c r="I889" s="3">
        <v>4132.58</v>
      </c>
      <c r="J889" s="3">
        <v>5</v>
      </c>
      <c r="K889" s="3">
        <v>0</v>
      </c>
      <c r="L889" s="9">
        <f t="shared" si="53"/>
        <v>20662.900000000001</v>
      </c>
      <c r="M889" s="9">
        <f t="shared" si="54"/>
        <v>0</v>
      </c>
      <c r="N889" s="10">
        <f t="shared" si="55"/>
        <v>20662.900000000001</v>
      </c>
      <c r="O889" s="3" t="s">
        <v>26</v>
      </c>
      <c r="P889" s="3" t="s">
        <v>18</v>
      </c>
      <c r="Q889" s="3" t="s">
        <v>19</v>
      </c>
    </row>
    <row r="890" spans="1:17" x14ac:dyDescent="0.25">
      <c r="A890" s="2" t="s">
        <v>1251</v>
      </c>
      <c r="B890" s="4">
        <v>45929</v>
      </c>
      <c r="C890" s="4" t="str">
        <f t="shared" si="52"/>
        <v>Sep</v>
      </c>
      <c r="D890" s="2" t="s">
        <v>539</v>
      </c>
      <c r="E890" s="2" t="s">
        <v>76</v>
      </c>
      <c r="F890" s="2" t="s">
        <v>77</v>
      </c>
      <c r="G890" s="2" t="s">
        <v>31</v>
      </c>
      <c r="H890" s="2" t="s">
        <v>186</v>
      </c>
      <c r="I890" s="2">
        <v>835.47</v>
      </c>
      <c r="J890" s="2">
        <v>2</v>
      </c>
      <c r="K890" s="2">
        <v>0</v>
      </c>
      <c r="L890" s="9">
        <f t="shared" si="53"/>
        <v>1670.94</v>
      </c>
      <c r="M890" s="9">
        <f t="shared" si="54"/>
        <v>0</v>
      </c>
      <c r="N890" s="10">
        <f t="shared" si="55"/>
        <v>1670.94</v>
      </c>
      <c r="O890" s="2" t="s">
        <v>26</v>
      </c>
      <c r="P890" s="2" t="s">
        <v>52</v>
      </c>
      <c r="Q890" s="2" t="s">
        <v>53</v>
      </c>
    </row>
    <row r="891" spans="1:17" x14ac:dyDescent="0.25">
      <c r="A891" s="3" t="s">
        <v>1252</v>
      </c>
      <c r="B891" s="4">
        <v>45930</v>
      </c>
      <c r="C891" s="4" t="str">
        <f t="shared" si="52"/>
        <v>Sep</v>
      </c>
      <c r="D891" s="3" t="s">
        <v>120</v>
      </c>
      <c r="E891" s="3" t="s">
        <v>76</v>
      </c>
      <c r="F891" s="3" t="s">
        <v>77</v>
      </c>
      <c r="G891" s="3" t="s">
        <v>15</v>
      </c>
      <c r="H891" s="3" t="s">
        <v>163</v>
      </c>
      <c r="I891" s="3">
        <v>2385.9299999999998</v>
      </c>
      <c r="J891" s="3">
        <v>4</v>
      </c>
      <c r="K891" s="3">
        <v>0</v>
      </c>
      <c r="L891" s="9">
        <f t="shared" si="53"/>
        <v>9543.7199999999993</v>
      </c>
      <c r="M891" s="9">
        <f t="shared" si="54"/>
        <v>0</v>
      </c>
      <c r="N891" s="10">
        <f t="shared" si="55"/>
        <v>9543.7199999999993</v>
      </c>
      <c r="O891" s="3" t="s">
        <v>38</v>
      </c>
      <c r="P891" s="3" t="s">
        <v>18</v>
      </c>
      <c r="Q891" s="3" t="s">
        <v>60</v>
      </c>
    </row>
    <row r="892" spans="1:17" x14ac:dyDescent="0.25">
      <c r="A892" s="2" t="s">
        <v>1253</v>
      </c>
      <c r="B892" s="4">
        <v>45931</v>
      </c>
      <c r="C892" s="4" t="str">
        <f t="shared" si="52"/>
        <v>Oct</v>
      </c>
      <c r="D892" s="2" t="s">
        <v>155</v>
      </c>
      <c r="E892" s="2" t="s">
        <v>65</v>
      </c>
      <c r="F892" s="2" t="s">
        <v>66</v>
      </c>
      <c r="G892" s="2" t="s">
        <v>110</v>
      </c>
      <c r="H892" s="2" t="s">
        <v>111</v>
      </c>
      <c r="I892" s="2">
        <v>9946.36</v>
      </c>
      <c r="J892" s="2">
        <v>2</v>
      </c>
      <c r="K892" s="2">
        <v>5</v>
      </c>
      <c r="L892" s="9">
        <f t="shared" si="53"/>
        <v>19892.72</v>
      </c>
      <c r="M892" s="9">
        <f t="shared" si="54"/>
        <v>994.63600000000008</v>
      </c>
      <c r="N892" s="10">
        <f t="shared" si="55"/>
        <v>18898.084000000003</v>
      </c>
      <c r="O892" s="2" t="s">
        <v>68</v>
      </c>
      <c r="P892" s="2" t="s">
        <v>39</v>
      </c>
      <c r="Q892" s="2" t="s">
        <v>60</v>
      </c>
    </row>
    <row r="893" spans="1:17" x14ac:dyDescent="0.25">
      <c r="A893" s="3" t="s">
        <v>1254</v>
      </c>
      <c r="B893" s="4">
        <v>45932</v>
      </c>
      <c r="C893" s="4" t="str">
        <f t="shared" si="52"/>
        <v>Oct</v>
      </c>
      <c r="D893" s="3" t="s">
        <v>369</v>
      </c>
      <c r="E893" s="3" t="s">
        <v>29</v>
      </c>
      <c r="F893" s="3" t="s">
        <v>30</v>
      </c>
      <c r="G893" s="3" t="s">
        <v>110</v>
      </c>
      <c r="H893" s="3" t="s">
        <v>153</v>
      </c>
      <c r="I893" s="3">
        <v>3537</v>
      </c>
      <c r="J893" s="3">
        <v>2</v>
      </c>
      <c r="K893" s="3">
        <v>5</v>
      </c>
      <c r="L893" s="9">
        <f t="shared" si="53"/>
        <v>7074</v>
      </c>
      <c r="M893" s="9">
        <f t="shared" si="54"/>
        <v>353.7</v>
      </c>
      <c r="N893" s="10">
        <f t="shared" si="55"/>
        <v>6720.3</v>
      </c>
      <c r="O893" s="3" t="s">
        <v>33</v>
      </c>
      <c r="P893" s="3" t="s">
        <v>18</v>
      </c>
      <c r="Q893" s="3" t="s">
        <v>34</v>
      </c>
    </row>
    <row r="894" spans="1:17" x14ac:dyDescent="0.25">
      <c r="A894" s="2" t="s">
        <v>1255</v>
      </c>
      <c r="B894" s="4">
        <v>45933</v>
      </c>
      <c r="C894" s="4" t="str">
        <f t="shared" si="52"/>
        <v>Oct</v>
      </c>
      <c r="D894" s="2" t="s">
        <v>618</v>
      </c>
      <c r="E894" s="2" t="s">
        <v>83</v>
      </c>
      <c r="F894" s="2" t="s">
        <v>84</v>
      </c>
      <c r="G894" s="2" t="s">
        <v>110</v>
      </c>
      <c r="H894" s="2" t="s">
        <v>67</v>
      </c>
      <c r="I894" s="2">
        <v>4114.75</v>
      </c>
      <c r="J894" s="2">
        <v>2</v>
      </c>
      <c r="K894" s="2">
        <v>0</v>
      </c>
      <c r="L894" s="9">
        <f t="shared" si="53"/>
        <v>8229.5</v>
      </c>
      <c r="M894" s="9">
        <f t="shared" si="54"/>
        <v>0</v>
      </c>
      <c r="N894" s="10">
        <f t="shared" si="55"/>
        <v>8229.5</v>
      </c>
      <c r="O894" s="2" t="s">
        <v>26</v>
      </c>
      <c r="P894" s="2" t="s">
        <v>18</v>
      </c>
      <c r="Q894" s="2" t="s">
        <v>53</v>
      </c>
    </row>
    <row r="895" spans="1:17" x14ac:dyDescent="0.25">
      <c r="A895" s="3" t="s">
        <v>1256</v>
      </c>
      <c r="B895" s="4">
        <v>45934</v>
      </c>
      <c r="C895" s="4" t="str">
        <f t="shared" si="52"/>
        <v>Oct</v>
      </c>
      <c r="D895" s="3" t="s">
        <v>1257</v>
      </c>
      <c r="E895" s="3" t="s">
        <v>87</v>
      </c>
      <c r="F895" s="3" t="s">
        <v>88</v>
      </c>
      <c r="G895" s="3" t="s">
        <v>43</v>
      </c>
      <c r="H895" s="3" t="s">
        <v>145</v>
      </c>
      <c r="I895" s="3">
        <v>13021.66</v>
      </c>
      <c r="J895" s="3">
        <v>4</v>
      </c>
      <c r="K895" s="3">
        <v>15</v>
      </c>
      <c r="L895" s="9">
        <f t="shared" si="53"/>
        <v>52086.64</v>
      </c>
      <c r="M895" s="9">
        <f t="shared" si="54"/>
        <v>7812.9960000000001</v>
      </c>
      <c r="N895" s="10">
        <f t="shared" si="55"/>
        <v>44273.644</v>
      </c>
      <c r="O895" s="3" t="s">
        <v>33</v>
      </c>
      <c r="P895" s="3" t="s">
        <v>18</v>
      </c>
      <c r="Q895" s="3" t="s">
        <v>34</v>
      </c>
    </row>
    <row r="896" spans="1:17" x14ac:dyDescent="0.25">
      <c r="A896" s="2" t="s">
        <v>1258</v>
      </c>
      <c r="B896" s="4">
        <v>45935</v>
      </c>
      <c r="C896" s="4" t="str">
        <f t="shared" si="52"/>
        <v>Oct</v>
      </c>
      <c r="D896" s="2" t="s">
        <v>1061</v>
      </c>
      <c r="E896" s="2" t="s">
        <v>65</v>
      </c>
      <c r="F896" s="2" t="s">
        <v>66</v>
      </c>
      <c r="G896" s="2" t="s">
        <v>36</v>
      </c>
      <c r="H896" s="2" t="s">
        <v>78</v>
      </c>
      <c r="I896" s="2">
        <v>83042.039999999994</v>
      </c>
      <c r="J896" s="2">
        <v>5</v>
      </c>
      <c r="K896" s="2">
        <v>0</v>
      </c>
      <c r="L896" s="9">
        <f t="shared" si="53"/>
        <v>415210.19999999995</v>
      </c>
      <c r="M896" s="9">
        <f t="shared" si="54"/>
        <v>0</v>
      </c>
      <c r="N896" s="10">
        <f t="shared" si="55"/>
        <v>415210.19999999995</v>
      </c>
      <c r="O896" s="2" t="s">
        <v>26</v>
      </c>
      <c r="P896" s="2" t="s">
        <v>39</v>
      </c>
      <c r="Q896" s="2" t="s">
        <v>60</v>
      </c>
    </row>
    <row r="897" spans="1:17" x14ac:dyDescent="0.25">
      <c r="A897" s="3" t="s">
        <v>1259</v>
      </c>
      <c r="B897" s="4">
        <v>45936</v>
      </c>
      <c r="C897" s="4" t="str">
        <f t="shared" si="52"/>
        <v>Oct</v>
      </c>
      <c r="D897" s="3" t="s">
        <v>292</v>
      </c>
      <c r="E897" s="3" t="s">
        <v>83</v>
      </c>
      <c r="F897" s="3" t="s">
        <v>84</v>
      </c>
      <c r="G897" s="3" t="s">
        <v>15</v>
      </c>
      <c r="H897" s="3" t="s">
        <v>95</v>
      </c>
      <c r="I897" s="3">
        <v>1232.4000000000001</v>
      </c>
      <c r="J897" s="3">
        <v>3</v>
      </c>
      <c r="K897" s="3">
        <v>5</v>
      </c>
      <c r="L897" s="9">
        <f t="shared" si="53"/>
        <v>3697.2000000000003</v>
      </c>
      <c r="M897" s="9">
        <f t="shared" si="54"/>
        <v>184.86</v>
      </c>
      <c r="N897" s="10">
        <f t="shared" si="55"/>
        <v>3512.34</v>
      </c>
      <c r="O897" s="3" t="s">
        <v>68</v>
      </c>
      <c r="P897" s="3" t="s">
        <v>27</v>
      </c>
      <c r="Q897" s="3" t="s">
        <v>60</v>
      </c>
    </row>
    <row r="898" spans="1:17" x14ac:dyDescent="0.25">
      <c r="A898" s="2" t="s">
        <v>1260</v>
      </c>
      <c r="B898" s="4">
        <v>45937</v>
      </c>
      <c r="C898" s="4" t="str">
        <f t="shared" ref="C898:C961" si="56">TEXT(B898,"mmm")</f>
        <v>Oct</v>
      </c>
      <c r="D898" s="2" t="s">
        <v>981</v>
      </c>
      <c r="E898" s="2" t="s">
        <v>51</v>
      </c>
      <c r="F898" s="2" t="s">
        <v>14</v>
      </c>
      <c r="G898" s="2" t="s">
        <v>43</v>
      </c>
      <c r="H898" s="2" t="s">
        <v>44</v>
      </c>
      <c r="I898" s="2">
        <v>3795.03</v>
      </c>
      <c r="J898" s="2">
        <v>3</v>
      </c>
      <c r="K898" s="2">
        <v>0</v>
      </c>
      <c r="L898" s="9">
        <f t="shared" ref="L898:L961" si="57">J898*I898</f>
        <v>11385.09</v>
      </c>
      <c r="M898" s="9">
        <f t="shared" ref="M898:M961" si="58">L898*K898/100</f>
        <v>0</v>
      </c>
      <c r="N898" s="10">
        <f t="shared" ref="N898:N961" si="59">L898-M898</f>
        <v>11385.09</v>
      </c>
      <c r="O898" s="2" t="s">
        <v>68</v>
      </c>
      <c r="P898" s="2" t="s">
        <v>27</v>
      </c>
      <c r="Q898" s="2" t="s">
        <v>53</v>
      </c>
    </row>
    <row r="899" spans="1:17" x14ac:dyDescent="0.25">
      <c r="A899" s="3" t="s">
        <v>1261</v>
      </c>
      <c r="B899" s="4">
        <v>45938</v>
      </c>
      <c r="C899" s="4" t="str">
        <f t="shared" si="56"/>
        <v>Oct</v>
      </c>
      <c r="D899" s="3" t="s">
        <v>630</v>
      </c>
      <c r="E899" s="3" t="s">
        <v>100</v>
      </c>
      <c r="F899" s="3" t="s">
        <v>88</v>
      </c>
      <c r="G899" s="3" t="s">
        <v>31</v>
      </c>
      <c r="H899" s="3" t="s">
        <v>186</v>
      </c>
      <c r="I899" s="3">
        <v>816.34</v>
      </c>
      <c r="J899" s="3">
        <v>2</v>
      </c>
      <c r="K899" s="3">
        <v>15</v>
      </c>
      <c r="L899" s="9">
        <f t="shared" si="57"/>
        <v>1632.68</v>
      </c>
      <c r="M899" s="9">
        <f t="shared" si="58"/>
        <v>244.90200000000002</v>
      </c>
      <c r="N899" s="10">
        <f t="shared" si="59"/>
        <v>1387.778</v>
      </c>
      <c r="O899" s="3" t="s">
        <v>68</v>
      </c>
      <c r="P899" s="3" t="s">
        <v>39</v>
      </c>
      <c r="Q899" s="3" t="s">
        <v>40</v>
      </c>
    </row>
    <row r="900" spans="1:17" x14ac:dyDescent="0.25">
      <c r="A900" s="2" t="s">
        <v>1262</v>
      </c>
      <c r="B900" s="4">
        <v>45939</v>
      </c>
      <c r="C900" s="4" t="str">
        <f t="shared" si="56"/>
        <v>Oct</v>
      </c>
      <c r="D900" s="2" t="s">
        <v>1079</v>
      </c>
      <c r="E900" s="2" t="s">
        <v>65</v>
      </c>
      <c r="F900" s="2" t="s">
        <v>66</v>
      </c>
      <c r="G900" s="2" t="s">
        <v>15</v>
      </c>
      <c r="H900" s="2" t="s">
        <v>56</v>
      </c>
      <c r="I900" s="2">
        <v>1970.69</v>
      </c>
      <c r="J900" s="2">
        <v>1</v>
      </c>
      <c r="K900" s="2">
        <v>5</v>
      </c>
      <c r="L900" s="9">
        <f t="shared" si="57"/>
        <v>1970.69</v>
      </c>
      <c r="M900" s="9">
        <f t="shared" si="58"/>
        <v>98.534500000000008</v>
      </c>
      <c r="N900" s="10">
        <f t="shared" si="59"/>
        <v>1872.1555000000001</v>
      </c>
      <c r="O900" s="2" t="s">
        <v>26</v>
      </c>
      <c r="P900" s="2" t="s">
        <v>18</v>
      </c>
      <c r="Q900" s="2" t="s">
        <v>53</v>
      </c>
    </row>
    <row r="901" spans="1:17" x14ac:dyDescent="0.25">
      <c r="A901" s="3" t="s">
        <v>1263</v>
      </c>
      <c r="B901" s="4">
        <v>45940</v>
      </c>
      <c r="C901" s="4" t="str">
        <f t="shared" si="56"/>
        <v>Oct</v>
      </c>
      <c r="D901" s="3" t="s">
        <v>416</v>
      </c>
      <c r="E901" s="3" t="s">
        <v>47</v>
      </c>
      <c r="F901" s="3" t="s">
        <v>48</v>
      </c>
      <c r="G901" s="3" t="s">
        <v>110</v>
      </c>
      <c r="H901" s="3" t="s">
        <v>111</v>
      </c>
      <c r="I901" s="3">
        <v>9801.1200000000008</v>
      </c>
      <c r="J901" s="3">
        <v>4</v>
      </c>
      <c r="K901" s="3">
        <v>15</v>
      </c>
      <c r="L901" s="9">
        <f t="shared" si="57"/>
        <v>39204.480000000003</v>
      </c>
      <c r="M901" s="9">
        <f t="shared" si="58"/>
        <v>5880.6720000000005</v>
      </c>
      <c r="N901" s="10">
        <f t="shared" si="59"/>
        <v>33323.808000000005</v>
      </c>
      <c r="O901" s="3" t="s">
        <v>38</v>
      </c>
      <c r="P901" s="3" t="s">
        <v>27</v>
      </c>
      <c r="Q901" s="3" t="s">
        <v>60</v>
      </c>
    </row>
    <row r="902" spans="1:17" x14ac:dyDescent="0.25">
      <c r="A902" s="2" t="s">
        <v>1264</v>
      </c>
      <c r="B902" s="4">
        <v>45941</v>
      </c>
      <c r="C902" s="4" t="str">
        <f t="shared" si="56"/>
        <v>Oct</v>
      </c>
      <c r="D902" s="2" t="s">
        <v>725</v>
      </c>
      <c r="E902" s="2" t="s">
        <v>29</v>
      </c>
      <c r="F902" s="2" t="s">
        <v>30</v>
      </c>
      <c r="G902" s="2" t="s">
        <v>72</v>
      </c>
      <c r="H902" s="2" t="s">
        <v>137</v>
      </c>
      <c r="I902" s="2">
        <v>2338.2600000000002</v>
      </c>
      <c r="J902" s="2">
        <v>3</v>
      </c>
      <c r="K902" s="2">
        <v>0</v>
      </c>
      <c r="L902" s="9">
        <f t="shared" si="57"/>
        <v>7014.7800000000007</v>
      </c>
      <c r="M902" s="9">
        <f t="shared" si="58"/>
        <v>0</v>
      </c>
      <c r="N902" s="10">
        <f t="shared" si="59"/>
        <v>7014.7800000000007</v>
      </c>
      <c r="O902" s="2" t="s">
        <v>33</v>
      </c>
      <c r="P902" s="2" t="s">
        <v>27</v>
      </c>
      <c r="Q902" s="2" t="s">
        <v>34</v>
      </c>
    </row>
    <row r="903" spans="1:17" x14ac:dyDescent="0.25">
      <c r="A903" s="3" t="s">
        <v>1265</v>
      </c>
      <c r="B903" s="4">
        <v>45942</v>
      </c>
      <c r="C903" s="4" t="str">
        <f t="shared" si="56"/>
        <v>Oct</v>
      </c>
      <c r="D903" s="3" t="s">
        <v>402</v>
      </c>
      <c r="E903" s="3" t="s">
        <v>13</v>
      </c>
      <c r="F903" s="3" t="s">
        <v>14</v>
      </c>
      <c r="G903" s="3" t="s">
        <v>36</v>
      </c>
      <c r="H903" s="3" t="s">
        <v>78</v>
      </c>
      <c r="I903" s="3">
        <v>89653.64</v>
      </c>
      <c r="J903" s="3">
        <v>4</v>
      </c>
      <c r="K903" s="3">
        <v>15</v>
      </c>
      <c r="L903" s="9">
        <f t="shared" si="57"/>
        <v>358614.56</v>
      </c>
      <c r="M903" s="9">
        <f t="shared" si="58"/>
        <v>53792.184000000001</v>
      </c>
      <c r="N903" s="10">
        <f t="shared" si="59"/>
        <v>304822.37599999999</v>
      </c>
      <c r="O903" s="3" t="s">
        <v>33</v>
      </c>
      <c r="P903" s="3" t="s">
        <v>27</v>
      </c>
      <c r="Q903" s="3" t="s">
        <v>34</v>
      </c>
    </row>
    <row r="904" spans="1:17" x14ac:dyDescent="0.25">
      <c r="A904" s="2" t="s">
        <v>1266</v>
      </c>
      <c r="B904" s="4">
        <v>45943</v>
      </c>
      <c r="C904" s="4" t="str">
        <f t="shared" si="56"/>
        <v>Oct</v>
      </c>
      <c r="D904" s="2" t="s">
        <v>299</v>
      </c>
      <c r="E904" s="2" t="s">
        <v>100</v>
      </c>
      <c r="F904" s="2" t="s">
        <v>88</v>
      </c>
      <c r="G904" s="2" t="s">
        <v>31</v>
      </c>
      <c r="H904" s="2" t="s">
        <v>186</v>
      </c>
      <c r="I904" s="2">
        <v>832.65</v>
      </c>
      <c r="J904" s="2">
        <v>2</v>
      </c>
      <c r="K904" s="2">
        <v>5</v>
      </c>
      <c r="L904" s="9">
        <f t="shared" si="57"/>
        <v>1665.3</v>
      </c>
      <c r="M904" s="9">
        <f t="shared" si="58"/>
        <v>83.265000000000001</v>
      </c>
      <c r="N904" s="10">
        <f t="shared" si="59"/>
        <v>1582.0349999999999</v>
      </c>
      <c r="O904" s="2" t="s">
        <v>26</v>
      </c>
      <c r="P904" s="2" t="s">
        <v>52</v>
      </c>
      <c r="Q904" s="2" t="s">
        <v>40</v>
      </c>
    </row>
    <row r="905" spans="1:17" x14ac:dyDescent="0.25">
      <c r="A905" s="3" t="s">
        <v>1267</v>
      </c>
      <c r="B905" s="4">
        <v>45944</v>
      </c>
      <c r="C905" s="4" t="str">
        <f t="shared" si="56"/>
        <v>Oct</v>
      </c>
      <c r="D905" s="3" t="s">
        <v>643</v>
      </c>
      <c r="E905" s="3" t="s">
        <v>100</v>
      </c>
      <c r="F905" s="3" t="s">
        <v>88</v>
      </c>
      <c r="G905" s="3" t="s">
        <v>24</v>
      </c>
      <c r="H905" s="3" t="s">
        <v>92</v>
      </c>
      <c r="I905" s="3">
        <v>1574.97</v>
      </c>
      <c r="J905" s="3">
        <v>2</v>
      </c>
      <c r="K905" s="3">
        <v>0</v>
      </c>
      <c r="L905" s="9">
        <f t="shared" si="57"/>
        <v>3149.94</v>
      </c>
      <c r="M905" s="9">
        <f t="shared" si="58"/>
        <v>0</v>
      </c>
      <c r="N905" s="10">
        <f t="shared" si="59"/>
        <v>3149.94</v>
      </c>
      <c r="O905" s="3" t="s">
        <v>33</v>
      </c>
      <c r="P905" s="3" t="s">
        <v>18</v>
      </c>
      <c r="Q905" s="3" t="s">
        <v>19</v>
      </c>
    </row>
    <row r="906" spans="1:17" x14ac:dyDescent="0.25">
      <c r="A906" s="2" t="s">
        <v>1268</v>
      </c>
      <c r="B906" s="4">
        <v>45945</v>
      </c>
      <c r="C906" s="4" t="str">
        <f t="shared" si="56"/>
        <v>Oct</v>
      </c>
      <c r="D906" s="2" t="s">
        <v>347</v>
      </c>
      <c r="E906" s="2" t="s">
        <v>22</v>
      </c>
      <c r="F906" s="2" t="s">
        <v>23</v>
      </c>
      <c r="G906" s="2" t="s">
        <v>31</v>
      </c>
      <c r="H906" s="2" t="s">
        <v>32</v>
      </c>
      <c r="I906" s="2">
        <v>2438.86</v>
      </c>
      <c r="J906" s="2">
        <v>3</v>
      </c>
      <c r="K906" s="2">
        <v>0</v>
      </c>
      <c r="L906" s="9">
        <f t="shared" si="57"/>
        <v>7316.58</v>
      </c>
      <c r="M906" s="9">
        <f t="shared" si="58"/>
        <v>0</v>
      </c>
      <c r="N906" s="10">
        <f t="shared" si="59"/>
        <v>7316.58</v>
      </c>
      <c r="O906" s="2" t="s">
        <v>38</v>
      </c>
      <c r="P906" s="2" t="s">
        <v>18</v>
      </c>
      <c r="Q906" s="2" t="s">
        <v>19</v>
      </c>
    </row>
    <row r="907" spans="1:17" x14ac:dyDescent="0.25">
      <c r="A907" s="3" t="s">
        <v>1269</v>
      </c>
      <c r="B907" s="4">
        <v>45946</v>
      </c>
      <c r="C907" s="4" t="str">
        <f t="shared" si="56"/>
        <v>Oct</v>
      </c>
      <c r="D907" s="3" t="s">
        <v>155</v>
      </c>
      <c r="E907" s="3" t="s">
        <v>22</v>
      </c>
      <c r="F907" s="3" t="s">
        <v>23</v>
      </c>
      <c r="G907" s="3" t="s">
        <v>36</v>
      </c>
      <c r="H907" s="3" t="s">
        <v>78</v>
      </c>
      <c r="I907" s="3">
        <v>81023.37</v>
      </c>
      <c r="J907" s="3">
        <v>1</v>
      </c>
      <c r="K907" s="3">
        <v>0</v>
      </c>
      <c r="L907" s="9">
        <f t="shared" si="57"/>
        <v>81023.37</v>
      </c>
      <c r="M907" s="9">
        <f t="shared" si="58"/>
        <v>0</v>
      </c>
      <c r="N907" s="10">
        <f t="shared" si="59"/>
        <v>81023.37</v>
      </c>
      <c r="O907" s="3" t="s">
        <v>17</v>
      </c>
      <c r="P907" s="3" t="s">
        <v>39</v>
      </c>
      <c r="Q907" s="3" t="s">
        <v>40</v>
      </c>
    </row>
    <row r="908" spans="1:17" x14ac:dyDescent="0.25">
      <c r="A908" s="2" t="s">
        <v>1270</v>
      </c>
      <c r="B908" s="4">
        <v>45947</v>
      </c>
      <c r="C908" s="4" t="str">
        <f t="shared" si="56"/>
        <v>Oct</v>
      </c>
      <c r="D908" s="2" t="s">
        <v>759</v>
      </c>
      <c r="E908" s="2" t="s">
        <v>13</v>
      </c>
      <c r="F908" s="2" t="s">
        <v>14</v>
      </c>
      <c r="G908" s="2" t="s">
        <v>43</v>
      </c>
      <c r="H908" s="2" t="s">
        <v>89</v>
      </c>
      <c r="I908" s="2">
        <v>4518.07</v>
      </c>
      <c r="J908" s="2">
        <v>3</v>
      </c>
      <c r="K908" s="2">
        <v>10</v>
      </c>
      <c r="L908" s="9">
        <f t="shared" si="57"/>
        <v>13554.21</v>
      </c>
      <c r="M908" s="9">
        <f t="shared" si="58"/>
        <v>1355.4209999999998</v>
      </c>
      <c r="N908" s="10">
        <f t="shared" si="59"/>
        <v>12198.788999999999</v>
      </c>
      <c r="O908" s="2" t="s">
        <v>33</v>
      </c>
      <c r="P908" s="2" t="s">
        <v>39</v>
      </c>
      <c r="Q908" s="2" t="s">
        <v>34</v>
      </c>
    </row>
    <row r="909" spans="1:17" x14ac:dyDescent="0.25">
      <c r="A909" s="3" t="s">
        <v>1271</v>
      </c>
      <c r="B909" s="4">
        <v>45948</v>
      </c>
      <c r="C909" s="4" t="str">
        <f t="shared" si="56"/>
        <v>Oct</v>
      </c>
      <c r="D909" s="3" t="s">
        <v>279</v>
      </c>
      <c r="E909" s="3" t="s">
        <v>87</v>
      </c>
      <c r="F909" s="3" t="s">
        <v>88</v>
      </c>
      <c r="G909" s="3" t="s">
        <v>15</v>
      </c>
      <c r="H909" s="3" t="s">
        <v>16</v>
      </c>
      <c r="I909" s="3">
        <v>1649.83</v>
      </c>
      <c r="J909" s="3">
        <v>2</v>
      </c>
      <c r="K909" s="3">
        <v>0</v>
      </c>
      <c r="L909" s="9">
        <f t="shared" si="57"/>
        <v>3299.66</v>
      </c>
      <c r="M909" s="9">
        <f t="shared" si="58"/>
        <v>0</v>
      </c>
      <c r="N909" s="10">
        <f t="shared" si="59"/>
        <v>3299.66</v>
      </c>
      <c r="O909" s="3" t="s">
        <v>33</v>
      </c>
      <c r="P909" s="3" t="s">
        <v>18</v>
      </c>
      <c r="Q909" s="3" t="s">
        <v>19</v>
      </c>
    </row>
    <row r="910" spans="1:17" x14ac:dyDescent="0.25">
      <c r="A910" s="2" t="s">
        <v>1272</v>
      </c>
      <c r="B910" s="4">
        <v>45949</v>
      </c>
      <c r="C910" s="4" t="str">
        <f t="shared" si="56"/>
        <v>Oct</v>
      </c>
      <c r="D910" s="2" t="s">
        <v>316</v>
      </c>
      <c r="E910" s="2" t="s">
        <v>22</v>
      </c>
      <c r="F910" s="2" t="s">
        <v>23</v>
      </c>
      <c r="G910" s="2" t="s">
        <v>36</v>
      </c>
      <c r="H910" s="2" t="s">
        <v>37</v>
      </c>
      <c r="I910" s="2">
        <v>12889.3</v>
      </c>
      <c r="J910" s="2">
        <v>4</v>
      </c>
      <c r="K910" s="2">
        <v>10</v>
      </c>
      <c r="L910" s="9">
        <f t="shared" si="57"/>
        <v>51557.2</v>
      </c>
      <c r="M910" s="9">
        <f t="shared" si="58"/>
        <v>5155.72</v>
      </c>
      <c r="N910" s="10">
        <f t="shared" si="59"/>
        <v>46401.479999999996</v>
      </c>
      <c r="O910" s="2" t="s">
        <v>68</v>
      </c>
      <c r="P910" s="2" t="s">
        <v>52</v>
      </c>
      <c r="Q910" s="2" t="s">
        <v>40</v>
      </c>
    </row>
    <row r="911" spans="1:17" x14ac:dyDescent="0.25">
      <c r="A911" s="3" t="s">
        <v>1273</v>
      </c>
      <c r="B911" s="4">
        <v>45950</v>
      </c>
      <c r="C911" s="4" t="str">
        <f t="shared" si="56"/>
        <v>Oct</v>
      </c>
      <c r="D911" s="3" t="s">
        <v>416</v>
      </c>
      <c r="E911" s="3" t="s">
        <v>51</v>
      </c>
      <c r="F911" s="3" t="s">
        <v>14</v>
      </c>
      <c r="G911" s="3" t="s">
        <v>31</v>
      </c>
      <c r="H911" s="3" t="s">
        <v>70</v>
      </c>
      <c r="I911" s="3">
        <v>614.20000000000005</v>
      </c>
      <c r="J911" s="3">
        <v>4</v>
      </c>
      <c r="K911" s="3">
        <v>0</v>
      </c>
      <c r="L911" s="9">
        <f t="shared" si="57"/>
        <v>2456.8000000000002</v>
      </c>
      <c r="M911" s="9">
        <f t="shared" si="58"/>
        <v>0</v>
      </c>
      <c r="N911" s="10">
        <f t="shared" si="59"/>
        <v>2456.8000000000002</v>
      </c>
      <c r="O911" s="3" t="s">
        <v>33</v>
      </c>
      <c r="P911" s="3" t="s">
        <v>27</v>
      </c>
      <c r="Q911" s="3" t="s">
        <v>53</v>
      </c>
    </row>
    <row r="912" spans="1:17" x14ac:dyDescent="0.25">
      <c r="A912" s="2" t="s">
        <v>1274</v>
      </c>
      <c r="B912" s="4">
        <v>45951</v>
      </c>
      <c r="C912" s="4" t="str">
        <f t="shared" si="56"/>
        <v>Oct</v>
      </c>
      <c r="D912" s="2" t="s">
        <v>336</v>
      </c>
      <c r="E912" s="2" t="s">
        <v>13</v>
      </c>
      <c r="F912" s="2" t="s">
        <v>14</v>
      </c>
      <c r="G912" s="2" t="s">
        <v>15</v>
      </c>
      <c r="H912" s="2" t="s">
        <v>16</v>
      </c>
      <c r="I912" s="2">
        <v>1612.03</v>
      </c>
      <c r="J912" s="2">
        <v>3</v>
      </c>
      <c r="K912" s="2">
        <v>5</v>
      </c>
      <c r="L912" s="9">
        <f t="shared" si="57"/>
        <v>4836.09</v>
      </c>
      <c r="M912" s="9">
        <f t="shared" si="58"/>
        <v>241.80450000000002</v>
      </c>
      <c r="N912" s="10">
        <f t="shared" si="59"/>
        <v>4594.2855</v>
      </c>
      <c r="O912" s="2" t="s">
        <v>33</v>
      </c>
      <c r="P912" s="2" t="s">
        <v>18</v>
      </c>
      <c r="Q912" s="2" t="s">
        <v>19</v>
      </c>
    </row>
    <row r="913" spans="1:17" x14ac:dyDescent="0.25">
      <c r="A913" s="3" t="s">
        <v>1275</v>
      </c>
      <c r="B913" s="4">
        <v>45952</v>
      </c>
      <c r="C913" s="4" t="str">
        <f t="shared" si="56"/>
        <v>Oct</v>
      </c>
      <c r="D913" s="3" t="s">
        <v>908</v>
      </c>
      <c r="E913" s="3" t="s">
        <v>29</v>
      </c>
      <c r="F913" s="3" t="s">
        <v>30</v>
      </c>
      <c r="G913" s="3" t="s">
        <v>72</v>
      </c>
      <c r="H913" s="3" t="s">
        <v>81</v>
      </c>
      <c r="I913" s="3">
        <v>1454.5</v>
      </c>
      <c r="J913" s="3">
        <v>4</v>
      </c>
      <c r="K913" s="3">
        <v>0</v>
      </c>
      <c r="L913" s="9">
        <f t="shared" si="57"/>
        <v>5818</v>
      </c>
      <c r="M913" s="9">
        <f t="shared" si="58"/>
        <v>0</v>
      </c>
      <c r="N913" s="10">
        <f t="shared" si="59"/>
        <v>5818</v>
      </c>
      <c r="O913" s="3" t="s">
        <v>68</v>
      </c>
      <c r="P913" s="3" t="s">
        <v>27</v>
      </c>
      <c r="Q913" s="3" t="s">
        <v>60</v>
      </c>
    </row>
    <row r="914" spans="1:17" x14ac:dyDescent="0.25">
      <c r="A914" s="2" t="s">
        <v>1276</v>
      </c>
      <c r="B914" s="4">
        <v>45953</v>
      </c>
      <c r="C914" s="4" t="str">
        <f t="shared" si="56"/>
        <v>Oct</v>
      </c>
      <c r="D914" s="2" t="s">
        <v>598</v>
      </c>
      <c r="E914" s="2" t="s">
        <v>100</v>
      </c>
      <c r="F914" s="2" t="s">
        <v>88</v>
      </c>
      <c r="G914" s="2" t="s">
        <v>72</v>
      </c>
      <c r="H914" s="2" t="s">
        <v>73</v>
      </c>
      <c r="I914" s="2">
        <v>376.34</v>
      </c>
      <c r="J914" s="2">
        <v>5</v>
      </c>
      <c r="K914" s="2">
        <v>0</v>
      </c>
      <c r="L914" s="9">
        <f t="shared" si="57"/>
        <v>1881.6999999999998</v>
      </c>
      <c r="M914" s="9">
        <f t="shared" si="58"/>
        <v>0</v>
      </c>
      <c r="N914" s="10">
        <f t="shared" si="59"/>
        <v>1881.6999999999998</v>
      </c>
      <c r="O914" s="2" t="s">
        <v>26</v>
      </c>
      <c r="P914" s="2" t="s">
        <v>18</v>
      </c>
      <c r="Q914" s="2" t="s">
        <v>40</v>
      </c>
    </row>
    <row r="915" spans="1:17" x14ac:dyDescent="0.25">
      <c r="A915" s="3" t="s">
        <v>1277</v>
      </c>
      <c r="B915" s="4">
        <v>45954</v>
      </c>
      <c r="C915" s="4" t="str">
        <f t="shared" si="56"/>
        <v>Oct</v>
      </c>
      <c r="D915" s="3" t="s">
        <v>19</v>
      </c>
      <c r="E915" s="3" t="s">
        <v>76</v>
      </c>
      <c r="F915" s="3" t="s">
        <v>77</v>
      </c>
      <c r="G915" s="3" t="s">
        <v>24</v>
      </c>
      <c r="H915" s="3" t="s">
        <v>134</v>
      </c>
      <c r="I915" s="3">
        <v>2727.53</v>
      </c>
      <c r="J915" s="3">
        <v>4</v>
      </c>
      <c r="K915" s="3">
        <v>0</v>
      </c>
      <c r="L915" s="9">
        <f t="shared" si="57"/>
        <v>10910.12</v>
      </c>
      <c r="M915" s="9">
        <f t="shared" si="58"/>
        <v>0</v>
      </c>
      <c r="N915" s="10">
        <f t="shared" si="59"/>
        <v>10910.12</v>
      </c>
      <c r="O915" s="3" t="s">
        <v>17</v>
      </c>
      <c r="P915" s="3" t="s">
        <v>18</v>
      </c>
      <c r="Q915" s="3" t="s">
        <v>53</v>
      </c>
    </row>
    <row r="916" spans="1:17" x14ac:dyDescent="0.25">
      <c r="A916" s="2" t="s">
        <v>1278</v>
      </c>
      <c r="B916" s="4">
        <v>45955</v>
      </c>
      <c r="C916" s="4" t="str">
        <f t="shared" si="56"/>
        <v>Oct</v>
      </c>
      <c r="D916" s="2" t="s">
        <v>966</v>
      </c>
      <c r="E916" s="2" t="s">
        <v>22</v>
      </c>
      <c r="F916" s="2" t="s">
        <v>23</v>
      </c>
      <c r="G916" s="2" t="s">
        <v>36</v>
      </c>
      <c r="H916" s="2" t="s">
        <v>37</v>
      </c>
      <c r="I916" s="2">
        <v>13184.07</v>
      </c>
      <c r="J916" s="2">
        <v>1</v>
      </c>
      <c r="K916" s="2">
        <v>0</v>
      </c>
      <c r="L916" s="9">
        <f t="shared" si="57"/>
        <v>13184.07</v>
      </c>
      <c r="M916" s="9">
        <f t="shared" si="58"/>
        <v>0</v>
      </c>
      <c r="N916" s="10">
        <f t="shared" si="59"/>
        <v>13184.07</v>
      </c>
      <c r="O916" s="2" t="s">
        <v>38</v>
      </c>
      <c r="P916" s="2" t="s">
        <v>18</v>
      </c>
      <c r="Q916" s="2" t="s">
        <v>34</v>
      </c>
    </row>
    <row r="917" spans="1:17" x14ac:dyDescent="0.25">
      <c r="A917" s="3" t="s">
        <v>1279</v>
      </c>
      <c r="B917" s="4">
        <v>45956</v>
      </c>
      <c r="C917" s="4" t="str">
        <f t="shared" si="56"/>
        <v>Oct</v>
      </c>
      <c r="D917" s="3" t="s">
        <v>794</v>
      </c>
      <c r="E917" s="3" t="s">
        <v>76</v>
      </c>
      <c r="F917" s="3" t="s">
        <v>77</v>
      </c>
      <c r="G917" s="3" t="s">
        <v>15</v>
      </c>
      <c r="H917" s="3" t="s">
        <v>198</v>
      </c>
      <c r="I917" s="3">
        <v>826.48</v>
      </c>
      <c r="J917" s="3">
        <v>5</v>
      </c>
      <c r="K917" s="3">
        <v>0</v>
      </c>
      <c r="L917" s="9">
        <f t="shared" si="57"/>
        <v>4132.3999999999996</v>
      </c>
      <c r="M917" s="9">
        <f t="shared" si="58"/>
        <v>0</v>
      </c>
      <c r="N917" s="10">
        <f t="shared" si="59"/>
        <v>4132.3999999999996</v>
      </c>
      <c r="O917" s="3" t="s">
        <v>33</v>
      </c>
      <c r="P917" s="3" t="s">
        <v>18</v>
      </c>
      <c r="Q917" s="3" t="s">
        <v>34</v>
      </c>
    </row>
    <row r="918" spans="1:17" x14ac:dyDescent="0.25">
      <c r="A918" s="2" t="s">
        <v>1280</v>
      </c>
      <c r="B918" s="4">
        <v>45957</v>
      </c>
      <c r="C918" s="4" t="str">
        <f t="shared" si="56"/>
        <v>Oct</v>
      </c>
      <c r="D918" s="2" t="s">
        <v>115</v>
      </c>
      <c r="E918" s="2" t="s">
        <v>22</v>
      </c>
      <c r="F918" s="2" t="s">
        <v>23</v>
      </c>
      <c r="G918" s="2" t="s">
        <v>15</v>
      </c>
      <c r="H918" s="2" t="s">
        <v>16</v>
      </c>
      <c r="I918" s="2">
        <v>1463.1</v>
      </c>
      <c r="J918" s="2">
        <v>4</v>
      </c>
      <c r="K918" s="2">
        <v>0</v>
      </c>
      <c r="L918" s="9">
        <f t="shared" si="57"/>
        <v>5852.4</v>
      </c>
      <c r="M918" s="9">
        <f t="shared" si="58"/>
        <v>0</v>
      </c>
      <c r="N918" s="10">
        <f t="shared" si="59"/>
        <v>5852.4</v>
      </c>
      <c r="O918" s="2" t="s">
        <v>17</v>
      </c>
      <c r="P918" s="2" t="s">
        <v>39</v>
      </c>
      <c r="Q918" s="2" t="s">
        <v>60</v>
      </c>
    </row>
    <row r="919" spans="1:17" x14ac:dyDescent="0.25">
      <c r="A919" s="3" t="s">
        <v>1281</v>
      </c>
      <c r="B919" s="4">
        <v>45958</v>
      </c>
      <c r="C919" s="4" t="str">
        <f t="shared" si="56"/>
        <v>Oct</v>
      </c>
      <c r="D919" s="3" t="s">
        <v>183</v>
      </c>
      <c r="E919" s="3" t="s">
        <v>22</v>
      </c>
      <c r="F919" s="3" t="s">
        <v>23</v>
      </c>
      <c r="G919" s="3" t="s">
        <v>31</v>
      </c>
      <c r="H919" s="3" t="s">
        <v>32</v>
      </c>
      <c r="I919" s="3">
        <v>2305.69</v>
      </c>
      <c r="J919" s="3">
        <v>3</v>
      </c>
      <c r="K919" s="3">
        <v>10</v>
      </c>
      <c r="L919" s="9">
        <f t="shared" si="57"/>
        <v>6917.07</v>
      </c>
      <c r="M919" s="9">
        <f t="shared" si="58"/>
        <v>691.70699999999999</v>
      </c>
      <c r="N919" s="10">
        <f t="shared" si="59"/>
        <v>6225.3629999999994</v>
      </c>
      <c r="O919" s="3" t="s">
        <v>26</v>
      </c>
      <c r="P919" s="3" t="s">
        <v>27</v>
      </c>
      <c r="Q919" s="3" t="s">
        <v>40</v>
      </c>
    </row>
    <row r="920" spans="1:17" x14ac:dyDescent="0.25">
      <c r="A920" s="2" t="s">
        <v>1282</v>
      </c>
      <c r="B920" s="4">
        <v>45959</v>
      </c>
      <c r="C920" s="4" t="str">
        <f t="shared" si="56"/>
        <v>Oct</v>
      </c>
      <c r="D920" s="2" t="s">
        <v>1039</v>
      </c>
      <c r="E920" s="2" t="s">
        <v>87</v>
      </c>
      <c r="F920" s="2" t="s">
        <v>88</v>
      </c>
      <c r="G920" s="2" t="s">
        <v>43</v>
      </c>
      <c r="H920" s="2" t="s">
        <v>89</v>
      </c>
      <c r="I920" s="2">
        <v>4713.2299999999996</v>
      </c>
      <c r="J920" s="2">
        <v>3</v>
      </c>
      <c r="K920" s="2">
        <v>5</v>
      </c>
      <c r="L920" s="9">
        <f t="shared" si="57"/>
        <v>14139.689999999999</v>
      </c>
      <c r="M920" s="9">
        <f t="shared" si="58"/>
        <v>706.98450000000003</v>
      </c>
      <c r="N920" s="10">
        <f t="shared" si="59"/>
        <v>13432.705499999998</v>
      </c>
      <c r="O920" s="2" t="s">
        <v>17</v>
      </c>
      <c r="P920" s="2" t="s">
        <v>52</v>
      </c>
      <c r="Q920" s="2" t="s">
        <v>53</v>
      </c>
    </row>
    <row r="921" spans="1:17" x14ac:dyDescent="0.25">
      <c r="A921" s="3" t="s">
        <v>1283</v>
      </c>
      <c r="B921" s="4">
        <v>45960</v>
      </c>
      <c r="C921" s="4" t="str">
        <f t="shared" si="56"/>
        <v>Oct</v>
      </c>
      <c r="D921" s="3" t="s">
        <v>279</v>
      </c>
      <c r="E921" s="3" t="s">
        <v>87</v>
      </c>
      <c r="F921" s="3" t="s">
        <v>88</v>
      </c>
      <c r="G921" s="3" t="s">
        <v>72</v>
      </c>
      <c r="H921" s="3" t="s">
        <v>102</v>
      </c>
      <c r="I921" s="3">
        <v>652.57000000000005</v>
      </c>
      <c r="J921" s="3">
        <v>5</v>
      </c>
      <c r="K921" s="3">
        <v>0</v>
      </c>
      <c r="L921" s="9">
        <f t="shared" si="57"/>
        <v>3262.8500000000004</v>
      </c>
      <c r="M921" s="9">
        <f t="shared" si="58"/>
        <v>0</v>
      </c>
      <c r="N921" s="10">
        <f t="shared" si="59"/>
        <v>3262.8500000000004</v>
      </c>
      <c r="O921" s="3" t="s">
        <v>26</v>
      </c>
      <c r="P921" s="3" t="s">
        <v>18</v>
      </c>
      <c r="Q921" s="3" t="s">
        <v>60</v>
      </c>
    </row>
    <row r="922" spans="1:17" x14ac:dyDescent="0.25">
      <c r="A922" s="2" t="s">
        <v>1284</v>
      </c>
      <c r="B922" s="4">
        <v>45961</v>
      </c>
      <c r="C922" s="4" t="str">
        <f t="shared" si="56"/>
        <v>Oct</v>
      </c>
      <c r="D922" s="2" t="s">
        <v>178</v>
      </c>
      <c r="E922" s="2" t="s">
        <v>87</v>
      </c>
      <c r="F922" s="2" t="s">
        <v>88</v>
      </c>
      <c r="G922" s="2" t="s">
        <v>24</v>
      </c>
      <c r="H922" s="2" t="s">
        <v>108</v>
      </c>
      <c r="I922" s="2">
        <v>8539.5499999999993</v>
      </c>
      <c r="J922" s="2">
        <v>4</v>
      </c>
      <c r="K922" s="2">
        <v>0</v>
      </c>
      <c r="L922" s="9">
        <f t="shared" si="57"/>
        <v>34158.199999999997</v>
      </c>
      <c r="M922" s="9">
        <f t="shared" si="58"/>
        <v>0</v>
      </c>
      <c r="N922" s="10">
        <f t="shared" si="59"/>
        <v>34158.199999999997</v>
      </c>
      <c r="O922" s="2" t="s">
        <v>33</v>
      </c>
      <c r="P922" s="2" t="s">
        <v>18</v>
      </c>
      <c r="Q922" s="2" t="s">
        <v>19</v>
      </c>
    </row>
    <row r="923" spans="1:17" x14ac:dyDescent="0.25">
      <c r="A923" s="3" t="s">
        <v>1285</v>
      </c>
      <c r="B923" s="4">
        <v>45962</v>
      </c>
      <c r="C923" s="4" t="str">
        <f t="shared" si="56"/>
        <v>Nov</v>
      </c>
      <c r="D923" s="3" t="s">
        <v>463</v>
      </c>
      <c r="E923" s="3" t="s">
        <v>13</v>
      </c>
      <c r="F923" s="3" t="s">
        <v>14</v>
      </c>
      <c r="G923" s="3" t="s">
        <v>110</v>
      </c>
      <c r="H923" s="3" t="s">
        <v>215</v>
      </c>
      <c r="I923" s="3">
        <v>2404.4499999999998</v>
      </c>
      <c r="J923" s="3">
        <v>1</v>
      </c>
      <c r="K923" s="3">
        <v>5</v>
      </c>
      <c r="L923" s="9">
        <f t="shared" si="57"/>
        <v>2404.4499999999998</v>
      </c>
      <c r="M923" s="9">
        <f t="shared" si="58"/>
        <v>120.2225</v>
      </c>
      <c r="N923" s="10">
        <f t="shared" si="59"/>
        <v>2284.2275</v>
      </c>
      <c r="O923" s="3" t="s">
        <v>17</v>
      </c>
      <c r="P923" s="3" t="s">
        <v>18</v>
      </c>
      <c r="Q923" s="3" t="s">
        <v>53</v>
      </c>
    </row>
    <row r="924" spans="1:17" x14ac:dyDescent="0.25">
      <c r="A924" s="2" t="s">
        <v>1286</v>
      </c>
      <c r="B924" s="4">
        <v>45963</v>
      </c>
      <c r="C924" s="4" t="str">
        <f t="shared" si="56"/>
        <v>Nov</v>
      </c>
      <c r="D924" s="2" t="s">
        <v>495</v>
      </c>
      <c r="E924" s="2" t="s">
        <v>65</v>
      </c>
      <c r="F924" s="2" t="s">
        <v>66</v>
      </c>
      <c r="G924" s="2" t="s">
        <v>36</v>
      </c>
      <c r="H924" s="2" t="s">
        <v>338</v>
      </c>
      <c r="I924" s="2">
        <v>60485.13</v>
      </c>
      <c r="J924" s="2">
        <v>2</v>
      </c>
      <c r="K924" s="2">
        <v>5</v>
      </c>
      <c r="L924" s="9">
        <f t="shared" si="57"/>
        <v>120970.26</v>
      </c>
      <c r="M924" s="9">
        <f t="shared" si="58"/>
        <v>6048.512999999999</v>
      </c>
      <c r="N924" s="10">
        <f t="shared" si="59"/>
        <v>114921.747</v>
      </c>
      <c r="O924" s="2" t="s">
        <v>68</v>
      </c>
      <c r="P924" s="2" t="s">
        <v>39</v>
      </c>
      <c r="Q924" s="2" t="s">
        <v>53</v>
      </c>
    </row>
    <row r="925" spans="1:17" x14ac:dyDescent="0.25">
      <c r="A925" s="3" t="s">
        <v>1287</v>
      </c>
      <c r="B925" s="4">
        <v>45964</v>
      </c>
      <c r="C925" s="4" t="str">
        <f t="shared" si="56"/>
        <v>Nov</v>
      </c>
      <c r="D925" s="3" t="s">
        <v>730</v>
      </c>
      <c r="E925" s="3" t="s">
        <v>47</v>
      </c>
      <c r="F925" s="3" t="s">
        <v>48</v>
      </c>
      <c r="G925" s="3" t="s">
        <v>72</v>
      </c>
      <c r="H925" s="3" t="s">
        <v>102</v>
      </c>
      <c r="I925" s="3">
        <v>713.84</v>
      </c>
      <c r="J925" s="3">
        <v>5</v>
      </c>
      <c r="K925" s="3">
        <v>0</v>
      </c>
      <c r="L925" s="9">
        <f t="shared" si="57"/>
        <v>3569.2000000000003</v>
      </c>
      <c r="M925" s="9">
        <f t="shared" si="58"/>
        <v>0</v>
      </c>
      <c r="N925" s="10">
        <f t="shared" si="59"/>
        <v>3569.2000000000003</v>
      </c>
      <c r="O925" s="3" t="s">
        <v>38</v>
      </c>
      <c r="P925" s="3" t="s">
        <v>18</v>
      </c>
      <c r="Q925" s="3" t="s">
        <v>60</v>
      </c>
    </row>
    <row r="926" spans="1:17" x14ac:dyDescent="0.25">
      <c r="A926" s="2" t="s">
        <v>1288</v>
      </c>
      <c r="B926" s="4">
        <v>45965</v>
      </c>
      <c r="C926" s="4" t="str">
        <f t="shared" si="56"/>
        <v>Nov</v>
      </c>
      <c r="D926" s="2" t="s">
        <v>418</v>
      </c>
      <c r="E926" s="2" t="s">
        <v>22</v>
      </c>
      <c r="F926" s="2" t="s">
        <v>23</v>
      </c>
      <c r="G926" s="2" t="s">
        <v>110</v>
      </c>
      <c r="H926" s="2" t="s">
        <v>215</v>
      </c>
      <c r="I926" s="2">
        <v>2391.1799999999998</v>
      </c>
      <c r="J926" s="2">
        <v>2</v>
      </c>
      <c r="K926" s="2">
        <v>0</v>
      </c>
      <c r="L926" s="9">
        <f t="shared" si="57"/>
        <v>4782.3599999999997</v>
      </c>
      <c r="M926" s="9">
        <f t="shared" si="58"/>
        <v>0</v>
      </c>
      <c r="N926" s="10">
        <f t="shared" si="59"/>
        <v>4782.3599999999997</v>
      </c>
      <c r="O926" s="2" t="s">
        <v>17</v>
      </c>
      <c r="P926" s="2" t="s">
        <v>18</v>
      </c>
      <c r="Q926" s="2" t="s">
        <v>40</v>
      </c>
    </row>
    <row r="927" spans="1:17" x14ac:dyDescent="0.25">
      <c r="A927" s="3" t="s">
        <v>1289</v>
      </c>
      <c r="B927" s="4">
        <v>45966</v>
      </c>
      <c r="C927" s="4" t="str">
        <f t="shared" si="56"/>
        <v>Nov</v>
      </c>
      <c r="D927" s="3" t="s">
        <v>738</v>
      </c>
      <c r="E927" s="3" t="s">
        <v>13</v>
      </c>
      <c r="F927" s="3" t="s">
        <v>14</v>
      </c>
      <c r="G927" s="3" t="s">
        <v>72</v>
      </c>
      <c r="H927" s="3" t="s">
        <v>137</v>
      </c>
      <c r="I927" s="3">
        <v>2181.31</v>
      </c>
      <c r="J927" s="3">
        <v>2</v>
      </c>
      <c r="K927" s="3">
        <v>0</v>
      </c>
      <c r="L927" s="9">
        <f t="shared" si="57"/>
        <v>4362.62</v>
      </c>
      <c r="M927" s="9">
        <f t="shared" si="58"/>
        <v>0</v>
      </c>
      <c r="N927" s="10">
        <f t="shared" si="59"/>
        <v>4362.62</v>
      </c>
      <c r="O927" s="3" t="s">
        <v>26</v>
      </c>
      <c r="P927" s="3" t="s">
        <v>18</v>
      </c>
      <c r="Q927" s="3" t="s">
        <v>60</v>
      </c>
    </row>
    <row r="928" spans="1:17" x14ac:dyDescent="0.25">
      <c r="A928" s="2" t="s">
        <v>1290</v>
      </c>
      <c r="B928" s="4">
        <v>45967</v>
      </c>
      <c r="C928" s="4" t="str">
        <f t="shared" si="56"/>
        <v>Nov</v>
      </c>
      <c r="D928" s="2" t="s">
        <v>60</v>
      </c>
      <c r="E928" s="2" t="s">
        <v>51</v>
      </c>
      <c r="F928" s="2" t="s">
        <v>14</v>
      </c>
      <c r="G928" s="2" t="s">
        <v>72</v>
      </c>
      <c r="H928" s="2" t="s">
        <v>102</v>
      </c>
      <c r="I928" s="2">
        <v>680.59</v>
      </c>
      <c r="J928" s="2">
        <v>1</v>
      </c>
      <c r="K928" s="2">
        <v>5</v>
      </c>
      <c r="L928" s="9">
        <f t="shared" si="57"/>
        <v>680.59</v>
      </c>
      <c r="M928" s="9">
        <f t="shared" si="58"/>
        <v>34.029500000000006</v>
      </c>
      <c r="N928" s="10">
        <f t="shared" si="59"/>
        <v>646.56050000000005</v>
      </c>
      <c r="O928" s="2" t="s">
        <v>17</v>
      </c>
      <c r="P928" s="2" t="s">
        <v>18</v>
      </c>
      <c r="Q928" s="2" t="s">
        <v>53</v>
      </c>
    </row>
    <row r="929" spans="1:17" x14ac:dyDescent="0.25">
      <c r="A929" s="3" t="s">
        <v>1291</v>
      </c>
      <c r="B929" s="4">
        <v>45968</v>
      </c>
      <c r="C929" s="4" t="str">
        <f t="shared" si="56"/>
        <v>Nov</v>
      </c>
      <c r="D929" s="3" t="s">
        <v>674</v>
      </c>
      <c r="E929" s="3" t="s">
        <v>100</v>
      </c>
      <c r="F929" s="3" t="s">
        <v>88</v>
      </c>
      <c r="G929" s="3" t="s">
        <v>36</v>
      </c>
      <c r="H929" s="3" t="s">
        <v>78</v>
      </c>
      <c r="I929" s="3">
        <v>82544.929999999993</v>
      </c>
      <c r="J929" s="3">
        <v>4</v>
      </c>
      <c r="K929" s="3">
        <v>15</v>
      </c>
      <c r="L929" s="9">
        <f t="shared" si="57"/>
        <v>330179.71999999997</v>
      </c>
      <c r="M929" s="9">
        <f t="shared" si="58"/>
        <v>49526.957999999999</v>
      </c>
      <c r="N929" s="10">
        <f t="shared" si="59"/>
        <v>280652.76199999999</v>
      </c>
      <c r="O929" s="3" t="s">
        <v>68</v>
      </c>
      <c r="P929" s="3" t="s">
        <v>18</v>
      </c>
      <c r="Q929" s="3" t="s">
        <v>19</v>
      </c>
    </row>
    <row r="930" spans="1:17" x14ac:dyDescent="0.25">
      <c r="A930" s="2" t="s">
        <v>1292</v>
      </c>
      <c r="B930" s="4">
        <v>45969</v>
      </c>
      <c r="C930" s="4" t="str">
        <f t="shared" si="56"/>
        <v>Nov</v>
      </c>
      <c r="D930" s="2" t="s">
        <v>738</v>
      </c>
      <c r="E930" s="2" t="s">
        <v>65</v>
      </c>
      <c r="F930" s="2" t="s">
        <v>66</v>
      </c>
      <c r="G930" s="2" t="s">
        <v>24</v>
      </c>
      <c r="H930" s="2" t="s">
        <v>170</v>
      </c>
      <c r="I930" s="2">
        <v>1253.4100000000001</v>
      </c>
      <c r="J930" s="2">
        <v>2</v>
      </c>
      <c r="K930" s="2">
        <v>5</v>
      </c>
      <c r="L930" s="9">
        <f t="shared" si="57"/>
        <v>2506.8200000000002</v>
      </c>
      <c r="M930" s="9">
        <f t="shared" si="58"/>
        <v>125.34100000000001</v>
      </c>
      <c r="N930" s="10">
        <f t="shared" si="59"/>
        <v>2381.4790000000003</v>
      </c>
      <c r="O930" s="2" t="s">
        <v>68</v>
      </c>
      <c r="P930" s="2" t="s">
        <v>18</v>
      </c>
      <c r="Q930" s="2" t="s">
        <v>60</v>
      </c>
    </row>
    <row r="931" spans="1:17" x14ac:dyDescent="0.25">
      <c r="A931" s="3" t="s">
        <v>1293</v>
      </c>
      <c r="B931" s="4">
        <v>45970</v>
      </c>
      <c r="C931" s="4" t="str">
        <f t="shared" si="56"/>
        <v>Nov</v>
      </c>
      <c r="D931" s="3" t="s">
        <v>495</v>
      </c>
      <c r="E931" s="3" t="s">
        <v>29</v>
      </c>
      <c r="F931" s="3" t="s">
        <v>30</v>
      </c>
      <c r="G931" s="3" t="s">
        <v>24</v>
      </c>
      <c r="H931" s="3" t="s">
        <v>170</v>
      </c>
      <c r="I931" s="3">
        <v>1258.8499999999999</v>
      </c>
      <c r="J931" s="3">
        <v>1</v>
      </c>
      <c r="K931" s="3">
        <v>0</v>
      </c>
      <c r="L931" s="9">
        <f t="shared" si="57"/>
        <v>1258.8499999999999</v>
      </c>
      <c r="M931" s="9">
        <f t="shared" si="58"/>
        <v>0</v>
      </c>
      <c r="N931" s="10">
        <f t="shared" si="59"/>
        <v>1258.8499999999999</v>
      </c>
      <c r="O931" s="3" t="s">
        <v>33</v>
      </c>
      <c r="P931" s="3" t="s">
        <v>18</v>
      </c>
      <c r="Q931" s="3" t="s">
        <v>60</v>
      </c>
    </row>
    <row r="932" spans="1:17" x14ac:dyDescent="0.25">
      <c r="A932" s="2" t="s">
        <v>1294</v>
      </c>
      <c r="B932" s="4">
        <v>45971</v>
      </c>
      <c r="C932" s="4" t="str">
        <f t="shared" si="56"/>
        <v>Nov</v>
      </c>
      <c r="D932" s="2" t="s">
        <v>821</v>
      </c>
      <c r="E932" s="2" t="s">
        <v>22</v>
      </c>
      <c r="F932" s="2" t="s">
        <v>23</v>
      </c>
      <c r="G932" s="2" t="s">
        <v>36</v>
      </c>
      <c r="H932" s="2" t="s">
        <v>78</v>
      </c>
      <c r="I932" s="2">
        <v>84816.71</v>
      </c>
      <c r="J932" s="2">
        <v>5</v>
      </c>
      <c r="K932" s="2">
        <v>10</v>
      </c>
      <c r="L932" s="9">
        <f t="shared" si="57"/>
        <v>424083.55000000005</v>
      </c>
      <c r="M932" s="9">
        <f t="shared" si="58"/>
        <v>42408.355000000003</v>
      </c>
      <c r="N932" s="10">
        <f t="shared" si="59"/>
        <v>381675.19500000007</v>
      </c>
      <c r="O932" s="2" t="s">
        <v>68</v>
      </c>
      <c r="P932" s="2" t="s">
        <v>52</v>
      </c>
      <c r="Q932" s="2" t="s">
        <v>19</v>
      </c>
    </row>
    <row r="933" spans="1:17" x14ac:dyDescent="0.25">
      <c r="A933" s="3" t="s">
        <v>1295</v>
      </c>
      <c r="B933" s="4">
        <v>45972</v>
      </c>
      <c r="C933" s="4" t="str">
        <f t="shared" si="56"/>
        <v>Nov</v>
      </c>
      <c r="D933" s="3" t="s">
        <v>653</v>
      </c>
      <c r="E933" s="3" t="s">
        <v>22</v>
      </c>
      <c r="F933" s="3" t="s">
        <v>23</v>
      </c>
      <c r="G933" s="3" t="s">
        <v>72</v>
      </c>
      <c r="H933" s="3" t="s">
        <v>73</v>
      </c>
      <c r="I933" s="3">
        <v>327.68</v>
      </c>
      <c r="J933" s="3">
        <v>4</v>
      </c>
      <c r="K933" s="3">
        <v>0</v>
      </c>
      <c r="L933" s="9">
        <f t="shared" si="57"/>
        <v>1310.72</v>
      </c>
      <c r="M933" s="9">
        <f t="shared" si="58"/>
        <v>0</v>
      </c>
      <c r="N933" s="10">
        <f t="shared" si="59"/>
        <v>1310.72</v>
      </c>
      <c r="O933" s="3" t="s">
        <v>33</v>
      </c>
      <c r="P933" s="3" t="s">
        <v>18</v>
      </c>
      <c r="Q933" s="3" t="s">
        <v>19</v>
      </c>
    </row>
    <row r="934" spans="1:17" x14ac:dyDescent="0.25">
      <c r="A934" s="2" t="s">
        <v>1296</v>
      </c>
      <c r="B934" s="4">
        <v>45973</v>
      </c>
      <c r="C934" s="4" t="str">
        <f t="shared" si="56"/>
        <v>Nov</v>
      </c>
      <c r="D934" s="2" t="s">
        <v>601</v>
      </c>
      <c r="E934" s="2" t="s">
        <v>22</v>
      </c>
      <c r="F934" s="2" t="s">
        <v>23</v>
      </c>
      <c r="G934" s="2" t="s">
        <v>15</v>
      </c>
      <c r="H934" s="2" t="s">
        <v>56</v>
      </c>
      <c r="I934" s="2">
        <v>1686.56</v>
      </c>
      <c r="J934" s="2">
        <v>1</v>
      </c>
      <c r="K934" s="2">
        <v>10</v>
      </c>
      <c r="L934" s="9">
        <f t="shared" si="57"/>
        <v>1686.56</v>
      </c>
      <c r="M934" s="9">
        <f t="shared" si="58"/>
        <v>168.65599999999998</v>
      </c>
      <c r="N934" s="10">
        <f t="shared" si="59"/>
        <v>1517.904</v>
      </c>
      <c r="O934" s="2" t="s">
        <v>17</v>
      </c>
      <c r="P934" s="2" t="s">
        <v>39</v>
      </c>
      <c r="Q934" s="2" t="s">
        <v>19</v>
      </c>
    </row>
    <row r="935" spans="1:17" x14ac:dyDescent="0.25">
      <c r="A935" s="3" t="s">
        <v>1297</v>
      </c>
      <c r="B935" s="4">
        <v>45974</v>
      </c>
      <c r="C935" s="4" t="str">
        <f t="shared" si="56"/>
        <v>Nov</v>
      </c>
      <c r="D935" s="3" t="s">
        <v>919</v>
      </c>
      <c r="E935" s="3" t="s">
        <v>83</v>
      </c>
      <c r="F935" s="3" t="s">
        <v>84</v>
      </c>
      <c r="G935" s="3" t="s">
        <v>72</v>
      </c>
      <c r="H935" s="3" t="s">
        <v>73</v>
      </c>
      <c r="I935" s="3">
        <v>352.73</v>
      </c>
      <c r="J935" s="3">
        <v>1</v>
      </c>
      <c r="K935" s="3">
        <v>15</v>
      </c>
      <c r="L935" s="9">
        <f t="shared" si="57"/>
        <v>352.73</v>
      </c>
      <c r="M935" s="9">
        <f t="shared" si="58"/>
        <v>52.909500000000008</v>
      </c>
      <c r="N935" s="10">
        <f t="shared" si="59"/>
        <v>299.82050000000004</v>
      </c>
      <c r="O935" s="3" t="s">
        <v>68</v>
      </c>
      <c r="P935" s="3" t="s">
        <v>18</v>
      </c>
      <c r="Q935" s="3" t="s">
        <v>19</v>
      </c>
    </row>
    <row r="936" spans="1:17" x14ac:dyDescent="0.25">
      <c r="A936" s="2" t="s">
        <v>1298</v>
      </c>
      <c r="B936" s="4">
        <v>45975</v>
      </c>
      <c r="C936" s="4" t="str">
        <f t="shared" si="56"/>
        <v>Nov</v>
      </c>
      <c r="D936" s="2" t="s">
        <v>1299</v>
      </c>
      <c r="E936" s="2" t="s">
        <v>83</v>
      </c>
      <c r="F936" s="2" t="s">
        <v>84</v>
      </c>
      <c r="G936" s="2" t="s">
        <v>43</v>
      </c>
      <c r="H936" s="2" t="s">
        <v>105</v>
      </c>
      <c r="I936" s="2">
        <v>2588.91</v>
      </c>
      <c r="J936" s="2">
        <v>2</v>
      </c>
      <c r="K936" s="2">
        <v>0</v>
      </c>
      <c r="L936" s="9">
        <f t="shared" si="57"/>
        <v>5177.82</v>
      </c>
      <c r="M936" s="9">
        <f t="shared" si="58"/>
        <v>0</v>
      </c>
      <c r="N936" s="10">
        <f t="shared" si="59"/>
        <v>5177.82</v>
      </c>
      <c r="O936" s="2" t="s">
        <v>26</v>
      </c>
      <c r="P936" s="2" t="s">
        <v>27</v>
      </c>
      <c r="Q936" s="2" t="s">
        <v>53</v>
      </c>
    </row>
    <row r="937" spans="1:17" x14ac:dyDescent="0.25">
      <c r="A937" s="3" t="s">
        <v>1300</v>
      </c>
      <c r="B937" s="4">
        <v>45976</v>
      </c>
      <c r="C937" s="4" t="str">
        <f t="shared" si="56"/>
        <v>Nov</v>
      </c>
      <c r="D937" s="3" t="s">
        <v>355</v>
      </c>
      <c r="E937" s="3" t="s">
        <v>13</v>
      </c>
      <c r="F937" s="3" t="s">
        <v>14</v>
      </c>
      <c r="G937" s="3" t="s">
        <v>36</v>
      </c>
      <c r="H937" s="3" t="s">
        <v>78</v>
      </c>
      <c r="I937" s="3">
        <v>85104.52</v>
      </c>
      <c r="J937" s="3">
        <v>3</v>
      </c>
      <c r="K937" s="3">
        <v>0</v>
      </c>
      <c r="L937" s="9">
        <f t="shared" si="57"/>
        <v>255313.56</v>
      </c>
      <c r="M937" s="9">
        <f t="shared" si="58"/>
        <v>0</v>
      </c>
      <c r="N937" s="10">
        <f t="shared" si="59"/>
        <v>255313.56</v>
      </c>
      <c r="O937" s="3" t="s">
        <v>26</v>
      </c>
      <c r="P937" s="3" t="s">
        <v>18</v>
      </c>
      <c r="Q937" s="3" t="s">
        <v>40</v>
      </c>
    </row>
    <row r="938" spans="1:17" x14ac:dyDescent="0.25">
      <c r="A938" s="2" t="s">
        <v>1301</v>
      </c>
      <c r="B938" s="4">
        <v>45977</v>
      </c>
      <c r="C938" s="4" t="str">
        <f t="shared" si="56"/>
        <v>Nov</v>
      </c>
      <c r="D938" s="2" t="s">
        <v>234</v>
      </c>
      <c r="E938" s="2" t="s">
        <v>83</v>
      </c>
      <c r="F938" s="2" t="s">
        <v>84</v>
      </c>
      <c r="G938" s="2" t="s">
        <v>72</v>
      </c>
      <c r="H938" s="2" t="s">
        <v>137</v>
      </c>
      <c r="I938" s="2">
        <v>2270.0300000000002</v>
      </c>
      <c r="J938" s="2">
        <v>4</v>
      </c>
      <c r="K938" s="2">
        <v>10</v>
      </c>
      <c r="L938" s="9">
        <f t="shared" si="57"/>
        <v>9080.1200000000008</v>
      </c>
      <c r="M938" s="9">
        <f t="shared" si="58"/>
        <v>908.01200000000017</v>
      </c>
      <c r="N938" s="10">
        <f t="shared" si="59"/>
        <v>8172.1080000000002</v>
      </c>
      <c r="O938" s="2" t="s">
        <v>17</v>
      </c>
      <c r="P938" s="2" t="s">
        <v>18</v>
      </c>
      <c r="Q938" s="2" t="s">
        <v>34</v>
      </c>
    </row>
    <row r="939" spans="1:17" x14ac:dyDescent="0.25">
      <c r="A939" s="3" t="s">
        <v>1302</v>
      </c>
      <c r="B939" s="4">
        <v>45978</v>
      </c>
      <c r="C939" s="4" t="str">
        <f t="shared" si="56"/>
        <v>Nov</v>
      </c>
      <c r="D939" s="3" t="s">
        <v>239</v>
      </c>
      <c r="E939" s="3" t="s">
        <v>83</v>
      </c>
      <c r="F939" s="3" t="s">
        <v>84</v>
      </c>
      <c r="G939" s="3" t="s">
        <v>110</v>
      </c>
      <c r="H939" s="3" t="s">
        <v>153</v>
      </c>
      <c r="I939" s="3">
        <v>3631.55</v>
      </c>
      <c r="J939" s="3">
        <v>1</v>
      </c>
      <c r="K939" s="3">
        <v>0</v>
      </c>
      <c r="L939" s="9">
        <f t="shared" si="57"/>
        <v>3631.55</v>
      </c>
      <c r="M939" s="9">
        <f t="shared" si="58"/>
        <v>0</v>
      </c>
      <c r="N939" s="10">
        <f t="shared" si="59"/>
        <v>3631.55</v>
      </c>
      <c r="O939" s="3" t="s">
        <v>68</v>
      </c>
      <c r="P939" s="3" t="s">
        <v>18</v>
      </c>
      <c r="Q939" s="3" t="s">
        <v>53</v>
      </c>
    </row>
    <row r="940" spans="1:17" x14ac:dyDescent="0.25">
      <c r="A940" s="2" t="s">
        <v>1303</v>
      </c>
      <c r="B940" s="4">
        <v>45979</v>
      </c>
      <c r="C940" s="4" t="str">
        <f t="shared" si="56"/>
        <v>Nov</v>
      </c>
      <c r="D940" s="2" t="s">
        <v>285</v>
      </c>
      <c r="E940" s="2" t="s">
        <v>29</v>
      </c>
      <c r="F940" s="2" t="s">
        <v>30</v>
      </c>
      <c r="G940" s="2" t="s">
        <v>110</v>
      </c>
      <c r="H940" s="2" t="s">
        <v>153</v>
      </c>
      <c r="I940" s="2">
        <v>3564.25</v>
      </c>
      <c r="J940" s="2">
        <v>3</v>
      </c>
      <c r="K940" s="2">
        <v>10</v>
      </c>
      <c r="L940" s="9">
        <f t="shared" si="57"/>
        <v>10692.75</v>
      </c>
      <c r="M940" s="9">
        <f t="shared" si="58"/>
        <v>1069.2750000000001</v>
      </c>
      <c r="N940" s="10">
        <f t="shared" si="59"/>
        <v>9623.4750000000004</v>
      </c>
      <c r="O940" s="2" t="s">
        <v>17</v>
      </c>
      <c r="P940" s="2" t="s">
        <v>18</v>
      </c>
      <c r="Q940" s="2" t="s">
        <v>40</v>
      </c>
    </row>
    <row r="941" spans="1:17" x14ac:dyDescent="0.25">
      <c r="A941" s="3" t="s">
        <v>1304</v>
      </c>
      <c r="B941" s="4">
        <v>45980</v>
      </c>
      <c r="C941" s="4" t="str">
        <f t="shared" si="56"/>
        <v>Nov</v>
      </c>
      <c r="D941" s="3" t="s">
        <v>364</v>
      </c>
      <c r="E941" s="3" t="s">
        <v>65</v>
      </c>
      <c r="F941" s="3" t="s">
        <v>66</v>
      </c>
      <c r="G941" s="3" t="s">
        <v>15</v>
      </c>
      <c r="H941" s="3" t="s">
        <v>163</v>
      </c>
      <c r="I941" s="3">
        <v>2450.0300000000002</v>
      </c>
      <c r="J941" s="3">
        <v>1</v>
      </c>
      <c r="K941" s="3">
        <v>10</v>
      </c>
      <c r="L941" s="9">
        <f t="shared" si="57"/>
        <v>2450.0300000000002</v>
      </c>
      <c r="M941" s="9">
        <f t="shared" si="58"/>
        <v>245.00300000000004</v>
      </c>
      <c r="N941" s="10">
        <f t="shared" si="59"/>
        <v>2205.027</v>
      </c>
      <c r="O941" s="3" t="s">
        <v>33</v>
      </c>
      <c r="P941" s="3" t="s">
        <v>27</v>
      </c>
      <c r="Q941" s="3" t="s">
        <v>53</v>
      </c>
    </row>
    <row r="942" spans="1:17" x14ac:dyDescent="0.25">
      <c r="A942" s="2" t="s">
        <v>1305</v>
      </c>
      <c r="B942" s="4">
        <v>45981</v>
      </c>
      <c r="C942" s="4" t="str">
        <f t="shared" si="56"/>
        <v>Nov</v>
      </c>
      <c r="D942" s="2" t="s">
        <v>1306</v>
      </c>
      <c r="E942" s="2" t="s">
        <v>47</v>
      </c>
      <c r="F942" s="2" t="s">
        <v>48</v>
      </c>
      <c r="G942" s="2" t="s">
        <v>15</v>
      </c>
      <c r="H942" s="2" t="s">
        <v>163</v>
      </c>
      <c r="I942" s="2">
        <v>2607.2199999999998</v>
      </c>
      <c r="J942" s="2">
        <v>5</v>
      </c>
      <c r="K942" s="2">
        <v>5</v>
      </c>
      <c r="L942" s="9">
        <f t="shared" si="57"/>
        <v>13036.099999999999</v>
      </c>
      <c r="M942" s="9">
        <f t="shared" si="58"/>
        <v>651.80499999999995</v>
      </c>
      <c r="N942" s="10">
        <f t="shared" si="59"/>
        <v>12384.294999999998</v>
      </c>
      <c r="O942" s="2" t="s">
        <v>17</v>
      </c>
      <c r="P942" s="2" t="s">
        <v>52</v>
      </c>
      <c r="Q942" s="2" t="s">
        <v>53</v>
      </c>
    </row>
    <row r="943" spans="1:17" x14ac:dyDescent="0.25">
      <c r="A943" s="3" t="s">
        <v>1307</v>
      </c>
      <c r="B943" s="4">
        <v>45982</v>
      </c>
      <c r="C943" s="4" t="str">
        <f t="shared" si="56"/>
        <v>Nov</v>
      </c>
      <c r="D943" s="3" t="s">
        <v>320</v>
      </c>
      <c r="E943" s="3" t="s">
        <v>65</v>
      </c>
      <c r="F943" s="3" t="s">
        <v>66</v>
      </c>
      <c r="G943" s="3" t="s">
        <v>43</v>
      </c>
      <c r="H943" s="3" t="s">
        <v>44</v>
      </c>
      <c r="I943" s="3">
        <v>3824.81</v>
      </c>
      <c r="J943" s="3">
        <v>2</v>
      </c>
      <c r="K943" s="3">
        <v>0</v>
      </c>
      <c r="L943" s="9">
        <f t="shared" si="57"/>
        <v>7649.62</v>
      </c>
      <c r="M943" s="9">
        <f t="shared" si="58"/>
        <v>0</v>
      </c>
      <c r="N943" s="10">
        <f t="shared" si="59"/>
        <v>7649.62</v>
      </c>
      <c r="O943" s="3" t="s">
        <v>38</v>
      </c>
      <c r="P943" s="3" t="s">
        <v>18</v>
      </c>
      <c r="Q943" s="3" t="s">
        <v>19</v>
      </c>
    </row>
    <row r="944" spans="1:17" x14ac:dyDescent="0.25">
      <c r="A944" s="2" t="s">
        <v>1308</v>
      </c>
      <c r="B944" s="4">
        <v>45983</v>
      </c>
      <c r="C944" s="4" t="str">
        <f t="shared" si="56"/>
        <v>Nov</v>
      </c>
      <c r="D944" s="2" t="s">
        <v>19</v>
      </c>
      <c r="E944" s="2" t="s">
        <v>65</v>
      </c>
      <c r="F944" s="2" t="s">
        <v>66</v>
      </c>
      <c r="G944" s="2" t="s">
        <v>36</v>
      </c>
      <c r="H944" s="2" t="s">
        <v>338</v>
      </c>
      <c r="I944" s="2">
        <v>66822.31</v>
      </c>
      <c r="J944" s="2">
        <v>3</v>
      </c>
      <c r="K944" s="2">
        <v>0</v>
      </c>
      <c r="L944" s="9">
        <f t="shared" si="57"/>
        <v>200466.93</v>
      </c>
      <c r="M944" s="9">
        <f t="shared" si="58"/>
        <v>0</v>
      </c>
      <c r="N944" s="10">
        <f t="shared" si="59"/>
        <v>200466.93</v>
      </c>
      <c r="O944" s="2" t="s">
        <v>38</v>
      </c>
      <c r="P944" s="2" t="s">
        <v>18</v>
      </c>
      <c r="Q944" s="2" t="s">
        <v>53</v>
      </c>
    </row>
    <row r="945" spans="1:17" x14ac:dyDescent="0.25">
      <c r="A945" s="3" t="s">
        <v>1309</v>
      </c>
      <c r="B945" s="4">
        <v>45984</v>
      </c>
      <c r="C945" s="4" t="str">
        <f t="shared" si="56"/>
        <v>Nov</v>
      </c>
      <c r="D945" s="3" t="s">
        <v>821</v>
      </c>
      <c r="E945" s="3" t="s">
        <v>65</v>
      </c>
      <c r="F945" s="3" t="s">
        <v>66</v>
      </c>
      <c r="G945" s="3" t="s">
        <v>24</v>
      </c>
      <c r="H945" s="3" t="s">
        <v>134</v>
      </c>
      <c r="I945" s="3">
        <v>2725.89</v>
      </c>
      <c r="J945" s="3">
        <v>1</v>
      </c>
      <c r="K945" s="3">
        <v>10</v>
      </c>
      <c r="L945" s="9">
        <f t="shared" si="57"/>
        <v>2725.89</v>
      </c>
      <c r="M945" s="9">
        <f t="shared" si="58"/>
        <v>272.589</v>
      </c>
      <c r="N945" s="10">
        <f t="shared" si="59"/>
        <v>2453.3009999999999</v>
      </c>
      <c r="O945" s="3" t="s">
        <v>17</v>
      </c>
      <c r="P945" s="3" t="s">
        <v>27</v>
      </c>
      <c r="Q945" s="3" t="s">
        <v>34</v>
      </c>
    </row>
    <row r="946" spans="1:17" x14ac:dyDescent="0.25">
      <c r="A946" s="2" t="s">
        <v>1310</v>
      </c>
      <c r="B946" s="4">
        <v>45985</v>
      </c>
      <c r="C946" s="4" t="str">
        <f t="shared" si="56"/>
        <v>Nov</v>
      </c>
      <c r="D946" s="2" t="s">
        <v>919</v>
      </c>
      <c r="E946" s="2" t="s">
        <v>83</v>
      </c>
      <c r="F946" s="2" t="s">
        <v>84</v>
      </c>
      <c r="G946" s="2" t="s">
        <v>31</v>
      </c>
      <c r="H946" s="2" t="s">
        <v>242</v>
      </c>
      <c r="I946" s="2">
        <v>965.77</v>
      </c>
      <c r="J946" s="2">
        <v>5</v>
      </c>
      <c r="K946" s="2">
        <v>0</v>
      </c>
      <c r="L946" s="9">
        <f t="shared" si="57"/>
        <v>4828.8500000000004</v>
      </c>
      <c r="M946" s="9">
        <f t="shared" si="58"/>
        <v>0</v>
      </c>
      <c r="N946" s="10">
        <f t="shared" si="59"/>
        <v>4828.8500000000004</v>
      </c>
      <c r="O946" s="2" t="s">
        <v>17</v>
      </c>
      <c r="P946" s="2" t="s">
        <v>18</v>
      </c>
      <c r="Q946" s="2" t="s">
        <v>40</v>
      </c>
    </row>
    <row r="947" spans="1:17" x14ac:dyDescent="0.25">
      <c r="A947" s="3" t="s">
        <v>1311</v>
      </c>
      <c r="B947" s="4">
        <v>45986</v>
      </c>
      <c r="C947" s="4" t="str">
        <f t="shared" si="56"/>
        <v>Nov</v>
      </c>
      <c r="D947" s="3" t="s">
        <v>557</v>
      </c>
      <c r="E947" s="3" t="s">
        <v>100</v>
      </c>
      <c r="F947" s="3" t="s">
        <v>88</v>
      </c>
      <c r="G947" s="3" t="s">
        <v>31</v>
      </c>
      <c r="H947" s="3" t="s">
        <v>242</v>
      </c>
      <c r="I947" s="3">
        <v>909.3</v>
      </c>
      <c r="J947" s="3">
        <v>4</v>
      </c>
      <c r="K947" s="3">
        <v>0</v>
      </c>
      <c r="L947" s="9">
        <f t="shared" si="57"/>
        <v>3637.2</v>
      </c>
      <c r="M947" s="9">
        <f t="shared" si="58"/>
        <v>0</v>
      </c>
      <c r="N947" s="10">
        <f t="shared" si="59"/>
        <v>3637.2</v>
      </c>
      <c r="O947" s="3" t="s">
        <v>17</v>
      </c>
      <c r="P947" s="3" t="s">
        <v>18</v>
      </c>
      <c r="Q947" s="3" t="s">
        <v>34</v>
      </c>
    </row>
    <row r="948" spans="1:17" x14ac:dyDescent="0.25">
      <c r="A948" s="2" t="s">
        <v>1312</v>
      </c>
      <c r="B948" s="4">
        <v>45987</v>
      </c>
      <c r="C948" s="4" t="str">
        <f t="shared" si="56"/>
        <v>Nov</v>
      </c>
      <c r="D948" s="2" t="s">
        <v>19</v>
      </c>
      <c r="E948" s="2" t="s">
        <v>100</v>
      </c>
      <c r="F948" s="2" t="s">
        <v>88</v>
      </c>
      <c r="G948" s="2" t="s">
        <v>15</v>
      </c>
      <c r="H948" s="2" t="s">
        <v>163</v>
      </c>
      <c r="I948" s="2">
        <v>2321.34</v>
      </c>
      <c r="J948" s="2">
        <v>5</v>
      </c>
      <c r="K948" s="2">
        <v>15</v>
      </c>
      <c r="L948" s="9">
        <f t="shared" si="57"/>
        <v>11606.7</v>
      </c>
      <c r="M948" s="9">
        <f t="shared" si="58"/>
        <v>1741.0050000000001</v>
      </c>
      <c r="N948" s="10">
        <f t="shared" si="59"/>
        <v>9865.6949999999997</v>
      </c>
      <c r="O948" s="2" t="s">
        <v>68</v>
      </c>
      <c r="P948" s="2" t="s">
        <v>27</v>
      </c>
      <c r="Q948" s="2" t="s">
        <v>34</v>
      </c>
    </row>
    <row r="949" spans="1:17" x14ac:dyDescent="0.25">
      <c r="A949" s="3" t="s">
        <v>1313</v>
      </c>
      <c r="B949" s="4">
        <v>45988</v>
      </c>
      <c r="C949" s="4" t="str">
        <f t="shared" si="56"/>
        <v>Nov</v>
      </c>
      <c r="D949" s="3" t="s">
        <v>605</v>
      </c>
      <c r="E949" s="3" t="s">
        <v>29</v>
      </c>
      <c r="F949" s="3" t="s">
        <v>30</v>
      </c>
      <c r="G949" s="3" t="s">
        <v>43</v>
      </c>
      <c r="H949" s="3" t="s">
        <v>145</v>
      </c>
      <c r="I949" s="3">
        <v>11239.45</v>
      </c>
      <c r="J949" s="3">
        <v>3</v>
      </c>
      <c r="K949" s="3">
        <v>5</v>
      </c>
      <c r="L949" s="9">
        <f t="shared" si="57"/>
        <v>33718.350000000006</v>
      </c>
      <c r="M949" s="9">
        <f t="shared" si="58"/>
        <v>1685.9175000000002</v>
      </c>
      <c r="N949" s="10">
        <f t="shared" si="59"/>
        <v>32032.432500000006</v>
      </c>
      <c r="O949" s="3" t="s">
        <v>17</v>
      </c>
      <c r="P949" s="3" t="s">
        <v>18</v>
      </c>
      <c r="Q949" s="3" t="s">
        <v>34</v>
      </c>
    </row>
    <row r="950" spans="1:17" x14ac:dyDescent="0.25">
      <c r="A950" s="2" t="s">
        <v>1314</v>
      </c>
      <c r="B950" s="4">
        <v>45989</v>
      </c>
      <c r="C950" s="4" t="str">
        <f t="shared" si="56"/>
        <v>Nov</v>
      </c>
      <c r="D950" s="2" t="s">
        <v>423</v>
      </c>
      <c r="E950" s="2" t="s">
        <v>51</v>
      </c>
      <c r="F950" s="2" t="s">
        <v>14</v>
      </c>
      <c r="G950" s="2" t="s">
        <v>31</v>
      </c>
      <c r="H950" s="2" t="s">
        <v>32</v>
      </c>
      <c r="I950" s="2">
        <v>2723.73</v>
      </c>
      <c r="J950" s="2">
        <v>4</v>
      </c>
      <c r="K950" s="2">
        <v>0</v>
      </c>
      <c r="L950" s="9">
        <f t="shared" si="57"/>
        <v>10894.92</v>
      </c>
      <c r="M950" s="9">
        <f t="shared" si="58"/>
        <v>0</v>
      </c>
      <c r="N950" s="10">
        <f t="shared" si="59"/>
        <v>10894.92</v>
      </c>
      <c r="O950" s="2" t="s">
        <v>68</v>
      </c>
      <c r="P950" s="2" t="s">
        <v>27</v>
      </c>
      <c r="Q950" s="2" t="s">
        <v>40</v>
      </c>
    </row>
    <row r="951" spans="1:17" x14ac:dyDescent="0.25">
      <c r="A951" s="3" t="s">
        <v>1315</v>
      </c>
      <c r="B951" s="4">
        <v>45990</v>
      </c>
      <c r="C951" s="4" t="str">
        <f t="shared" si="56"/>
        <v>Nov</v>
      </c>
      <c r="D951" s="3" t="s">
        <v>981</v>
      </c>
      <c r="E951" s="3" t="s">
        <v>22</v>
      </c>
      <c r="F951" s="3" t="s">
        <v>23</v>
      </c>
      <c r="G951" s="3" t="s">
        <v>24</v>
      </c>
      <c r="H951" s="3" t="s">
        <v>59</v>
      </c>
      <c r="I951" s="3">
        <v>4557.41</v>
      </c>
      <c r="J951" s="3">
        <v>3</v>
      </c>
      <c r="K951" s="3">
        <v>5</v>
      </c>
      <c r="L951" s="9">
        <f t="shared" si="57"/>
        <v>13672.23</v>
      </c>
      <c r="M951" s="9">
        <f t="shared" si="58"/>
        <v>683.61149999999998</v>
      </c>
      <c r="N951" s="10">
        <f t="shared" si="59"/>
        <v>12988.6185</v>
      </c>
      <c r="O951" s="3" t="s">
        <v>33</v>
      </c>
      <c r="P951" s="3" t="s">
        <v>39</v>
      </c>
      <c r="Q951" s="3" t="s">
        <v>40</v>
      </c>
    </row>
    <row r="952" spans="1:17" x14ac:dyDescent="0.25">
      <c r="A952" s="2" t="s">
        <v>1316</v>
      </c>
      <c r="B952" s="4">
        <v>45991</v>
      </c>
      <c r="C952" s="4" t="str">
        <f t="shared" si="56"/>
        <v>Nov</v>
      </c>
      <c r="D952" s="2" t="s">
        <v>19</v>
      </c>
      <c r="E952" s="2" t="s">
        <v>100</v>
      </c>
      <c r="F952" s="2" t="s">
        <v>88</v>
      </c>
      <c r="G952" s="2" t="s">
        <v>43</v>
      </c>
      <c r="H952" s="2" t="s">
        <v>145</v>
      </c>
      <c r="I952" s="2">
        <v>12036.03</v>
      </c>
      <c r="J952" s="2">
        <v>5</v>
      </c>
      <c r="K952" s="2">
        <v>10</v>
      </c>
      <c r="L952" s="9">
        <f t="shared" si="57"/>
        <v>60180.15</v>
      </c>
      <c r="M952" s="9">
        <f t="shared" si="58"/>
        <v>6018.0150000000003</v>
      </c>
      <c r="N952" s="10">
        <f t="shared" si="59"/>
        <v>54162.135000000002</v>
      </c>
      <c r="O952" s="2" t="s">
        <v>68</v>
      </c>
      <c r="P952" s="2" t="s">
        <v>18</v>
      </c>
      <c r="Q952" s="2" t="s">
        <v>40</v>
      </c>
    </row>
    <row r="953" spans="1:17" x14ac:dyDescent="0.25">
      <c r="A953" s="3" t="s">
        <v>1317</v>
      </c>
      <c r="B953" s="4">
        <v>45992</v>
      </c>
      <c r="C953" s="4" t="str">
        <f t="shared" si="56"/>
        <v>Dec</v>
      </c>
      <c r="D953" s="3" t="s">
        <v>439</v>
      </c>
      <c r="E953" s="3" t="s">
        <v>13</v>
      </c>
      <c r="F953" s="3" t="s">
        <v>14</v>
      </c>
      <c r="G953" s="3" t="s">
        <v>15</v>
      </c>
      <c r="H953" s="3" t="s">
        <v>95</v>
      </c>
      <c r="I953" s="3">
        <v>1248.6199999999999</v>
      </c>
      <c r="J953" s="3">
        <v>3</v>
      </c>
      <c r="K953" s="3">
        <v>0</v>
      </c>
      <c r="L953" s="9">
        <f t="shared" si="57"/>
        <v>3745.8599999999997</v>
      </c>
      <c r="M953" s="9">
        <f t="shared" si="58"/>
        <v>0</v>
      </c>
      <c r="N953" s="10">
        <f t="shared" si="59"/>
        <v>3745.8599999999997</v>
      </c>
      <c r="O953" s="3" t="s">
        <v>17</v>
      </c>
      <c r="P953" s="3" t="s">
        <v>27</v>
      </c>
      <c r="Q953" s="3" t="s">
        <v>19</v>
      </c>
    </row>
    <row r="954" spans="1:17" x14ac:dyDescent="0.25">
      <c r="A954" s="2" t="s">
        <v>1318</v>
      </c>
      <c r="B954" s="4">
        <v>45993</v>
      </c>
      <c r="C954" s="4" t="str">
        <f t="shared" si="56"/>
        <v>Dec</v>
      </c>
      <c r="D954" s="2" t="s">
        <v>630</v>
      </c>
      <c r="E954" s="2" t="s">
        <v>100</v>
      </c>
      <c r="F954" s="2" t="s">
        <v>88</v>
      </c>
      <c r="G954" s="2" t="s">
        <v>15</v>
      </c>
      <c r="H954" s="2" t="s">
        <v>56</v>
      </c>
      <c r="I954" s="2">
        <v>1945.37</v>
      </c>
      <c r="J954" s="2">
        <v>2</v>
      </c>
      <c r="K954" s="2">
        <v>10</v>
      </c>
      <c r="L954" s="9">
        <f t="shared" si="57"/>
        <v>3890.74</v>
      </c>
      <c r="M954" s="9">
        <f t="shared" si="58"/>
        <v>389.07399999999996</v>
      </c>
      <c r="N954" s="10">
        <f t="shared" si="59"/>
        <v>3501.6659999999997</v>
      </c>
      <c r="O954" s="2" t="s">
        <v>38</v>
      </c>
      <c r="P954" s="2" t="s">
        <v>39</v>
      </c>
      <c r="Q954" s="2" t="s">
        <v>53</v>
      </c>
    </row>
    <row r="955" spans="1:17" x14ac:dyDescent="0.25">
      <c r="A955" s="3" t="s">
        <v>1319</v>
      </c>
      <c r="B955" s="4">
        <v>45994</v>
      </c>
      <c r="C955" s="4" t="str">
        <f t="shared" si="56"/>
        <v>Dec</v>
      </c>
      <c r="D955" s="3" t="s">
        <v>351</v>
      </c>
      <c r="E955" s="3" t="s">
        <v>65</v>
      </c>
      <c r="F955" s="3" t="s">
        <v>66</v>
      </c>
      <c r="G955" s="3" t="s">
        <v>43</v>
      </c>
      <c r="H955" s="3" t="s">
        <v>145</v>
      </c>
      <c r="I955" s="3">
        <v>11209.16</v>
      </c>
      <c r="J955" s="3">
        <v>1</v>
      </c>
      <c r="K955" s="3">
        <v>0</v>
      </c>
      <c r="L955" s="9">
        <f t="shared" si="57"/>
        <v>11209.16</v>
      </c>
      <c r="M955" s="9">
        <f t="shared" si="58"/>
        <v>0</v>
      </c>
      <c r="N955" s="10">
        <f t="shared" si="59"/>
        <v>11209.16</v>
      </c>
      <c r="O955" s="3" t="s">
        <v>26</v>
      </c>
      <c r="P955" s="3" t="s">
        <v>39</v>
      </c>
      <c r="Q955" s="3" t="s">
        <v>19</v>
      </c>
    </row>
    <row r="956" spans="1:17" x14ac:dyDescent="0.25">
      <c r="A956" s="2" t="s">
        <v>1320</v>
      </c>
      <c r="B956" s="4">
        <v>45995</v>
      </c>
      <c r="C956" s="4" t="str">
        <f t="shared" si="56"/>
        <v>Dec</v>
      </c>
      <c r="D956" s="2" t="s">
        <v>579</v>
      </c>
      <c r="E956" s="2" t="s">
        <v>76</v>
      </c>
      <c r="F956" s="2" t="s">
        <v>77</v>
      </c>
      <c r="G956" s="2" t="s">
        <v>31</v>
      </c>
      <c r="H956" s="2" t="s">
        <v>116</v>
      </c>
      <c r="I956" s="2">
        <v>1131.1400000000001</v>
      </c>
      <c r="J956" s="2">
        <v>5</v>
      </c>
      <c r="K956" s="2">
        <v>0</v>
      </c>
      <c r="L956" s="9">
        <f t="shared" si="57"/>
        <v>5655.7000000000007</v>
      </c>
      <c r="M956" s="9">
        <f t="shared" si="58"/>
        <v>0</v>
      </c>
      <c r="N956" s="10">
        <f t="shared" si="59"/>
        <v>5655.7000000000007</v>
      </c>
      <c r="O956" s="2" t="s">
        <v>26</v>
      </c>
      <c r="P956" s="2" t="s">
        <v>18</v>
      </c>
      <c r="Q956" s="2" t="s">
        <v>19</v>
      </c>
    </row>
    <row r="957" spans="1:17" x14ac:dyDescent="0.25">
      <c r="A957" s="3" t="s">
        <v>1321</v>
      </c>
      <c r="B957" s="4">
        <v>45996</v>
      </c>
      <c r="C957" s="4" t="str">
        <f t="shared" si="56"/>
        <v>Dec</v>
      </c>
      <c r="D957" s="3" t="s">
        <v>1118</v>
      </c>
      <c r="E957" s="3" t="s">
        <v>76</v>
      </c>
      <c r="F957" s="3" t="s">
        <v>77</v>
      </c>
      <c r="G957" s="3" t="s">
        <v>36</v>
      </c>
      <c r="H957" s="3" t="s">
        <v>338</v>
      </c>
      <c r="I957" s="3">
        <v>58576.58</v>
      </c>
      <c r="J957" s="3">
        <v>4</v>
      </c>
      <c r="K957" s="3">
        <v>0</v>
      </c>
      <c r="L957" s="9">
        <f t="shared" si="57"/>
        <v>234306.32</v>
      </c>
      <c r="M957" s="9">
        <f t="shared" si="58"/>
        <v>0</v>
      </c>
      <c r="N957" s="10">
        <f t="shared" si="59"/>
        <v>234306.32</v>
      </c>
      <c r="O957" s="3" t="s">
        <v>38</v>
      </c>
      <c r="P957" s="3" t="s">
        <v>18</v>
      </c>
      <c r="Q957" s="3" t="s">
        <v>40</v>
      </c>
    </row>
    <row r="958" spans="1:17" x14ac:dyDescent="0.25">
      <c r="A958" s="2" t="s">
        <v>1322</v>
      </c>
      <c r="B958" s="4">
        <v>45997</v>
      </c>
      <c r="C958" s="4" t="str">
        <f t="shared" si="56"/>
        <v>Dec</v>
      </c>
      <c r="D958" s="2" t="s">
        <v>543</v>
      </c>
      <c r="E958" s="2" t="s">
        <v>100</v>
      </c>
      <c r="F958" s="2" t="s">
        <v>88</v>
      </c>
      <c r="G958" s="2" t="s">
        <v>43</v>
      </c>
      <c r="H958" s="2" t="s">
        <v>105</v>
      </c>
      <c r="I958" s="2">
        <v>2524.96</v>
      </c>
      <c r="J958" s="2">
        <v>4</v>
      </c>
      <c r="K958" s="2">
        <v>10</v>
      </c>
      <c r="L958" s="9">
        <f t="shared" si="57"/>
        <v>10099.84</v>
      </c>
      <c r="M958" s="9">
        <f t="shared" si="58"/>
        <v>1009.9839999999999</v>
      </c>
      <c r="N958" s="10">
        <f t="shared" si="59"/>
        <v>9089.8559999999998</v>
      </c>
      <c r="O958" s="2" t="s">
        <v>26</v>
      </c>
      <c r="P958" s="2" t="s">
        <v>18</v>
      </c>
      <c r="Q958" s="2" t="s">
        <v>19</v>
      </c>
    </row>
    <row r="959" spans="1:17" x14ac:dyDescent="0.25">
      <c r="A959" s="3" t="s">
        <v>1323</v>
      </c>
      <c r="B959" s="4">
        <v>45998</v>
      </c>
      <c r="C959" s="4" t="str">
        <f t="shared" si="56"/>
        <v>Dec</v>
      </c>
      <c r="D959" s="3" t="s">
        <v>541</v>
      </c>
      <c r="E959" s="3" t="s">
        <v>22</v>
      </c>
      <c r="F959" s="3" t="s">
        <v>23</v>
      </c>
      <c r="G959" s="3" t="s">
        <v>43</v>
      </c>
      <c r="H959" s="3" t="s">
        <v>44</v>
      </c>
      <c r="I959" s="3">
        <v>3258.94</v>
      </c>
      <c r="J959" s="3">
        <v>3</v>
      </c>
      <c r="K959" s="3">
        <v>0</v>
      </c>
      <c r="L959" s="9">
        <f t="shared" si="57"/>
        <v>9776.82</v>
      </c>
      <c r="M959" s="9">
        <f t="shared" si="58"/>
        <v>0</v>
      </c>
      <c r="N959" s="10">
        <f t="shared" si="59"/>
        <v>9776.82</v>
      </c>
      <c r="O959" s="3" t="s">
        <v>33</v>
      </c>
      <c r="P959" s="3" t="s">
        <v>18</v>
      </c>
      <c r="Q959" s="3" t="s">
        <v>34</v>
      </c>
    </row>
    <row r="960" spans="1:17" x14ac:dyDescent="0.25">
      <c r="A960" s="2" t="s">
        <v>1324</v>
      </c>
      <c r="B960" s="4">
        <v>45999</v>
      </c>
      <c r="C960" s="4" t="str">
        <f t="shared" si="56"/>
        <v>Dec</v>
      </c>
      <c r="D960" s="2" t="s">
        <v>470</v>
      </c>
      <c r="E960" s="2" t="s">
        <v>100</v>
      </c>
      <c r="F960" s="2" t="s">
        <v>88</v>
      </c>
      <c r="G960" s="2" t="s">
        <v>110</v>
      </c>
      <c r="H960" s="2" t="s">
        <v>215</v>
      </c>
      <c r="I960" s="2">
        <v>2304.35</v>
      </c>
      <c r="J960" s="2">
        <v>4</v>
      </c>
      <c r="K960" s="2">
        <v>0</v>
      </c>
      <c r="L960" s="9">
        <f t="shared" si="57"/>
        <v>9217.4</v>
      </c>
      <c r="M960" s="9">
        <f t="shared" si="58"/>
        <v>0</v>
      </c>
      <c r="N960" s="10">
        <f t="shared" si="59"/>
        <v>9217.4</v>
      </c>
      <c r="O960" s="2" t="s">
        <v>33</v>
      </c>
      <c r="P960" s="2" t="s">
        <v>18</v>
      </c>
      <c r="Q960" s="2" t="s">
        <v>53</v>
      </c>
    </row>
    <row r="961" spans="1:17" x14ac:dyDescent="0.25">
      <c r="A961" s="3" t="s">
        <v>1325</v>
      </c>
      <c r="B961" s="4">
        <v>46000</v>
      </c>
      <c r="C961" s="4" t="str">
        <f t="shared" si="56"/>
        <v>Dec</v>
      </c>
      <c r="D961" s="3" t="s">
        <v>730</v>
      </c>
      <c r="E961" s="3" t="s">
        <v>13</v>
      </c>
      <c r="F961" s="3" t="s">
        <v>14</v>
      </c>
      <c r="G961" s="3" t="s">
        <v>31</v>
      </c>
      <c r="H961" s="3" t="s">
        <v>186</v>
      </c>
      <c r="I961" s="3">
        <v>737.71</v>
      </c>
      <c r="J961" s="3">
        <v>3</v>
      </c>
      <c r="K961" s="3">
        <v>15</v>
      </c>
      <c r="L961" s="9">
        <f t="shared" si="57"/>
        <v>2213.13</v>
      </c>
      <c r="M961" s="9">
        <f t="shared" si="58"/>
        <v>331.96950000000004</v>
      </c>
      <c r="N961" s="10">
        <f t="shared" si="59"/>
        <v>1881.1605</v>
      </c>
      <c r="O961" s="3" t="s">
        <v>26</v>
      </c>
      <c r="P961" s="3" t="s">
        <v>18</v>
      </c>
      <c r="Q961" s="3" t="s">
        <v>60</v>
      </c>
    </row>
    <row r="962" spans="1:17" x14ac:dyDescent="0.25">
      <c r="A962" s="2" t="s">
        <v>1326</v>
      </c>
      <c r="B962" s="4">
        <v>46001</v>
      </c>
      <c r="C962" s="4" t="str">
        <f t="shared" ref="C962:C991" si="60">TEXT(B962,"mmm")</f>
        <v>Dec</v>
      </c>
      <c r="D962" s="2" t="s">
        <v>687</v>
      </c>
      <c r="E962" s="2" t="s">
        <v>100</v>
      </c>
      <c r="F962" s="2" t="s">
        <v>88</v>
      </c>
      <c r="G962" s="2" t="s">
        <v>15</v>
      </c>
      <c r="H962" s="2" t="s">
        <v>163</v>
      </c>
      <c r="I962" s="2">
        <v>2724.19</v>
      </c>
      <c r="J962" s="2">
        <v>3</v>
      </c>
      <c r="K962" s="2">
        <v>5</v>
      </c>
      <c r="L962" s="9">
        <f t="shared" ref="L962:L991" si="61">J962*I962</f>
        <v>8172.57</v>
      </c>
      <c r="M962" s="9">
        <f t="shared" ref="M962:M1025" si="62">L962*K962/100</f>
        <v>408.62849999999997</v>
      </c>
      <c r="N962" s="10">
        <f t="shared" ref="N962:N1025" si="63">L962-M962</f>
        <v>7763.9414999999999</v>
      </c>
      <c r="O962" s="2" t="s">
        <v>33</v>
      </c>
      <c r="P962" s="2" t="s">
        <v>18</v>
      </c>
      <c r="Q962" s="2" t="s">
        <v>19</v>
      </c>
    </row>
    <row r="963" spans="1:17" x14ac:dyDescent="0.25">
      <c r="A963" s="3" t="s">
        <v>1327</v>
      </c>
      <c r="B963" s="4">
        <v>46002</v>
      </c>
      <c r="C963" s="4" t="str">
        <f t="shared" si="60"/>
        <v>Dec</v>
      </c>
      <c r="D963" s="3" t="s">
        <v>244</v>
      </c>
      <c r="E963" s="3" t="s">
        <v>100</v>
      </c>
      <c r="F963" s="3" t="s">
        <v>88</v>
      </c>
      <c r="G963" s="3" t="s">
        <v>31</v>
      </c>
      <c r="H963" s="3" t="s">
        <v>70</v>
      </c>
      <c r="I963" s="3">
        <v>600.22</v>
      </c>
      <c r="J963" s="3">
        <v>4</v>
      </c>
      <c r="K963" s="3">
        <v>0</v>
      </c>
      <c r="L963" s="9">
        <f t="shared" si="61"/>
        <v>2400.88</v>
      </c>
      <c r="M963" s="9">
        <f t="shared" si="62"/>
        <v>0</v>
      </c>
      <c r="N963" s="10">
        <f t="shared" si="63"/>
        <v>2400.88</v>
      </c>
      <c r="O963" s="3" t="s">
        <v>68</v>
      </c>
      <c r="P963" s="3" t="s">
        <v>18</v>
      </c>
      <c r="Q963" s="3" t="s">
        <v>40</v>
      </c>
    </row>
    <row r="964" spans="1:17" x14ac:dyDescent="0.25">
      <c r="A964" s="2" t="s">
        <v>1328</v>
      </c>
      <c r="B964" s="4">
        <v>46003</v>
      </c>
      <c r="C964" s="4" t="str">
        <f t="shared" si="60"/>
        <v>Dec</v>
      </c>
      <c r="D964" s="2" t="s">
        <v>320</v>
      </c>
      <c r="E964" s="2" t="s">
        <v>83</v>
      </c>
      <c r="F964" s="2" t="s">
        <v>84</v>
      </c>
      <c r="G964" s="2" t="s">
        <v>36</v>
      </c>
      <c r="H964" s="2" t="s">
        <v>121</v>
      </c>
      <c r="I964" s="2">
        <v>89993.59</v>
      </c>
      <c r="J964" s="2">
        <v>3</v>
      </c>
      <c r="K964" s="2">
        <v>5</v>
      </c>
      <c r="L964" s="9">
        <f t="shared" si="61"/>
        <v>269980.77</v>
      </c>
      <c r="M964" s="9">
        <f t="shared" si="62"/>
        <v>13499.038500000001</v>
      </c>
      <c r="N964" s="10">
        <f t="shared" si="63"/>
        <v>256481.73150000002</v>
      </c>
      <c r="O964" s="2" t="s">
        <v>17</v>
      </c>
      <c r="P964" s="2" t="s">
        <v>27</v>
      </c>
      <c r="Q964" s="2" t="s">
        <v>40</v>
      </c>
    </row>
    <row r="965" spans="1:17" x14ac:dyDescent="0.25">
      <c r="A965" s="3" t="s">
        <v>1329</v>
      </c>
      <c r="B965" s="4">
        <v>46004</v>
      </c>
      <c r="C965" s="4" t="str">
        <f t="shared" si="60"/>
        <v>Dec</v>
      </c>
      <c r="D965" s="3" t="s">
        <v>653</v>
      </c>
      <c r="E965" s="3" t="s">
        <v>47</v>
      </c>
      <c r="F965" s="3" t="s">
        <v>48</v>
      </c>
      <c r="G965" s="3" t="s">
        <v>43</v>
      </c>
      <c r="H965" s="3" t="s">
        <v>44</v>
      </c>
      <c r="I965" s="3">
        <v>3682.63</v>
      </c>
      <c r="J965" s="3">
        <v>2</v>
      </c>
      <c r="K965" s="3">
        <v>0</v>
      </c>
      <c r="L965" s="9">
        <f t="shared" si="61"/>
        <v>7365.26</v>
      </c>
      <c r="M965" s="9">
        <f t="shared" si="62"/>
        <v>0</v>
      </c>
      <c r="N965" s="10">
        <f t="shared" si="63"/>
        <v>7365.26</v>
      </c>
      <c r="O965" s="3" t="s">
        <v>26</v>
      </c>
      <c r="P965" s="3" t="s">
        <v>27</v>
      </c>
      <c r="Q965" s="3" t="s">
        <v>19</v>
      </c>
    </row>
    <row r="966" spans="1:17" x14ac:dyDescent="0.25">
      <c r="A966" s="2" t="s">
        <v>1330</v>
      </c>
      <c r="B966" s="4">
        <v>46005</v>
      </c>
      <c r="C966" s="4" t="str">
        <f t="shared" si="60"/>
        <v>Dec</v>
      </c>
      <c r="D966" s="2" t="s">
        <v>183</v>
      </c>
      <c r="E966" s="2" t="s">
        <v>22</v>
      </c>
      <c r="F966" s="2" t="s">
        <v>23</v>
      </c>
      <c r="G966" s="2" t="s">
        <v>72</v>
      </c>
      <c r="H966" s="2" t="s">
        <v>137</v>
      </c>
      <c r="I966" s="2">
        <v>2417.4699999999998</v>
      </c>
      <c r="J966" s="2">
        <v>2</v>
      </c>
      <c r="K966" s="2">
        <v>15</v>
      </c>
      <c r="L966" s="9">
        <f t="shared" si="61"/>
        <v>4834.9399999999996</v>
      </c>
      <c r="M966" s="9">
        <f t="shared" si="62"/>
        <v>725.24099999999987</v>
      </c>
      <c r="N966" s="10">
        <f t="shared" si="63"/>
        <v>4109.6989999999996</v>
      </c>
      <c r="O966" s="2" t="s">
        <v>33</v>
      </c>
      <c r="P966" s="2" t="s">
        <v>18</v>
      </c>
      <c r="Q966" s="2" t="s">
        <v>60</v>
      </c>
    </row>
    <row r="967" spans="1:17" x14ac:dyDescent="0.25">
      <c r="A967" s="3" t="s">
        <v>1331</v>
      </c>
      <c r="B967" s="4">
        <v>46006</v>
      </c>
      <c r="C967" s="4" t="str">
        <f t="shared" si="60"/>
        <v>Dec</v>
      </c>
      <c r="D967" s="3" t="s">
        <v>455</v>
      </c>
      <c r="E967" s="3" t="s">
        <v>83</v>
      </c>
      <c r="F967" s="3" t="s">
        <v>84</v>
      </c>
      <c r="G967" s="3" t="s">
        <v>110</v>
      </c>
      <c r="H967" s="3" t="s">
        <v>153</v>
      </c>
      <c r="I967" s="3">
        <v>3282.07</v>
      </c>
      <c r="J967" s="3">
        <v>5</v>
      </c>
      <c r="K967" s="3">
        <v>0</v>
      </c>
      <c r="L967" s="9">
        <f t="shared" si="61"/>
        <v>16410.350000000002</v>
      </c>
      <c r="M967" s="9">
        <f t="shared" si="62"/>
        <v>0</v>
      </c>
      <c r="N967" s="10">
        <f t="shared" si="63"/>
        <v>16410.350000000002</v>
      </c>
      <c r="O967" s="3" t="s">
        <v>26</v>
      </c>
      <c r="P967" s="3" t="s">
        <v>18</v>
      </c>
      <c r="Q967" s="3" t="s">
        <v>40</v>
      </c>
    </row>
    <row r="968" spans="1:17" x14ac:dyDescent="0.25">
      <c r="A968" s="2" t="s">
        <v>1332</v>
      </c>
      <c r="B968" s="4">
        <v>46007</v>
      </c>
      <c r="C968" s="4" t="str">
        <f t="shared" si="60"/>
        <v>Dec</v>
      </c>
      <c r="D968" s="2" t="s">
        <v>1333</v>
      </c>
      <c r="E968" s="2" t="s">
        <v>47</v>
      </c>
      <c r="F968" s="2" t="s">
        <v>48</v>
      </c>
      <c r="G968" s="2" t="s">
        <v>24</v>
      </c>
      <c r="H968" s="2" t="s">
        <v>25</v>
      </c>
      <c r="I968" s="2">
        <v>4433.67</v>
      </c>
      <c r="J968" s="2">
        <v>5</v>
      </c>
      <c r="K968" s="2">
        <v>5</v>
      </c>
      <c r="L968" s="9">
        <f t="shared" si="61"/>
        <v>22168.35</v>
      </c>
      <c r="M968" s="9">
        <f t="shared" si="62"/>
        <v>1108.4175</v>
      </c>
      <c r="N968" s="10">
        <f t="shared" si="63"/>
        <v>21059.932499999999</v>
      </c>
      <c r="O968" s="2" t="s">
        <v>68</v>
      </c>
      <c r="P968" s="2" t="s">
        <v>39</v>
      </c>
      <c r="Q968" s="2" t="s">
        <v>40</v>
      </c>
    </row>
    <row r="969" spans="1:17" x14ac:dyDescent="0.25">
      <c r="A969" s="3" t="s">
        <v>1334</v>
      </c>
      <c r="B969" s="4">
        <v>46008</v>
      </c>
      <c r="C969" s="4" t="str">
        <f t="shared" si="60"/>
        <v>Dec</v>
      </c>
      <c r="D969" s="3" t="s">
        <v>590</v>
      </c>
      <c r="E969" s="3" t="s">
        <v>47</v>
      </c>
      <c r="F969" s="3" t="s">
        <v>48</v>
      </c>
      <c r="G969" s="3" t="s">
        <v>15</v>
      </c>
      <c r="H969" s="3" t="s">
        <v>163</v>
      </c>
      <c r="I969" s="3">
        <v>2360.89</v>
      </c>
      <c r="J969" s="3">
        <v>4</v>
      </c>
      <c r="K969" s="3">
        <v>15</v>
      </c>
      <c r="L969" s="9">
        <f t="shared" si="61"/>
        <v>9443.56</v>
      </c>
      <c r="M969" s="9">
        <f t="shared" si="62"/>
        <v>1416.5339999999999</v>
      </c>
      <c r="N969" s="10">
        <f t="shared" si="63"/>
        <v>8027.0259999999998</v>
      </c>
      <c r="O969" s="3" t="s">
        <v>68</v>
      </c>
      <c r="P969" s="3" t="s">
        <v>52</v>
      </c>
      <c r="Q969" s="3" t="s">
        <v>60</v>
      </c>
    </row>
    <row r="970" spans="1:17" x14ac:dyDescent="0.25">
      <c r="A970" s="2" t="s">
        <v>1335</v>
      </c>
      <c r="B970" s="4">
        <v>46009</v>
      </c>
      <c r="C970" s="4" t="str">
        <f t="shared" si="60"/>
        <v>Dec</v>
      </c>
      <c r="D970" s="2" t="s">
        <v>1336</v>
      </c>
      <c r="E970" s="2" t="s">
        <v>22</v>
      </c>
      <c r="F970" s="2" t="s">
        <v>23</v>
      </c>
      <c r="G970" s="2" t="s">
        <v>31</v>
      </c>
      <c r="H970" s="2" t="s">
        <v>116</v>
      </c>
      <c r="I970" s="2">
        <v>1147.33</v>
      </c>
      <c r="J970" s="2">
        <v>3</v>
      </c>
      <c r="K970" s="2">
        <v>0</v>
      </c>
      <c r="L970" s="9">
        <f t="shared" si="61"/>
        <v>3441.99</v>
      </c>
      <c r="M970" s="9">
        <f t="shared" si="62"/>
        <v>0</v>
      </c>
      <c r="N970" s="10">
        <f t="shared" si="63"/>
        <v>3441.99</v>
      </c>
      <c r="O970" s="2" t="s">
        <v>33</v>
      </c>
      <c r="P970" s="2" t="s">
        <v>18</v>
      </c>
      <c r="Q970" s="2" t="s">
        <v>34</v>
      </c>
    </row>
    <row r="971" spans="1:17" x14ac:dyDescent="0.25">
      <c r="A971" s="3" t="s">
        <v>1337</v>
      </c>
      <c r="B971" s="4">
        <v>46010</v>
      </c>
      <c r="C971" s="4" t="str">
        <f t="shared" si="60"/>
        <v>Dec</v>
      </c>
      <c r="D971" s="3" t="s">
        <v>1299</v>
      </c>
      <c r="E971" s="3" t="s">
        <v>13</v>
      </c>
      <c r="F971" s="3" t="s">
        <v>14</v>
      </c>
      <c r="G971" s="3" t="s">
        <v>36</v>
      </c>
      <c r="H971" s="3" t="s">
        <v>121</v>
      </c>
      <c r="I971" s="3">
        <v>99650.34</v>
      </c>
      <c r="J971" s="3">
        <v>2</v>
      </c>
      <c r="K971" s="3">
        <v>0</v>
      </c>
      <c r="L971" s="9">
        <f t="shared" si="61"/>
        <v>199300.68</v>
      </c>
      <c r="M971" s="9">
        <f t="shared" si="62"/>
        <v>0</v>
      </c>
      <c r="N971" s="10">
        <f t="shared" si="63"/>
        <v>199300.68</v>
      </c>
      <c r="O971" s="3" t="s">
        <v>33</v>
      </c>
      <c r="P971" s="3" t="s">
        <v>18</v>
      </c>
      <c r="Q971" s="3" t="s">
        <v>19</v>
      </c>
    </row>
    <row r="972" spans="1:17" x14ac:dyDescent="0.25">
      <c r="A972" s="2" t="s">
        <v>1338</v>
      </c>
      <c r="B972" s="4">
        <v>46011</v>
      </c>
      <c r="C972" s="4" t="str">
        <f t="shared" si="60"/>
        <v>Dec</v>
      </c>
      <c r="D972" s="2" t="s">
        <v>299</v>
      </c>
      <c r="E972" s="2" t="s">
        <v>47</v>
      </c>
      <c r="F972" s="2" t="s">
        <v>48</v>
      </c>
      <c r="G972" s="2" t="s">
        <v>43</v>
      </c>
      <c r="H972" s="2" t="s">
        <v>105</v>
      </c>
      <c r="I972" s="2">
        <v>2707.2</v>
      </c>
      <c r="J972" s="2">
        <v>1</v>
      </c>
      <c r="K972" s="2">
        <v>0</v>
      </c>
      <c r="L972" s="9">
        <f t="shared" si="61"/>
        <v>2707.2</v>
      </c>
      <c r="M972" s="9">
        <f t="shared" si="62"/>
        <v>0</v>
      </c>
      <c r="N972" s="10">
        <f t="shared" si="63"/>
        <v>2707.2</v>
      </c>
      <c r="O972" s="2" t="s">
        <v>68</v>
      </c>
      <c r="P972" s="2" t="s">
        <v>27</v>
      </c>
      <c r="Q972" s="2" t="s">
        <v>19</v>
      </c>
    </row>
    <row r="973" spans="1:17" x14ac:dyDescent="0.25">
      <c r="A973" s="3" t="s">
        <v>1339</v>
      </c>
      <c r="B973" s="4">
        <v>46012</v>
      </c>
      <c r="C973" s="4" t="str">
        <f t="shared" si="60"/>
        <v>Dec</v>
      </c>
      <c r="D973" s="3" t="s">
        <v>736</v>
      </c>
      <c r="E973" s="3" t="s">
        <v>87</v>
      </c>
      <c r="F973" s="3" t="s">
        <v>88</v>
      </c>
      <c r="G973" s="3" t="s">
        <v>15</v>
      </c>
      <c r="H973" s="3" t="s">
        <v>56</v>
      </c>
      <c r="I973" s="3">
        <v>1810.39</v>
      </c>
      <c r="J973" s="3">
        <v>3</v>
      </c>
      <c r="K973" s="3">
        <v>5</v>
      </c>
      <c r="L973" s="9">
        <f t="shared" si="61"/>
        <v>5431.17</v>
      </c>
      <c r="M973" s="9">
        <f t="shared" si="62"/>
        <v>271.55849999999998</v>
      </c>
      <c r="N973" s="10">
        <f t="shared" si="63"/>
        <v>5159.6115</v>
      </c>
      <c r="O973" s="3" t="s">
        <v>38</v>
      </c>
      <c r="P973" s="3" t="s">
        <v>18</v>
      </c>
      <c r="Q973" s="3" t="s">
        <v>19</v>
      </c>
    </row>
    <row r="974" spans="1:17" x14ac:dyDescent="0.25">
      <c r="A974" s="2" t="s">
        <v>1340</v>
      </c>
      <c r="B974" s="4">
        <v>46013</v>
      </c>
      <c r="C974" s="4" t="str">
        <f t="shared" si="60"/>
        <v>Dec</v>
      </c>
      <c r="D974" s="2" t="s">
        <v>725</v>
      </c>
      <c r="E974" s="2" t="s">
        <v>100</v>
      </c>
      <c r="F974" s="2" t="s">
        <v>88</v>
      </c>
      <c r="G974" s="2" t="s">
        <v>15</v>
      </c>
      <c r="H974" s="2" t="s">
        <v>56</v>
      </c>
      <c r="I974" s="2">
        <v>1663.33</v>
      </c>
      <c r="J974" s="2">
        <v>5</v>
      </c>
      <c r="K974" s="2">
        <v>0</v>
      </c>
      <c r="L974" s="9">
        <f t="shared" si="61"/>
        <v>8316.65</v>
      </c>
      <c r="M974" s="9">
        <f t="shared" si="62"/>
        <v>0</v>
      </c>
      <c r="N974" s="10">
        <f t="shared" si="63"/>
        <v>8316.65</v>
      </c>
      <c r="O974" s="2" t="s">
        <v>26</v>
      </c>
      <c r="P974" s="2" t="s">
        <v>18</v>
      </c>
      <c r="Q974" s="2" t="s">
        <v>60</v>
      </c>
    </row>
    <row r="975" spans="1:17" x14ac:dyDescent="0.25">
      <c r="A975" s="3" t="s">
        <v>1341</v>
      </c>
      <c r="B975" s="4">
        <v>46014</v>
      </c>
      <c r="C975" s="4" t="str">
        <f t="shared" si="60"/>
        <v>Dec</v>
      </c>
      <c r="D975" s="3" t="s">
        <v>265</v>
      </c>
      <c r="E975" s="3" t="s">
        <v>29</v>
      </c>
      <c r="F975" s="3" t="s">
        <v>30</v>
      </c>
      <c r="G975" s="3" t="s">
        <v>31</v>
      </c>
      <c r="H975" s="3" t="s">
        <v>116</v>
      </c>
      <c r="I975" s="3">
        <v>1254.08</v>
      </c>
      <c r="J975" s="3">
        <v>2</v>
      </c>
      <c r="K975" s="3">
        <v>0</v>
      </c>
      <c r="L975" s="9">
        <f t="shared" si="61"/>
        <v>2508.16</v>
      </c>
      <c r="M975" s="9">
        <f t="shared" si="62"/>
        <v>0</v>
      </c>
      <c r="N975" s="10">
        <f t="shared" si="63"/>
        <v>2508.16</v>
      </c>
      <c r="O975" s="3" t="s">
        <v>26</v>
      </c>
      <c r="P975" s="3" t="s">
        <v>18</v>
      </c>
      <c r="Q975" s="3" t="s">
        <v>53</v>
      </c>
    </row>
    <row r="976" spans="1:17" x14ac:dyDescent="0.25">
      <c r="A976" s="2" t="s">
        <v>1342</v>
      </c>
      <c r="B976" s="4">
        <v>46015</v>
      </c>
      <c r="C976" s="4" t="str">
        <f t="shared" si="60"/>
        <v>Dec</v>
      </c>
      <c r="D976" s="2" t="s">
        <v>590</v>
      </c>
      <c r="E976" s="2" t="s">
        <v>47</v>
      </c>
      <c r="F976" s="2" t="s">
        <v>48</v>
      </c>
      <c r="G976" s="2" t="s">
        <v>72</v>
      </c>
      <c r="H976" s="2" t="s">
        <v>73</v>
      </c>
      <c r="I976" s="2">
        <v>383.26</v>
      </c>
      <c r="J976" s="2">
        <v>3</v>
      </c>
      <c r="K976" s="2">
        <v>5</v>
      </c>
      <c r="L976" s="9">
        <f t="shared" si="61"/>
        <v>1149.78</v>
      </c>
      <c r="M976" s="9">
        <f t="shared" si="62"/>
        <v>57.488999999999997</v>
      </c>
      <c r="N976" s="10">
        <f t="shared" si="63"/>
        <v>1092.2909999999999</v>
      </c>
      <c r="O976" s="2" t="s">
        <v>68</v>
      </c>
      <c r="P976" s="2" t="s">
        <v>18</v>
      </c>
      <c r="Q976" s="2" t="s">
        <v>40</v>
      </c>
    </row>
    <row r="977" spans="1:17" x14ac:dyDescent="0.25">
      <c r="A977" s="3" t="s">
        <v>1343</v>
      </c>
      <c r="B977" s="4">
        <v>46016</v>
      </c>
      <c r="C977" s="4" t="str">
        <f t="shared" si="60"/>
        <v>Dec</v>
      </c>
      <c r="D977" s="3" t="s">
        <v>590</v>
      </c>
      <c r="E977" s="3" t="s">
        <v>83</v>
      </c>
      <c r="F977" s="3" t="s">
        <v>84</v>
      </c>
      <c r="G977" s="3" t="s">
        <v>72</v>
      </c>
      <c r="H977" s="3" t="s">
        <v>81</v>
      </c>
      <c r="I977" s="3">
        <v>1400.08</v>
      </c>
      <c r="J977" s="3">
        <v>3</v>
      </c>
      <c r="K977" s="3">
        <v>10</v>
      </c>
      <c r="L977" s="9">
        <f t="shared" si="61"/>
        <v>4200.24</v>
      </c>
      <c r="M977" s="9">
        <f t="shared" si="62"/>
        <v>420.02399999999994</v>
      </c>
      <c r="N977" s="10">
        <f t="shared" si="63"/>
        <v>3780.2159999999999</v>
      </c>
      <c r="O977" s="3" t="s">
        <v>26</v>
      </c>
      <c r="P977" s="3" t="s">
        <v>18</v>
      </c>
      <c r="Q977" s="3" t="s">
        <v>40</v>
      </c>
    </row>
    <row r="978" spans="1:17" x14ac:dyDescent="0.25">
      <c r="A978" s="2" t="s">
        <v>1344</v>
      </c>
      <c r="B978" s="4">
        <v>46017</v>
      </c>
      <c r="C978" s="4" t="str">
        <f t="shared" si="60"/>
        <v>Dec</v>
      </c>
      <c r="D978" s="2" t="s">
        <v>1345</v>
      </c>
      <c r="E978" s="2" t="s">
        <v>51</v>
      </c>
      <c r="F978" s="2" t="s">
        <v>14</v>
      </c>
      <c r="G978" s="2" t="s">
        <v>15</v>
      </c>
      <c r="H978" s="2" t="s">
        <v>95</v>
      </c>
      <c r="I978" s="2">
        <v>1198.81</v>
      </c>
      <c r="J978" s="2">
        <v>5</v>
      </c>
      <c r="K978" s="2">
        <v>10</v>
      </c>
      <c r="L978" s="9">
        <f t="shared" si="61"/>
        <v>5994.0499999999993</v>
      </c>
      <c r="M978" s="9">
        <f t="shared" si="62"/>
        <v>599.40499999999997</v>
      </c>
      <c r="N978" s="10">
        <f t="shared" si="63"/>
        <v>5394.6449999999995</v>
      </c>
      <c r="O978" s="2" t="s">
        <v>68</v>
      </c>
      <c r="P978" s="2" t="s">
        <v>18</v>
      </c>
      <c r="Q978" s="2" t="s">
        <v>60</v>
      </c>
    </row>
    <row r="979" spans="1:17" x14ac:dyDescent="0.25">
      <c r="A979" s="3" t="s">
        <v>1346</v>
      </c>
      <c r="B979" s="4">
        <v>46018</v>
      </c>
      <c r="C979" s="4" t="str">
        <f t="shared" si="60"/>
        <v>Dec</v>
      </c>
      <c r="D979" s="3" t="s">
        <v>334</v>
      </c>
      <c r="E979" s="3" t="s">
        <v>65</v>
      </c>
      <c r="F979" s="3" t="s">
        <v>66</v>
      </c>
      <c r="G979" s="3" t="s">
        <v>43</v>
      </c>
      <c r="H979" s="3" t="s">
        <v>89</v>
      </c>
      <c r="I979" s="3">
        <v>4294.34</v>
      </c>
      <c r="J979" s="3">
        <v>2</v>
      </c>
      <c r="K979" s="3">
        <v>10</v>
      </c>
      <c r="L979" s="9">
        <f t="shared" si="61"/>
        <v>8588.68</v>
      </c>
      <c r="M979" s="9">
        <f t="shared" si="62"/>
        <v>858.86800000000005</v>
      </c>
      <c r="N979" s="10">
        <f t="shared" si="63"/>
        <v>7729.8119999999999</v>
      </c>
      <c r="O979" s="3" t="s">
        <v>26</v>
      </c>
      <c r="P979" s="3" t="s">
        <v>52</v>
      </c>
      <c r="Q979" s="3" t="s">
        <v>53</v>
      </c>
    </row>
    <row r="980" spans="1:17" x14ac:dyDescent="0.25">
      <c r="A980" s="2" t="s">
        <v>1347</v>
      </c>
      <c r="B980" s="4">
        <v>46019</v>
      </c>
      <c r="C980" s="4" t="str">
        <f t="shared" si="60"/>
        <v>Dec</v>
      </c>
      <c r="D980" s="2" t="s">
        <v>838</v>
      </c>
      <c r="E980" s="2" t="s">
        <v>83</v>
      </c>
      <c r="F980" s="2" t="s">
        <v>84</v>
      </c>
      <c r="G980" s="2" t="s">
        <v>43</v>
      </c>
      <c r="H980" s="2" t="s">
        <v>89</v>
      </c>
      <c r="I980" s="2">
        <v>4686.9799999999996</v>
      </c>
      <c r="J980" s="2">
        <v>5</v>
      </c>
      <c r="K980" s="2">
        <v>0</v>
      </c>
      <c r="L980" s="9">
        <f t="shared" si="61"/>
        <v>23434.899999999998</v>
      </c>
      <c r="M980" s="9">
        <f t="shared" si="62"/>
        <v>0</v>
      </c>
      <c r="N980" s="10">
        <f t="shared" si="63"/>
        <v>23434.899999999998</v>
      </c>
      <c r="O980" s="2" t="s">
        <v>38</v>
      </c>
      <c r="P980" s="2" t="s">
        <v>39</v>
      </c>
      <c r="Q980" s="2" t="s">
        <v>53</v>
      </c>
    </row>
    <row r="981" spans="1:17" x14ac:dyDescent="0.25">
      <c r="A981" s="3" t="s">
        <v>1348</v>
      </c>
      <c r="B981" s="4">
        <v>46020</v>
      </c>
      <c r="C981" s="4" t="str">
        <f t="shared" si="60"/>
        <v>Dec</v>
      </c>
      <c r="D981" s="3" t="s">
        <v>576</v>
      </c>
      <c r="E981" s="3" t="s">
        <v>83</v>
      </c>
      <c r="F981" s="3" t="s">
        <v>84</v>
      </c>
      <c r="G981" s="3" t="s">
        <v>36</v>
      </c>
      <c r="H981" s="3" t="s">
        <v>49</v>
      </c>
      <c r="I981" s="3">
        <v>141717.88</v>
      </c>
      <c r="J981" s="3">
        <v>5</v>
      </c>
      <c r="K981" s="3">
        <v>0</v>
      </c>
      <c r="L981" s="9">
        <f t="shared" si="61"/>
        <v>708589.4</v>
      </c>
      <c r="M981" s="9">
        <f t="shared" si="62"/>
        <v>0</v>
      </c>
      <c r="N981" s="10">
        <f t="shared" si="63"/>
        <v>708589.4</v>
      </c>
      <c r="O981" s="3" t="s">
        <v>38</v>
      </c>
      <c r="P981" s="3" t="s">
        <v>18</v>
      </c>
      <c r="Q981" s="3" t="s">
        <v>53</v>
      </c>
    </row>
    <row r="982" spans="1:17" x14ac:dyDescent="0.25">
      <c r="A982" s="2" t="s">
        <v>1349</v>
      </c>
      <c r="B982" s="4">
        <v>46021</v>
      </c>
      <c r="C982" s="4" t="str">
        <f t="shared" si="60"/>
        <v>Dec</v>
      </c>
      <c r="D982" s="2" t="s">
        <v>387</v>
      </c>
      <c r="E982" s="2" t="s">
        <v>13</v>
      </c>
      <c r="F982" s="2" t="s">
        <v>14</v>
      </c>
      <c r="G982" s="2" t="s">
        <v>15</v>
      </c>
      <c r="H982" s="2" t="s">
        <v>163</v>
      </c>
      <c r="I982" s="2">
        <v>2744.77</v>
      </c>
      <c r="J982" s="2">
        <v>2</v>
      </c>
      <c r="K982" s="2">
        <v>15</v>
      </c>
      <c r="L982" s="9">
        <f t="shared" si="61"/>
        <v>5489.54</v>
      </c>
      <c r="M982" s="9">
        <f t="shared" si="62"/>
        <v>823.43100000000004</v>
      </c>
      <c r="N982" s="10">
        <f t="shared" si="63"/>
        <v>4666.1090000000004</v>
      </c>
      <c r="O982" s="2" t="s">
        <v>68</v>
      </c>
      <c r="P982" s="2" t="s">
        <v>18</v>
      </c>
      <c r="Q982" s="2" t="s">
        <v>34</v>
      </c>
    </row>
    <row r="983" spans="1:17" x14ac:dyDescent="0.25">
      <c r="A983" s="3" t="s">
        <v>1350</v>
      </c>
      <c r="B983" s="4">
        <v>46022</v>
      </c>
      <c r="C983" s="4" t="str">
        <f t="shared" si="60"/>
        <v>Dec</v>
      </c>
      <c r="D983" s="3" t="s">
        <v>75</v>
      </c>
      <c r="E983" s="3" t="s">
        <v>87</v>
      </c>
      <c r="F983" s="3" t="s">
        <v>88</v>
      </c>
      <c r="G983" s="3" t="s">
        <v>36</v>
      </c>
      <c r="H983" s="3" t="s">
        <v>121</v>
      </c>
      <c r="I983" s="3">
        <v>102295.74</v>
      </c>
      <c r="J983" s="3">
        <v>3</v>
      </c>
      <c r="K983" s="3">
        <v>0</v>
      </c>
      <c r="L983" s="9">
        <f t="shared" si="61"/>
        <v>306887.22000000003</v>
      </c>
      <c r="M983" s="9">
        <f t="shared" si="62"/>
        <v>0</v>
      </c>
      <c r="N983" s="10">
        <f t="shared" si="63"/>
        <v>306887.22000000003</v>
      </c>
      <c r="O983" s="3" t="s">
        <v>33</v>
      </c>
      <c r="P983" s="3" t="s">
        <v>52</v>
      </c>
      <c r="Q983" s="3" t="s">
        <v>34</v>
      </c>
    </row>
    <row r="984" spans="1:17" x14ac:dyDescent="0.25">
      <c r="A984" s="2" t="s">
        <v>1351</v>
      </c>
      <c r="B984" s="4">
        <v>46023</v>
      </c>
      <c r="C984" s="4" t="str">
        <f t="shared" si="60"/>
        <v>Jan</v>
      </c>
      <c r="D984" s="2" t="s">
        <v>378</v>
      </c>
      <c r="E984" s="2" t="s">
        <v>13</v>
      </c>
      <c r="F984" s="2" t="s">
        <v>14</v>
      </c>
      <c r="G984" s="2" t="s">
        <v>72</v>
      </c>
      <c r="H984" s="2" t="s">
        <v>137</v>
      </c>
      <c r="I984" s="2">
        <v>2076.48</v>
      </c>
      <c r="J984" s="2">
        <v>3</v>
      </c>
      <c r="K984" s="2">
        <v>15</v>
      </c>
      <c r="L984" s="9">
        <f t="shared" si="61"/>
        <v>6229.4400000000005</v>
      </c>
      <c r="M984" s="9">
        <f t="shared" si="62"/>
        <v>934.41600000000005</v>
      </c>
      <c r="N984" s="10">
        <f t="shared" si="63"/>
        <v>5295.0240000000003</v>
      </c>
      <c r="O984" s="2" t="s">
        <v>38</v>
      </c>
      <c r="P984" s="2" t="s">
        <v>18</v>
      </c>
      <c r="Q984" s="2" t="s">
        <v>19</v>
      </c>
    </row>
    <row r="985" spans="1:17" x14ac:dyDescent="0.25">
      <c r="A985" s="3" t="s">
        <v>1352</v>
      </c>
      <c r="B985" s="4">
        <v>46024</v>
      </c>
      <c r="C985" s="4" t="str">
        <f t="shared" si="60"/>
        <v>Jan</v>
      </c>
      <c r="D985" s="3" t="s">
        <v>1061</v>
      </c>
      <c r="E985" s="3" t="s">
        <v>65</v>
      </c>
      <c r="F985" s="3" t="s">
        <v>66</v>
      </c>
      <c r="G985" s="3" t="s">
        <v>15</v>
      </c>
      <c r="H985" s="3" t="s">
        <v>16</v>
      </c>
      <c r="I985" s="3">
        <v>1611.01</v>
      </c>
      <c r="J985" s="3">
        <v>5</v>
      </c>
      <c r="K985" s="3">
        <v>0</v>
      </c>
      <c r="L985" s="9">
        <f t="shared" si="61"/>
        <v>8055.05</v>
      </c>
      <c r="M985" s="9">
        <f t="shared" si="62"/>
        <v>0</v>
      </c>
      <c r="N985" s="10">
        <f t="shared" si="63"/>
        <v>8055.05</v>
      </c>
      <c r="O985" s="3" t="s">
        <v>26</v>
      </c>
      <c r="P985" s="3" t="s">
        <v>39</v>
      </c>
      <c r="Q985" s="3" t="s">
        <v>60</v>
      </c>
    </row>
    <row r="986" spans="1:17" x14ac:dyDescent="0.25">
      <c r="A986" s="2" t="s">
        <v>1353</v>
      </c>
      <c r="B986" s="4">
        <v>46025</v>
      </c>
      <c r="C986" s="4" t="str">
        <f t="shared" si="60"/>
        <v>Jan</v>
      </c>
      <c r="D986" s="2" t="s">
        <v>136</v>
      </c>
      <c r="E986" s="2" t="s">
        <v>51</v>
      </c>
      <c r="F986" s="2" t="s">
        <v>14</v>
      </c>
      <c r="G986" s="2" t="s">
        <v>110</v>
      </c>
      <c r="H986" s="2" t="s">
        <v>67</v>
      </c>
      <c r="I986" s="2">
        <v>4190.08</v>
      </c>
      <c r="J986" s="2">
        <v>2</v>
      </c>
      <c r="K986" s="2">
        <v>0</v>
      </c>
      <c r="L986" s="9">
        <f t="shared" si="61"/>
        <v>8380.16</v>
      </c>
      <c r="M986" s="9">
        <f t="shared" si="62"/>
        <v>0</v>
      </c>
      <c r="N986" s="10">
        <f t="shared" si="63"/>
        <v>8380.16</v>
      </c>
      <c r="O986" s="2" t="s">
        <v>38</v>
      </c>
      <c r="P986" s="2" t="s">
        <v>18</v>
      </c>
      <c r="Q986" s="2" t="s">
        <v>60</v>
      </c>
    </row>
    <row r="987" spans="1:17" x14ac:dyDescent="0.25">
      <c r="A987" s="3" t="s">
        <v>1354</v>
      </c>
      <c r="B987" s="4">
        <v>46026</v>
      </c>
      <c r="C987" s="4" t="str">
        <f t="shared" si="60"/>
        <v>Jan</v>
      </c>
      <c r="D987" s="3" t="s">
        <v>397</v>
      </c>
      <c r="E987" s="3" t="s">
        <v>76</v>
      </c>
      <c r="F987" s="3" t="s">
        <v>77</v>
      </c>
      <c r="G987" s="3" t="s">
        <v>24</v>
      </c>
      <c r="H987" s="3" t="s">
        <v>25</v>
      </c>
      <c r="I987" s="3">
        <v>4219.97</v>
      </c>
      <c r="J987" s="3">
        <v>4</v>
      </c>
      <c r="K987" s="3">
        <v>0</v>
      </c>
      <c r="L987" s="9">
        <f t="shared" si="61"/>
        <v>16879.88</v>
      </c>
      <c r="M987" s="9">
        <f t="shared" si="62"/>
        <v>0</v>
      </c>
      <c r="N987" s="10">
        <f t="shared" si="63"/>
        <v>16879.88</v>
      </c>
      <c r="O987" s="3" t="s">
        <v>38</v>
      </c>
      <c r="P987" s="3" t="s">
        <v>18</v>
      </c>
      <c r="Q987" s="3" t="s">
        <v>34</v>
      </c>
    </row>
    <row r="988" spans="1:17" x14ac:dyDescent="0.25">
      <c r="A988" s="2" t="s">
        <v>1355</v>
      </c>
      <c r="B988" s="4">
        <v>46027</v>
      </c>
      <c r="C988" s="4" t="str">
        <f t="shared" si="60"/>
        <v>Jan</v>
      </c>
      <c r="D988" s="2" t="s">
        <v>104</v>
      </c>
      <c r="E988" s="2" t="s">
        <v>29</v>
      </c>
      <c r="F988" s="2" t="s">
        <v>30</v>
      </c>
      <c r="G988" s="2" t="s">
        <v>24</v>
      </c>
      <c r="H988" s="2" t="s">
        <v>92</v>
      </c>
      <c r="I988" s="2">
        <v>1393.06</v>
      </c>
      <c r="J988" s="2">
        <v>4</v>
      </c>
      <c r="K988" s="2">
        <v>0</v>
      </c>
      <c r="L988" s="9">
        <f t="shared" si="61"/>
        <v>5572.24</v>
      </c>
      <c r="M988" s="9">
        <f t="shared" si="62"/>
        <v>0</v>
      </c>
      <c r="N988" s="10">
        <f t="shared" si="63"/>
        <v>5572.24</v>
      </c>
      <c r="O988" s="2" t="s">
        <v>33</v>
      </c>
      <c r="P988" s="2" t="s">
        <v>27</v>
      </c>
      <c r="Q988" s="2" t="s">
        <v>60</v>
      </c>
    </row>
    <row r="989" spans="1:17" x14ac:dyDescent="0.25">
      <c r="A989" s="3" t="s">
        <v>1356</v>
      </c>
      <c r="B989" s="4">
        <v>46028</v>
      </c>
      <c r="C989" s="4" t="str">
        <f t="shared" si="60"/>
        <v>Jan</v>
      </c>
      <c r="D989" s="3" t="s">
        <v>572</v>
      </c>
      <c r="E989" s="3" t="s">
        <v>100</v>
      </c>
      <c r="F989" s="3" t="s">
        <v>88</v>
      </c>
      <c r="G989" s="3" t="s">
        <v>15</v>
      </c>
      <c r="H989" s="3" t="s">
        <v>198</v>
      </c>
      <c r="I989" s="3">
        <v>816.53</v>
      </c>
      <c r="J989" s="3">
        <v>4</v>
      </c>
      <c r="K989" s="3">
        <v>15</v>
      </c>
      <c r="L989" s="9">
        <f t="shared" si="61"/>
        <v>3266.12</v>
      </c>
      <c r="M989" s="9">
        <f t="shared" si="62"/>
        <v>489.91799999999995</v>
      </c>
      <c r="N989" s="10">
        <f t="shared" si="63"/>
        <v>2776.2019999999998</v>
      </c>
      <c r="O989" s="3" t="s">
        <v>68</v>
      </c>
      <c r="P989" s="3" t="s">
        <v>18</v>
      </c>
      <c r="Q989" s="3" t="s">
        <v>40</v>
      </c>
    </row>
    <row r="990" spans="1:17" x14ac:dyDescent="0.25">
      <c r="A990" s="2" t="s">
        <v>1357</v>
      </c>
      <c r="B990" s="4">
        <v>46029</v>
      </c>
      <c r="C990" s="4" t="str">
        <f t="shared" si="60"/>
        <v>Jan</v>
      </c>
      <c r="D990" s="2" t="s">
        <v>442</v>
      </c>
      <c r="E990" s="2" t="s">
        <v>51</v>
      </c>
      <c r="F990" s="2" t="s">
        <v>14</v>
      </c>
      <c r="G990" s="2" t="s">
        <v>72</v>
      </c>
      <c r="H990" s="2" t="s">
        <v>81</v>
      </c>
      <c r="I990" s="2">
        <v>1430.3</v>
      </c>
      <c r="J990" s="2">
        <v>5</v>
      </c>
      <c r="K990" s="2">
        <v>10</v>
      </c>
      <c r="L990" s="9">
        <f t="shared" si="61"/>
        <v>7151.5</v>
      </c>
      <c r="M990" s="9">
        <f t="shared" si="62"/>
        <v>715.15</v>
      </c>
      <c r="N990" s="10">
        <f t="shared" si="63"/>
        <v>6436.35</v>
      </c>
      <c r="O990" s="2" t="s">
        <v>68</v>
      </c>
      <c r="P990" s="2" t="s">
        <v>39</v>
      </c>
      <c r="Q990" s="2" t="s">
        <v>40</v>
      </c>
    </row>
    <row r="991" spans="1:17" x14ac:dyDescent="0.25">
      <c r="A991" s="3" t="s">
        <v>1358</v>
      </c>
      <c r="B991" s="4">
        <v>46030</v>
      </c>
      <c r="C991" s="4" t="str">
        <f t="shared" si="60"/>
        <v>Jan</v>
      </c>
      <c r="D991" s="3" t="s">
        <v>292</v>
      </c>
      <c r="E991" s="3" t="s">
        <v>22</v>
      </c>
      <c r="F991" s="3" t="s">
        <v>23</v>
      </c>
      <c r="G991" s="3" t="s">
        <v>24</v>
      </c>
      <c r="H991" s="3" t="s">
        <v>25</v>
      </c>
      <c r="I991" s="3">
        <v>4482.38</v>
      </c>
      <c r="J991" s="3">
        <v>5</v>
      </c>
      <c r="K991" s="3">
        <v>5</v>
      </c>
      <c r="L991" s="9">
        <f t="shared" si="61"/>
        <v>22411.9</v>
      </c>
      <c r="M991" s="9">
        <f t="shared" si="62"/>
        <v>1120.595</v>
      </c>
      <c r="N991" s="10">
        <f t="shared" si="63"/>
        <v>21291.305</v>
      </c>
      <c r="O991" s="3" t="s">
        <v>26</v>
      </c>
      <c r="P991" s="3" t="s">
        <v>18</v>
      </c>
      <c r="Q991" s="3"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A47F-7FE4-4240-B65F-FC14B1E212A2}">
  <dimension ref="A1:D8"/>
  <sheetViews>
    <sheetView workbookViewId="0">
      <selection sqref="A1:B1"/>
    </sheetView>
  </sheetViews>
  <sheetFormatPr defaultRowHeight="15" x14ac:dyDescent="0.25"/>
  <cols>
    <col min="1" max="1" width="32.28515625" customWidth="1"/>
    <col min="2" max="2" width="32.42578125" customWidth="1"/>
  </cols>
  <sheetData>
    <row r="1" spans="1:4" ht="27.75" x14ac:dyDescent="0.8">
      <c r="A1" s="12" t="s">
        <v>1359</v>
      </c>
      <c r="B1" s="13">
        <f>SUM(Sheet3!N:N)</f>
        <v>41693324.872999974</v>
      </c>
    </row>
    <row r="2" spans="1:4" ht="27.75" x14ac:dyDescent="0.8">
      <c r="A2" s="12" t="s">
        <v>1360</v>
      </c>
      <c r="B2" s="14">
        <f>COUNTA(Sheet3!A:A)-1</f>
        <v>990</v>
      </c>
    </row>
    <row r="3" spans="1:4" ht="27.75" x14ac:dyDescent="0.8">
      <c r="A3" s="12" t="s">
        <v>1367</v>
      </c>
      <c r="B3" s="14">
        <f>SUM(Sheet3!J:J)</f>
        <v>3004</v>
      </c>
    </row>
    <row r="4" spans="1:4" ht="28.5" thickBot="1" x14ac:dyDescent="0.85">
      <c r="A4" s="12" t="s">
        <v>1368</v>
      </c>
      <c r="B4" s="14">
        <f>COUNTIF(Sheet3!P:P,"Completed")</f>
        <v>557</v>
      </c>
    </row>
    <row r="5" spans="1:4" ht="28.5" thickBot="1" x14ac:dyDescent="0.85">
      <c r="A5" s="12" t="s">
        <v>1369</v>
      </c>
      <c r="B5" s="14">
        <f>COUNTIF(Sheet3!P:P,"Cancelled")</f>
        <v>166</v>
      </c>
      <c r="D5" s="15"/>
    </row>
    <row r="6" spans="1:4" ht="27.75" x14ac:dyDescent="0.8">
      <c r="A6" s="12" t="s">
        <v>1370</v>
      </c>
      <c r="B6" s="14">
        <f>COUNTIF(Sheet3!P:P,"Pending")</f>
        <v>140</v>
      </c>
    </row>
    <row r="7" spans="1:4" ht="27.75" x14ac:dyDescent="0.8">
      <c r="A7" s="12" t="s">
        <v>1371</v>
      </c>
      <c r="B7" s="16">
        <f>B4/B2</f>
        <v>0.56262626262626259</v>
      </c>
    </row>
    <row r="8" spans="1:4" x14ac:dyDescent="0.25">
      <c r="B8"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1EBF-89A9-45FF-8147-F0FCBF66479B}">
  <dimension ref="A1:Q73"/>
  <sheetViews>
    <sheetView workbookViewId="0">
      <selection activeCell="A3" sqref="A3:Q73"/>
    </sheetView>
  </sheetViews>
  <sheetFormatPr defaultRowHeight="15" x14ac:dyDescent="0.25"/>
  <cols>
    <col min="1" max="1" width="11.28515625" bestFit="1" customWidth="1"/>
    <col min="2" max="2" width="13" bestFit="1" customWidth="1"/>
    <col min="3" max="3" width="9.28515625" bestFit="1" customWidth="1"/>
    <col min="4" max="4" width="26.28515625" bestFit="1" customWidth="1"/>
    <col min="5" max="5" width="12" bestFit="1" customWidth="1"/>
    <col min="6" max="6" width="14.42578125" bestFit="1" customWidth="1"/>
    <col min="7" max="7" width="16.140625" bestFit="1" customWidth="1"/>
    <col min="8" max="8" width="14.140625" bestFit="1" customWidth="1"/>
    <col min="9" max="9" width="12.5703125" bestFit="1" customWidth="1"/>
    <col min="10" max="10" width="11" bestFit="1" customWidth="1"/>
    <col min="11" max="11" width="13.5703125" bestFit="1" customWidth="1"/>
    <col min="12" max="12" width="13.7109375" bestFit="1" customWidth="1"/>
    <col min="13" max="13" width="19.28515625" bestFit="1" customWidth="1"/>
    <col min="14" max="14" width="12" bestFit="1" customWidth="1"/>
    <col min="15" max="15" width="19.5703125" bestFit="1" customWidth="1"/>
    <col min="16" max="16" width="14.85546875" bestFit="1" customWidth="1"/>
    <col min="17" max="17" width="16.5703125" bestFit="1" customWidth="1"/>
  </cols>
  <sheetData>
    <row r="1" spans="1:17" x14ac:dyDescent="0.25">
      <c r="A1" s="19" t="s">
        <v>1388</v>
      </c>
    </row>
    <row r="3" spans="1:17" x14ac:dyDescent="0.25">
      <c r="A3" t="s">
        <v>0</v>
      </c>
      <c r="B3" t="s">
        <v>1361</v>
      </c>
      <c r="C3" t="s">
        <v>1372</v>
      </c>
      <c r="D3" t="s">
        <v>1362</v>
      </c>
      <c r="E3" t="s">
        <v>1</v>
      </c>
      <c r="F3" t="s">
        <v>2</v>
      </c>
      <c r="G3" t="s">
        <v>3</v>
      </c>
      <c r="H3" t="s">
        <v>4</v>
      </c>
      <c r="I3" t="s">
        <v>5</v>
      </c>
      <c r="J3" t="s">
        <v>6</v>
      </c>
      <c r="K3" t="s">
        <v>7</v>
      </c>
      <c r="L3" t="s">
        <v>1364</v>
      </c>
      <c r="M3" t="s">
        <v>1365</v>
      </c>
      <c r="N3" t="s">
        <v>1366</v>
      </c>
      <c r="O3" t="s">
        <v>8</v>
      </c>
      <c r="P3" t="s">
        <v>9</v>
      </c>
      <c r="Q3" t="s">
        <v>10</v>
      </c>
    </row>
    <row r="4" spans="1:17" x14ac:dyDescent="0.25">
      <c r="A4" t="s">
        <v>1358</v>
      </c>
      <c r="B4" s="18">
        <v>46030</v>
      </c>
      <c r="C4" t="s">
        <v>1374</v>
      </c>
      <c r="D4" t="s">
        <v>292</v>
      </c>
      <c r="E4" t="s">
        <v>22</v>
      </c>
      <c r="F4" t="s">
        <v>23</v>
      </c>
      <c r="G4" t="s">
        <v>24</v>
      </c>
      <c r="H4" t="s">
        <v>25</v>
      </c>
      <c r="I4">
        <v>4482.38</v>
      </c>
      <c r="J4">
        <v>5</v>
      </c>
      <c r="K4">
        <v>5</v>
      </c>
      <c r="L4">
        <v>22411.9</v>
      </c>
      <c r="M4">
        <v>1120.595</v>
      </c>
      <c r="N4">
        <v>21291.305</v>
      </c>
      <c r="O4" t="s">
        <v>26</v>
      </c>
      <c r="P4" t="s">
        <v>18</v>
      </c>
      <c r="Q4" t="s">
        <v>34</v>
      </c>
    </row>
    <row r="5" spans="1:17" x14ac:dyDescent="0.25">
      <c r="A5" t="s">
        <v>1357</v>
      </c>
      <c r="B5" s="18">
        <v>46029</v>
      </c>
      <c r="C5" t="s">
        <v>1374</v>
      </c>
      <c r="D5" t="s">
        <v>442</v>
      </c>
      <c r="E5" t="s">
        <v>51</v>
      </c>
      <c r="F5" t="s">
        <v>14</v>
      </c>
      <c r="G5" t="s">
        <v>72</v>
      </c>
      <c r="H5" t="s">
        <v>81</v>
      </c>
      <c r="I5">
        <v>1430.3</v>
      </c>
      <c r="J5">
        <v>5</v>
      </c>
      <c r="K5">
        <v>10</v>
      </c>
      <c r="L5">
        <v>7151.5</v>
      </c>
      <c r="M5">
        <v>715.15</v>
      </c>
      <c r="N5">
        <v>6436.35</v>
      </c>
      <c r="O5" t="s">
        <v>68</v>
      </c>
      <c r="P5" t="s">
        <v>39</v>
      </c>
      <c r="Q5" t="s">
        <v>40</v>
      </c>
    </row>
    <row r="6" spans="1:17" x14ac:dyDescent="0.25">
      <c r="A6" t="s">
        <v>1356</v>
      </c>
      <c r="B6" s="18">
        <v>46028</v>
      </c>
      <c r="C6" t="s">
        <v>1374</v>
      </c>
      <c r="D6" t="s">
        <v>572</v>
      </c>
      <c r="E6" t="s">
        <v>100</v>
      </c>
      <c r="F6" t="s">
        <v>88</v>
      </c>
      <c r="G6" t="s">
        <v>15</v>
      </c>
      <c r="H6" t="s">
        <v>198</v>
      </c>
      <c r="I6">
        <v>816.53</v>
      </c>
      <c r="J6">
        <v>4</v>
      </c>
      <c r="K6">
        <v>15</v>
      </c>
      <c r="L6">
        <v>3266.12</v>
      </c>
      <c r="M6">
        <v>489.91799999999995</v>
      </c>
      <c r="N6">
        <v>2776.2019999999998</v>
      </c>
      <c r="O6" t="s">
        <v>68</v>
      </c>
      <c r="P6" t="s">
        <v>18</v>
      </c>
      <c r="Q6" t="s">
        <v>40</v>
      </c>
    </row>
    <row r="7" spans="1:17" x14ac:dyDescent="0.25">
      <c r="A7" t="s">
        <v>1355</v>
      </c>
      <c r="B7" s="18">
        <v>46027</v>
      </c>
      <c r="C7" t="s">
        <v>1374</v>
      </c>
      <c r="D7" t="s">
        <v>104</v>
      </c>
      <c r="E7" t="s">
        <v>29</v>
      </c>
      <c r="F7" t="s">
        <v>30</v>
      </c>
      <c r="G7" t="s">
        <v>24</v>
      </c>
      <c r="H7" t="s">
        <v>92</v>
      </c>
      <c r="I7">
        <v>1393.06</v>
      </c>
      <c r="J7">
        <v>4</v>
      </c>
      <c r="K7">
        <v>0</v>
      </c>
      <c r="L7">
        <v>5572.24</v>
      </c>
      <c r="M7">
        <v>0</v>
      </c>
      <c r="N7">
        <v>5572.24</v>
      </c>
      <c r="O7" t="s">
        <v>33</v>
      </c>
      <c r="P7" t="s">
        <v>27</v>
      </c>
      <c r="Q7" t="s">
        <v>60</v>
      </c>
    </row>
    <row r="8" spans="1:17" x14ac:dyDescent="0.25">
      <c r="A8" t="s">
        <v>1354</v>
      </c>
      <c r="B8" s="18">
        <v>46026</v>
      </c>
      <c r="C8" t="s">
        <v>1374</v>
      </c>
      <c r="D8" t="s">
        <v>397</v>
      </c>
      <c r="E8" t="s">
        <v>76</v>
      </c>
      <c r="F8" t="s">
        <v>77</v>
      </c>
      <c r="G8" t="s">
        <v>24</v>
      </c>
      <c r="H8" t="s">
        <v>25</v>
      </c>
      <c r="I8">
        <v>4219.97</v>
      </c>
      <c r="J8">
        <v>4</v>
      </c>
      <c r="K8">
        <v>0</v>
      </c>
      <c r="L8">
        <v>16879.88</v>
      </c>
      <c r="M8">
        <v>0</v>
      </c>
      <c r="N8">
        <v>16879.88</v>
      </c>
      <c r="O8" t="s">
        <v>38</v>
      </c>
      <c r="P8" t="s">
        <v>18</v>
      </c>
      <c r="Q8" t="s">
        <v>34</v>
      </c>
    </row>
    <row r="9" spans="1:17" x14ac:dyDescent="0.25">
      <c r="A9" t="s">
        <v>1353</v>
      </c>
      <c r="B9" s="18">
        <v>46025</v>
      </c>
      <c r="C9" t="s">
        <v>1374</v>
      </c>
      <c r="D9" t="s">
        <v>136</v>
      </c>
      <c r="E9" t="s">
        <v>51</v>
      </c>
      <c r="F9" t="s">
        <v>14</v>
      </c>
      <c r="G9" t="s">
        <v>110</v>
      </c>
      <c r="H9" t="s">
        <v>67</v>
      </c>
      <c r="I9">
        <v>4190.08</v>
      </c>
      <c r="J9">
        <v>2</v>
      </c>
      <c r="K9">
        <v>0</v>
      </c>
      <c r="L9">
        <v>8380.16</v>
      </c>
      <c r="M9">
        <v>0</v>
      </c>
      <c r="N9">
        <v>8380.16</v>
      </c>
      <c r="O9" t="s">
        <v>38</v>
      </c>
      <c r="P9" t="s">
        <v>18</v>
      </c>
      <c r="Q9" t="s">
        <v>60</v>
      </c>
    </row>
    <row r="10" spans="1:17" x14ac:dyDescent="0.25">
      <c r="A10" t="s">
        <v>1352</v>
      </c>
      <c r="B10" s="18">
        <v>46024</v>
      </c>
      <c r="C10" t="s">
        <v>1374</v>
      </c>
      <c r="D10" t="s">
        <v>1061</v>
      </c>
      <c r="E10" t="s">
        <v>65</v>
      </c>
      <c r="F10" t="s">
        <v>66</v>
      </c>
      <c r="G10" t="s">
        <v>15</v>
      </c>
      <c r="H10" t="s">
        <v>16</v>
      </c>
      <c r="I10">
        <v>1611.01</v>
      </c>
      <c r="J10">
        <v>5</v>
      </c>
      <c r="K10">
        <v>0</v>
      </c>
      <c r="L10">
        <v>8055.05</v>
      </c>
      <c r="M10">
        <v>0</v>
      </c>
      <c r="N10">
        <v>8055.05</v>
      </c>
      <c r="O10" t="s">
        <v>26</v>
      </c>
      <c r="P10" t="s">
        <v>39</v>
      </c>
      <c r="Q10" t="s">
        <v>60</v>
      </c>
    </row>
    <row r="11" spans="1:17" x14ac:dyDescent="0.25">
      <c r="A11" t="s">
        <v>1351</v>
      </c>
      <c r="B11" s="18">
        <v>46023</v>
      </c>
      <c r="C11" t="s">
        <v>1374</v>
      </c>
      <c r="D11" t="s">
        <v>378</v>
      </c>
      <c r="E11" t="s">
        <v>13</v>
      </c>
      <c r="F11" t="s">
        <v>14</v>
      </c>
      <c r="G11" t="s">
        <v>72</v>
      </c>
      <c r="H11" t="s">
        <v>137</v>
      </c>
      <c r="I11">
        <v>2076.48</v>
      </c>
      <c r="J11">
        <v>3</v>
      </c>
      <c r="K11">
        <v>15</v>
      </c>
      <c r="L11">
        <v>6229.4400000000005</v>
      </c>
      <c r="M11">
        <v>934.41600000000005</v>
      </c>
      <c r="N11">
        <v>5295.0240000000003</v>
      </c>
      <c r="O11" t="s">
        <v>38</v>
      </c>
      <c r="P11" t="s">
        <v>18</v>
      </c>
      <c r="Q11" t="s">
        <v>19</v>
      </c>
    </row>
    <row r="12" spans="1:17" x14ac:dyDescent="0.25">
      <c r="A12" t="s">
        <v>992</v>
      </c>
      <c r="B12" s="18">
        <v>45688</v>
      </c>
      <c r="C12" t="s">
        <v>1374</v>
      </c>
      <c r="D12" t="s">
        <v>532</v>
      </c>
      <c r="E12" t="s">
        <v>29</v>
      </c>
      <c r="F12" t="s">
        <v>30</v>
      </c>
      <c r="G12" t="s">
        <v>36</v>
      </c>
      <c r="H12" t="s">
        <v>338</v>
      </c>
      <c r="I12">
        <v>63263.63</v>
      </c>
      <c r="J12">
        <v>5</v>
      </c>
      <c r="K12">
        <v>0</v>
      </c>
      <c r="L12">
        <v>316318.14999999997</v>
      </c>
      <c r="M12">
        <v>0</v>
      </c>
      <c r="N12">
        <v>316318.14999999997</v>
      </c>
      <c r="O12" t="s">
        <v>68</v>
      </c>
      <c r="P12" t="s">
        <v>52</v>
      </c>
      <c r="Q12" t="s">
        <v>53</v>
      </c>
    </row>
    <row r="13" spans="1:17" x14ac:dyDescent="0.25">
      <c r="A13" t="s">
        <v>991</v>
      </c>
      <c r="B13" s="18">
        <v>45687</v>
      </c>
      <c r="C13" t="s">
        <v>1374</v>
      </c>
      <c r="D13" t="s">
        <v>643</v>
      </c>
      <c r="E13" t="s">
        <v>22</v>
      </c>
      <c r="F13" t="s">
        <v>23</v>
      </c>
      <c r="G13" t="s">
        <v>110</v>
      </c>
      <c r="H13" t="s">
        <v>215</v>
      </c>
      <c r="I13">
        <v>2617.88</v>
      </c>
      <c r="J13">
        <v>1</v>
      </c>
      <c r="K13">
        <v>5</v>
      </c>
      <c r="L13">
        <v>2617.88</v>
      </c>
      <c r="M13">
        <v>130.89400000000001</v>
      </c>
      <c r="N13">
        <v>2486.9859999999999</v>
      </c>
      <c r="O13" t="s">
        <v>38</v>
      </c>
      <c r="P13" t="s">
        <v>18</v>
      </c>
      <c r="Q13" t="s">
        <v>40</v>
      </c>
    </row>
    <row r="14" spans="1:17" x14ac:dyDescent="0.25">
      <c r="A14" t="s">
        <v>990</v>
      </c>
      <c r="B14" s="18">
        <v>45686</v>
      </c>
      <c r="C14" t="s">
        <v>1374</v>
      </c>
      <c r="D14" t="s">
        <v>290</v>
      </c>
      <c r="E14" t="s">
        <v>22</v>
      </c>
      <c r="F14" t="s">
        <v>23</v>
      </c>
      <c r="G14" t="s">
        <v>43</v>
      </c>
      <c r="H14" t="s">
        <v>105</v>
      </c>
      <c r="I14">
        <v>2817.32</v>
      </c>
      <c r="J14">
        <v>3</v>
      </c>
      <c r="K14">
        <v>10</v>
      </c>
      <c r="L14">
        <v>8451.9600000000009</v>
      </c>
      <c r="M14">
        <v>845.19600000000003</v>
      </c>
      <c r="N14">
        <v>7606.764000000001</v>
      </c>
      <c r="O14" t="s">
        <v>38</v>
      </c>
      <c r="P14" t="s">
        <v>27</v>
      </c>
      <c r="Q14" t="s">
        <v>19</v>
      </c>
    </row>
    <row r="15" spans="1:17" x14ac:dyDescent="0.25">
      <c r="A15" t="s">
        <v>989</v>
      </c>
      <c r="B15" s="18">
        <v>45685</v>
      </c>
      <c r="C15" t="s">
        <v>1374</v>
      </c>
      <c r="D15" t="s">
        <v>734</v>
      </c>
      <c r="E15" t="s">
        <v>76</v>
      </c>
      <c r="F15" t="s">
        <v>77</v>
      </c>
      <c r="G15" t="s">
        <v>43</v>
      </c>
      <c r="H15" t="s">
        <v>127</v>
      </c>
      <c r="I15">
        <v>5911.62</v>
      </c>
      <c r="J15">
        <v>4</v>
      </c>
      <c r="K15">
        <v>15</v>
      </c>
      <c r="L15">
        <v>23646.48</v>
      </c>
      <c r="M15">
        <v>3546.9720000000002</v>
      </c>
      <c r="N15">
        <v>20099.507999999998</v>
      </c>
      <c r="O15" t="s">
        <v>38</v>
      </c>
      <c r="P15" t="s">
        <v>27</v>
      </c>
      <c r="Q15" t="s">
        <v>60</v>
      </c>
    </row>
    <row r="16" spans="1:17" x14ac:dyDescent="0.25">
      <c r="A16" t="s">
        <v>988</v>
      </c>
      <c r="B16" s="18">
        <v>45684</v>
      </c>
      <c r="C16" t="s">
        <v>1374</v>
      </c>
      <c r="D16" t="s">
        <v>340</v>
      </c>
      <c r="E16" t="s">
        <v>22</v>
      </c>
      <c r="F16" t="s">
        <v>23</v>
      </c>
      <c r="G16" t="s">
        <v>36</v>
      </c>
      <c r="H16" t="s">
        <v>37</v>
      </c>
      <c r="I16">
        <v>12405.69</v>
      </c>
      <c r="J16">
        <v>2</v>
      </c>
      <c r="K16">
        <v>15</v>
      </c>
      <c r="L16">
        <v>24811.38</v>
      </c>
      <c r="M16">
        <v>3721.7070000000003</v>
      </c>
      <c r="N16">
        <v>21089.673000000003</v>
      </c>
      <c r="O16" t="s">
        <v>33</v>
      </c>
      <c r="P16" t="s">
        <v>39</v>
      </c>
      <c r="Q16" t="s">
        <v>19</v>
      </c>
    </row>
    <row r="17" spans="1:17" x14ac:dyDescent="0.25">
      <c r="A17" t="s">
        <v>987</v>
      </c>
      <c r="B17" s="18">
        <v>45683</v>
      </c>
      <c r="C17" t="s">
        <v>1374</v>
      </c>
      <c r="D17" t="s">
        <v>406</v>
      </c>
      <c r="E17" t="s">
        <v>76</v>
      </c>
      <c r="F17" t="s">
        <v>77</v>
      </c>
      <c r="G17" t="s">
        <v>43</v>
      </c>
      <c r="H17" t="s">
        <v>127</v>
      </c>
      <c r="I17">
        <v>5041.3999999999996</v>
      </c>
      <c r="J17">
        <v>1</v>
      </c>
      <c r="K17">
        <v>0</v>
      </c>
      <c r="L17">
        <v>5041.3999999999996</v>
      </c>
      <c r="M17">
        <v>0</v>
      </c>
      <c r="N17">
        <v>5041.3999999999996</v>
      </c>
      <c r="O17" t="s">
        <v>33</v>
      </c>
      <c r="P17" t="s">
        <v>18</v>
      </c>
      <c r="Q17" t="s">
        <v>53</v>
      </c>
    </row>
    <row r="18" spans="1:17" x14ac:dyDescent="0.25">
      <c r="A18" t="s">
        <v>985</v>
      </c>
      <c r="B18" s="18">
        <v>45682</v>
      </c>
      <c r="C18" t="s">
        <v>1374</v>
      </c>
      <c r="D18" t="s">
        <v>986</v>
      </c>
      <c r="E18" t="s">
        <v>13</v>
      </c>
      <c r="F18" t="s">
        <v>14</v>
      </c>
      <c r="G18" t="s">
        <v>36</v>
      </c>
      <c r="H18" t="s">
        <v>37</v>
      </c>
      <c r="I18">
        <v>12560.34</v>
      </c>
      <c r="J18">
        <v>5</v>
      </c>
      <c r="K18">
        <v>5</v>
      </c>
      <c r="L18">
        <v>62801.7</v>
      </c>
      <c r="M18">
        <v>3140.085</v>
      </c>
      <c r="N18">
        <v>59661.614999999998</v>
      </c>
      <c r="O18" t="s">
        <v>33</v>
      </c>
      <c r="P18" t="s">
        <v>52</v>
      </c>
      <c r="Q18" t="s">
        <v>60</v>
      </c>
    </row>
    <row r="19" spans="1:17" x14ac:dyDescent="0.25">
      <c r="A19" t="s">
        <v>984</v>
      </c>
      <c r="B19" s="18">
        <v>45681</v>
      </c>
      <c r="C19" t="s">
        <v>1374</v>
      </c>
      <c r="D19" t="s">
        <v>511</v>
      </c>
      <c r="E19" t="s">
        <v>65</v>
      </c>
      <c r="F19" t="s">
        <v>66</v>
      </c>
      <c r="G19" t="s">
        <v>15</v>
      </c>
      <c r="H19" t="s">
        <v>163</v>
      </c>
      <c r="I19">
        <v>2373.92</v>
      </c>
      <c r="J19">
        <v>4</v>
      </c>
      <c r="K19">
        <v>10</v>
      </c>
      <c r="L19">
        <v>9495.68</v>
      </c>
      <c r="M19">
        <v>949.56799999999998</v>
      </c>
      <c r="N19">
        <v>8546.112000000001</v>
      </c>
      <c r="O19" t="s">
        <v>26</v>
      </c>
      <c r="P19" t="s">
        <v>52</v>
      </c>
      <c r="Q19" t="s">
        <v>53</v>
      </c>
    </row>
    <row r="20" spans="1:17" x14ac:dyDescent="0.25">
      <c r="A20" t="s">
        <v>983</v>
      </c>
      <c r="B20" s="18">
        <v>45680</v>
      </c>
      <c r="C20" t="s">
        <v>1374</v>
      </c>
      <c r="D20" t="s">
        <v>126</v>
      </c>
      <c r="E20" t="s">
        <v>51</v>
      </c>
      <c r="F20" t="s">
        <v>14</v>
      </c>
      <c r="G20" t="s">
        <v>36</v>
      </c>
      <c r="H20" t="s">
        <v>37</v>
      </c>
      <c r="I20">
        <v>12856.74</v>
      </c>
      <c r="J20">
        <v>4</v>
      </c>
      <c r="K20">
        <v>0</v>
      </c>
      <c r="L20">
        <v>51426.96</v>
      </c>
      <c r="M20">
        <v>0</v>
      </c>
      <c r="N20">
        <v>51426.96</v>
      </c>
      <c r="O20" t="s">
        <v>17</v>
      </c>
      <c r="P20" t="s">
        <v>18</v>
      </c>
      <c r="Q20" t="s">
        <v>60</v>
      </c>
    </row>
    <row r="21" spans="1:17" x14ac:dyDescent="0.25">
      <c r="A21" t="s">
        <v>982</v>
      </c>
      <c r="B21" s="18">
        <v>45679</v>
      </c>
      <c r="C21" t="s">
        <v>1374</v>
      </c>
      <c r="D21" t="s">
        <v>559</v>
      </c>
      <c r="E21" t="s">
        <v>76</v>
      </c>
      <c r="F21" t="s">
        <v>77</v>
      </c>
      <c r="G21" t="s">
        <v>43</v>
      </c>
      <c r="H21" t="s">
        <v>127</v>
      </c>
      <c r="I21">
        <v>5786.37</v>
      </c>
      <c r="J21">
        <v>2</v>
      </c>
      <c r="K21">
        <v>0</v>
      </c>
      <c r="L21">
        <v>11572.74</v>
      </c>
      <c r="M21">
        <v>0</v>
      </c>
      <c r="N21">
        <v>11572.74</v>
      </c>
      <c r="O21" t="s">
        <v>17</v>
      </c>
      <c r="P21" t="s">
        <v>18</v>
      </c>
      <c r="Q21" t="s">
        <v>19</v>
      </c>
    </row>
    <row r="22" spans="1:17" x14ac:dyDescent="0.25">
      <c r="A22" t="s">
        <v>980</v>
      </c>
      <c r="B22" s="18">
        <v>45678</v>
      </c>
      <c r="C22" t="s">
        <v>1374</v>
      </c>
      <c r="D22" t="s">
        <v>981</v>
      </c>
      <c r="E22" t="s">
        <v>87</v>
      </c>
      <c r="F22" t="s">
        <v>88</v>
      </c>
      <c r="G22" t="s">
        <v>31</v>
      </c>
      <c r="H22" t="s">
        <v>186</v>
      </c>
      <c r="I22">
        <v>773.74</v>
      </c>
      <c r="J22">
        <v>1</v>
      </c>
      <c r="K22">
        <v>0</v>
      </c>
      <c r="L22">
        <v>773.74</v>
      </c>
      <c r="M22">
        <v>0</v>
      </c>
      <c r="N22">
        <v>773.74</v>
      </c>
      <c r="O22" t="s">
        <v>17</v>
      </c>
      <c r="P22" t="s">
        <v>18</v>
      </c>
      <c r="Q22" t="s">
        <v>34</v>
      </c>
    </row>
    <row r="23" spans="1:17" x14ac:dyDescent="0.25">
      <c r="A23" t="s">
        <v>979</v>
      </c>
      <c r="B23" s="18">
        <v>45677</v>
      </c>
      <c r="C23" t="s">
        <v>1374</v>
      </c>
      <c r="D23" t="s">
        <v>721</v>
      </c>
      <c r="E23" t="s">
        <v>65</v>
      </c>
      <c r="F23" t="s">
        <v>66</v>
      </c>
      <c r="G23" t="s">
        <v>24</v>
      </c>
      <c r="H23" t="s">
        <v>25</v>
      </c>
      <c r="I23">
        <v>4885.1000000000004</v>
      </c>
      <c r="J23">
        <v>4</v>
      </c>
      <c r="K23">
        <v>5</v>
      </c>
      <c r="L23">
        <v>19540.400000000001</v>
      </c>
      <c r="M23">
        <v>977.02</v>
      </c>
      <c r="N23">
        <v>18563.38</v>
      </c>
      <c r="O23" t="s">
        <v>33</v>
      </c>
      <c r="P23" t="s">
        <v>18</v>
      </c>
      <c r="Q23" t="s">
        <v>53</v>
      </c>
    </row>
    <row r="24" spans="1:17" x14ac:dyDescent="0.25">
      <c r="A24" t="s">
        <v>978</v>
      </c>
      <c r="B24" s="18">
        <v>45676</v>
      </c>
      <c r="C24" t="s">
        <v>1374</v>
      </c>
      <c r="D24" t="s">
        <v>601</v>
      </c>
      <c r="E24" t="s">
        <v>51</v>
      </c>
      <c r="F24" t="s">
        <v>14</v>
      </c>
      <c r="G24" t="s">
        <v>36</v>
      </c>
      <c r="H24" t="s">
        <v>49</v>
      </c>
      <c r="I24">
        <v>157132.44</v>
      </c>
      <c r="J24">
        <v>2</v>
      </c>
      <c r="K24">
        <v>10</v>
      </c>
      <c r="L24">
        <v>314264.88</v>
      </c>
      <c r="M24">
        <v>31426.487999999998</v>
      </c>
      <c r="N24">
        <v>282838.39199999999</v>
      </c>
      <c r="O24" t="s">
        <v>26</v>
      </c>
      <c r="P24" t="s">
        <v>18</v>
      </c>
      <c r="Q24" t="s">
        <v>60</v>
      </c>
    </row>
    <row r="25" spans="1:17" x14ac:dyDescent="0.25">
      <c r="A25" t="s">
        <v>977</v>
      </c>
      <c r="B25" s="18">
        <v>45675</v>
      </c>
      <c r="C25" t="s">
        <v>1374</v>
      </c>
      <c r="D25" t="s">
        <v>53</v>
      </c>
      <c r="E25" t="s">
        <v>22</v>
      </c>
      <c r="F25" t="s">
        <v>23</v>
      </c>
      <c r="G25" t="s">
        <v>24</v>
      </c>
      <c r="H25" t="s">
        <v>170</v>
      </c>
      <c r="I25">
        <v>1186.76</v>
      </c>
      <c r="J25">
        <v>5</v>
      </c>
      <c r="K25">
        <v>0</v>
      </c>
      <c r="L25">
        <v>5933.8</v>
      </c>
      <c r="M25">
        <v>0</v>
      </c>
      <c r="N25">
        <v>5933.8</v>
      </c>
      <c r="O25" t="s">
        <v>33</v>
      </c>
      <c r="P25" t="s">
        <v>18</v>
      </c>
      <c r="Q25" t="s">
        <v>34</v>
      </c>
    </row>
    <row r="26" spans="1:17" x14ac:dyDescent="0.25">
      <c r="A26" t="s">
        <v>976</v>
      </c>
      <c r="B26" s="18">
        <v>45674</v>
      </c>
      <c r="C26" t="s">
        <v>1374</v>
      </c>
      <c r="D26" t="s">
        <v>917</v>
      </c>
      <c r="E26" t="s">
        <v>29</v>
      </c>
      <c r="F26" t="s">
        <v>30</v>
      </c>
      <c r="G26" t="s">
        <v>72</v>
      </c>
      <c r="H26" t="s">
        <v>129</v>
      </c>
      <c r="I26">
        <v>1635.59</v>
      </c>
      <c r="J26">
        <v>1</v>
      </c>
      <c r="K26">
        <v>5</v>
      </c>
      <c r="L26">
        <v>1635.59</v>
      </c>
      <c r="M26">
        <v>81.779499999999999</v>
      </c>
      <c r="N26">
        <v>1553.8104999999998</v>
      </c>
      <c r="O26" t="s">
        <v>26</v>
      </c>
      <c r="P26" t="s">
        <v>18</v>
      </c>
      <c r="Q26" t="s">
        <v>40</v>
      </c>
    </row>
    <row r="27" spans="1:17" x14ac:dyDescent="0.25">
      <c r="A27" t="s">
        <v>975</v>
      </c>
      <c r="B27" s="18">
        <v>45673</v>
      </c>
      <c r="C27" t="s">
        <v>1374</v>
      </c>
      <c r="D27" t="s">
        <v>545</v>
      </c>
      <c r="E27" t="s">
        <v>76</v>
      </c>
      <c r="F27" t="s">
        <v>77</v>
      </c>
      <c r="G27" t="s">
        <v>43</v>
      </c>
      <c r="H27" t="s">
        <v>127</v>
      </c>
      <c r="I27">
        <v>5125.74</v>
      </c>
      <c r="J27">
        <v>1</v>
      </c>
      <c r="K27">
        <v>5</v>
      </c>
      <c r="L27">
        <v>5125.74</v>
      </c>
      <c r="M27">
        <v>256.28699999999998</v>
      </c>
      <c r="N27">
        <v>4869.4529999999995</v>
      </c>
      <c r="O27" t="s">
        <v>38</v>
      </c>
      <c r="P27" t="s">
        <v>18</v>
      </c>
      <c r="Q27" t="s">
        <v>53</v>
      </c>
    </row>
    <row r="28" spans="1:17" x14ac:dyDescent="0.25">
      <c r="A28" t="s">
        <v>974</v>
      </c>
      <c r="B28" s="18">
        <v>45672</v>
      </c>
      <c r="C28" t="s">
        <v>1374</v>
      </c>
      <c r="D28" t="s">
        <v>628</v>
      </c>
      <c r="E28" t="s">
        <v>87</v>
      </c>
      <c r="F28" t="s">
        <v>88</v>
      </c>
      <c r="G28" t="s">
        <v>72</v>
      </c>
      <c r="H28" t="s">
        <v>73</v>
      </c>
      <c r="I28">
        <v>350.53</v>
      </c>
      <c r="J28">
        <v>4</v>
      </c>
      <c r="K28">
        <v>0</v>
      </c>
      <c r="L28">
        <v>1402.12</v>
      </c>
      <c r="M28">
        <v>0</v>
      </c>
      <c r="N28">
        <v>1402.12</v>
      </c>
      <c r="O28" t="s">
        <v>26</v>
      </c>
      <c r="P28" t="s">
        <v>18</v>
      </c>
      <c r="Q28" t="s">
        <v>40</v>
      </c>
    </row>
    <row r="29" spans="1:17" x14ac:dyDescent="0.25">
      <c r="A29" t="s">
        <v>973</v>
      </c>
      <c r="B29" s="18">
        <v>45671</v>
      </c>
      <c r="C29" t="s">
        <v>1374</v>
      </c>
      <c r="D29" t="s">
        <v>751</v>
      </c>
      <c r="E29" t="s">
        <v>22</v>
      </c>
      <c r="F29" t="s">
        <v>23</v>
      </c>
      <c r="G29" t="s">
        <v>15</v>
      </c>
      <c r="H29" t="s">
        <v>16</v>
      </c>
      <c r="I29">
        <v>1454.36</v>
      </c>
      <c r="J29">
        <v>1</v>
      </c>
      <c r="K29">
        <v>10</v>
      </c>
      <c r="L29">
        <v>1454.36</v>
      </c>
      <c r="M29">
        <v>145.43599999999998</v>
      </c>
      <c r="N29">
        <v>1308.924</v>
      </c>
      <c r="O29" t="s">
        <v>26</v>
      </c>
      <c r="P29" t="s">
        <v>18</v>
      </c>
      <c r="Q29" t="s">
        <v>40</v>
      </c>
    </row>
    <row r="30" spans="1:17" x14ac:dyDescent="0.25">
      <c r="A30" t="s">
        <v>972</v>
      </c>
      <c r="B30" s="18">
        <v>45670</v>
      </c>
      <c r="C30" t="s">
        <v>1374</v>
      </c>
      <c r="D30" t="s">
        <v>217</v>
      </c>
      <c r="E30" t="s">
        <v>76</v>
      </c>
      <c r="F30" t="s">
        <v>77</v>
      </c>
      <c r="G30" t="s">
        <v>43</v>
      </c>
      <c r="H30" t="s">
        <v>127</v>
      </c>
      <c r="I30">
        <v>5981.9</v>
      </c>
      <c r="J30">
        <v>5</v>
      </c>
      <c r="K30">
        <v>15</v>
      </c>
      <c r="L30">
        <v>29909.5</v>
      </c>
      <c r="M30">
        <v>4486.4250000000002</v>
      </c>
      <c r="N30">
        <v>25423.075000000001</v>
      </c>
      <c r="O30" t="s">
        <v>68</v>
      </c>
      <c r="P30" t="s">
        <v>52</v>
      </c>
      <c r="Q30" t="s">
        <v>53</v>
      </c>
    </row>
    <row r="31" spans="1:17" x14ac:dyDescent="0.25">
      <c r="A31" t="s">
        <v>971</v>
      </c>
      <c r="B31" s="18">
        <v>45669</v>
      </c>
      <c r="C31" t="s">
        <v>1374</v>
      </c>
      <c r="D31" t="s">
        <v>647</v>
      </c>
      <c r="E31" t="s">
        <v>29</v>
      </c>
      <c r="F31" t="s">
        <v>30</v>
      </c>
      <c r="G31" t="s">
        <v>31</v>
      </c>
      <c r="H31" t="s">
        <v>70</v>
      </c>
      <c r="I31">
        <v>623.22</v>
      </c>
      <c r="J31">
        <v>4</v>
      </c>
      <c r="K31">
        <v>15</v>
      </c>
      <c r="L31">
        <v>2492.88</v>
      </c>
      <c r="M31">
        <v>373.93200000000002</v>
      </c>
      <c r="N31">
        <v>2118.9480000000003</v>
      </c>
      <c r="O31" t="s">
        <v>26</v>
      </c>
      <c r="P31" t="s">
        <v>18</v>
      </c>
      <c r="Q31" t="s">
        <v>53</v>
      </c>
    </row>
    <row r="32" spans="1:17" x14ac:dyDescent="0.25">
      <c r="A32" t="s">
        <v>970</v>
      </c>
      <c r="B32" s="18">
        <v>45668</v>
      </c>
      <c r="C32" t="s">
        <v>1374</v>
      </c>
      <c r="D32" t="s">
        <v>616</v>
      </c>
      <c r="E32" t="s">
        <v>65</v>
      </c>
      <c r="F32" t="s">
        <v>66</v>
      </c>
      <c r="G32" t="s">
        <v>72</v>
      </c>
      <c r="H32" t="s">
        <v>102</v>
      </c>
      <c r="I32">
        <v>587.03</v>
      </c>
      <c r="J32">
        <v>4</v>
      </c>
      <c r="K32">
        <v>0</v>
      </c>
      <c r="L32">
        <v>2348.12</v>
      </c>
      <c r="M32">
        <v>0</v>
      </c>
      <c r="N32">
        <v>2348.12</v>
      </c>
      <c r="O32" t="s">
        <v>68</v>
      </c>
      <c r="P32" t="s">
        <v>18</v>
      </c>
      <c r="Q32" t="s">
        <v>53</v>
      </c>
    </row>
    <row r="33" spans="1:17" x14ac:dyDescent="0.25">
      <c r="A33" t="s">
        <v>969</v>
      </c>
      <c r="B33" s="18">
        <v>45667</v>
      </c>
      <c r="C33" t="s">
        <v>1374</v>
      </c>
      <c r="D33" t="s">
        <v>541</v>
      </c>
      <c r="E33" t="s">
        <v>100</v>
      </c>
      <c r="F33" t="s">
        <v>88</v>
      </c>
      <c r="G33" t="s">
        <v>15</v>
      </c>
      <c r="H33" t="s">
        <v>16</v>
      </c>
      <c r="I33">
        <v>1516.02</v>
      </c>
      <c r="J33">
        <v>4</v>
      </c>
      <c r="K33">
        <v>0</v>
      </c>
      <c r="L33">
        <v>6064.08</v>
      </c>
      <c r="M33">
        <v>0</v>
      </c>
      <c r="N33">
        <v>6064.08</v>
      </c>
      <c r="O33" t="s">
        <v>17</v>
      </c>
      <c r="P33" t="s">
        <v>18</v>
      </c>
      <c r="Q33" t="s">
        <v>53</v>
      </c>
    </row>
    <row r="34" spans="1:17" x14ac:dyDescent="0.25">
      <c r="A34" t="s">
        <v>968</v>
      </c>
      <c r="B34" s="18">
        <v>45666</v>
      </c>
      <c r="C34" t="s">
        <v>1374</v>
      </c>
      <c r="D34" t="s">
        <v>126</v>
      </c>
      <c r="E34" t="s">
        <v>100</v>
      </c>
      <c r="F34" t="s">
        <v>88</v>
      </c>
      <c r="G34" t="s">
        <v>31</v>
      </c>
      <c r="H34" t="s">
        <v>186</v>
      </c>
      <c r="I34">
        <v>842.28</v>
      </c>
      <c r="J34">
        <v>5</v>
      </c>
      <c r="K34">
        <v>0</v>
      </c>
      <c r="L34">
        <v>4211.3999999999996</v>
      </c>
      <c r="M34">
        <v>0</v>
      </c>
      <c r="N34">
        <v>4211.3999999999996</v>
      </c>
      <c r="O34" t="s">
        <v>38</v>
      </c>
      <c r="P34" t="s">
        <v>18</v>
      </c>
      <c r="Q34" t="s">
        <v>40</v>
      </c>
    </row>
    <row r="35" spans="1:17" x14ac:dyDescent="0.25">
      <c r="A35" t="s">
        <v>967</v>
      </c>
      <c r="B35" s="18">
        <v>45665</v>
      </c>
      <c r="C35" t="s">
        <v>1374</v>
      </c>
      <c r="D35" t="s">
        <v>751</v>
      </c>
      <c r="E35" t="s">
        <v>29</v>
      </c>
      <c r="F35" t="s">
        <v>30</v>
      </c>
      <c r="G35" t="s">
        <v>24</v>
      </c>
      <c r="H35" t="s">
        <v>92</v>
      </c>
      <c r="I35">
        <v>1591.34</v>
      </c>
      <c r="J35">
        <v>4</v>
      </c>
      <c r="K35">
        <v>15</v>
      </c>
      <c r="L35">
        <v>6365.36</v>
      </c>
      <c r="M35">
        <v>954.80399999999997</v>
      </c>
      <c r="N35">
        <v>5410.5559999999996</v>
      </c>
      <c r="O35" t="s">
        <v>33</v>
      </c>
      <c r="P35" t="s">
        <v>18</v>
      </c>
      <c r="Q35" t="s">
        <v>40</v>
      </c>
    </row>
    <row r="36" spans="1:17" x14ac:dyDescent="0.25">
      <c r="A36" t="s">
        <v>965</v>
      </c>
      <c r="B36" s="18">
        <v>45664</v>
      </c>
      <c r="C36" t="s">
        <v>1374</v>
      </c>
      <c r="D36" t="s">
        <v>966</v>
      </c>
      <c r="E36" t="s">
        <v>13</v>
      </c>
      <c r="F36" t="s">
        <v>14</v>
      </c>
      <c r="G36" t="s">
        <v>31</v>
      </c>
      <c r="H36" t="s">
        <v>32</v>
      </c>
      <c r="I36">
        <v>2478.09</v>
      </c>
      <c r="J36">
        <v>2</v>
      </c>
      <c r="K36">
        <v>0</v>
      </c>
      <c r="L36">
        <v>4956.18</v>
      </c>
      <c r="M36">
        <v>0</v>
      </c>
      <c r="N36">
        <v>4956.18</v>
      </c>
      <c r="O36" t="s">
        <v>68</v>
      </c>
      <c r="P36" t="s">
        <v>39</v>
      </c>
      <c r="Q36" t="s">
        <v>40</v>
      </c>
    </row>
    <row r="37" spans="1:17" x14ac:dyDescent="0.25">
      <c r="A37" t="s">
        <v>964</v>
      </c>
      <c r="B37" s="18">
        <v>45663</v>
      </c>
      <c r="C37" t="s">
        <v>1374</v>
      </c>
      <c r="D37" t="s">
        <v>433</v>
      </c>
      <c r="E37" t="s">
        <v>100</v>
      </c>
      <c r="F37" t="s">
        <v>88</v>
      </c>
      <c r="G37" t="s">
        <v>43</v>
      </c>
      <c r="H37" t="s">
        <v>44</v>
      </c>
      <c r="I37">
        <v>3479.85</v>
      </c>
      <c r="J37">
        <v>5</v>
      </c>
      <c r="K37">
        <v>0</v>
      </c>
      <c r="L37">
        <v>17399.25</v>
      </c>
      <c r="M37">
        <v>0</v>
      </c>
      <c r="N37">
        <v>17399.25</v>
      </c>
      <c r="O37" t="s">
        <v>26</v>
      </c>
      <c r="P37" t="s">
        <v>27</v>
      </c>
      <c r="Q37" t="s">
        <v>53</v>
      </c>
    </row>
    <row r="38" spans="1:17" x14ac:dyDescent="0.25">
      <c r="A38" t="s">
        <v>963</v>
      </c>
      <c r="B38" s="18">
        <v>45662</v>
      </c>
      <c r="C38" t="s">
        <v>1374</v>
      </c>
      <c r="D38" t="s">
        <v>301</v>
      </c>
      <c r="E38" t="s">
        <v>22</v>
      </c>
      <c r="F38" t="s">
        <v>23</v>
      </c>
      <c r="G38" t="s">
        <v>24</v>
      </c>
      <c r="H38" t="s">
        <v>170</v>
      </c>
      <c r="I38">
        <v>1240.1600000000001</v>
      </c>
      <c r="J38">
        <v>4</v>
      </c>
      <c r="K38">
        <v>0</v>
      </c>
      <c r="L38">
        <v>4960.6400000000003</v>
      </c>
      <c r="M38">
        <v>0</v>
      </c>
      <c r="N38">
        <v>4960.6400000000003</v>
      </c>
      <c r="O38" t="s">
        <v>17</v>
      </c>
      <c r="P38" t="s">
        <v>18</v>
      </c>
      <c r="Q38" t="s">
        <v>19</v>
      </c>
    </row>
    <row r="39" spans="1:17" x14ac:dyDescent="0.25">
      <c r="A39" t="s">
        <v>962</v>
      </c>
      <c r="B39" s="18">
        <v>45661</v>
      </c>
      <c r="C39" t="s">
        <v>1374</v>
      </c>
      <c r="D39" t="s">
        <v>118</v>
      </c>
      <c r="E39" t="s">
        <v>76</v>
      </c>
      <c r="F39" t="s">
        <v>77</v>
      </c>
      <c r="G39" t="s">
        <v>110</v>
      </c>
      <c r="H39" t="s">
        <v>67</v>
      </c>
      <c r="I39">
        <v>4919.92</v>
      </c>
      <c r="J39">
        <v>1</v>
      </c>
      <c r="K39">
        <v>15</v>
      </c>
      <c r="L39">
        <v>4919.92</v>
      </c>
      <c r="M39">
        <v>737.98800000000006</v>
      </c>
      <c r="N39">
        <v>4181.9319999999998</v>
      </c>
      <c r="O39" t="s">
        <v>38</v>
      </c>
      <c r="P39" t="s">
        <v>18</v>
      </c>
      <c r="Q39" t="s">
        <v>34</v>
      </c>
    </row>
    <row r="40" spans="1:17" x14ac:dyDescent="0.25">
      <c r="A40" t="s">
        <v>961</v>
      </c>
      <c r="B40" s="18">
        <v>45660</v>
      </c>
      <c r="C40" t="s">
        <v>1374</v>
      </c>
      <c r="D40" t="s">
        <v>285</v>
      </c>
      <c r="E40" t="s">
        <v>13</v>
      </c>
      <c r="F40" t="s">
        <v>14</v>
      </c>
      <c r="G40" t="s">
        <v>24</v>
      </c>
      <c r="H40" t="s">
        <v>92</v>
      </c>
      <c r="I40">
        <v>1565.92</v>
      </c>
      <c r="J40">
        <v>5</v>
      </c>
      <c r="K40">
        <v>10</v>
      </c>
      <c r="L40">
        <v>7829.6</v>
      </c>
      <c r="M40">
        <v>782.96</v>
      </c>
      <c r="N40">
        <v>7046.64</v>
      </c>
      <c r="O40" t="s">
        <v>33</v>
      </c>
      <c r="P40" t="s">
        <v>18</v>
      </c>
      <c r="Q40" t="s">
        <v>40</v>
      </c>
    </row>
    <row r="41" spans="1:17" x14ac:dyDescent="0.25">
      <c r="A41" t="s">
        <v>960</v>
      </c>
      <c r="B41" s="18">
        <v>45659</v>
      </c>
      <c r="C41" t="s">
        <v>1374</v>
      </c>
      <c r="D41" t="s">
        <v>143</v>
      </c>
      <c r="E41" t="s">
        <v>51</v>
      </c>
      <c r="F41" t="s">
        <v>14</v>
      </c>
      <c r="G41" t="s">
        <v>31</v>
      </c>
      <c r="H41" t="s">
        <v>70</v>
      </c>
      <c r="I41">
        <v>647.58000000000004</v>
      </c>
      <c r="J41">
        <v>3</v>
      </c>
      <c r="K41">
        <v>15</v>
      </c>
      <c r="L41">
        <v>1942.7400000000002</v>
      </c>
      <c r="M41">
        <v>291.411</v>
      </c>
      <c r="N41">
        <v>1651.3290000000002</v>
      </c>
      <c r="O41" t="s">
        <v>68</v>
      </c>
      <c r="P41" t="s">
        <v>27</v>
      </c>
      <c r="Q41" t="s">
        <v>60</v>
      </c>
    </row>
    <row r="42" spans="1:17" x14ac:dyDescent="0.25">
      <c r="A42" t="s">
        <v>959</v>
      </c>
      <c r="B42" s="18">
        <v>45658</v>
      </c>
      <c r="C42" t="s">
        <v>1374</v>
      </c>
      <c r="D42" t="s">
        <v>641</v>
      </c>
      <c r="E42" t="s">
        <v>22</v>
      </c>
      <c r="F42" t="s">
        <v>23</v>
      </c>
      <c r="G42" t="s">
        <v>72</v>
      </c>
      <c r="H42" t="s">
        <v>129</v>
      </c>
      <c r="I42">
        <v>1893.76</v>
      </c>
      <c r="J42">
        <v>3</v>
      </c>
      <c r="K42">
        <v>0</v>
      </c>
      <c r="L42">
        <v>5681.28</v>
      </c>
      <c r="M42">
        <v>0</v>
      </c>
      <c r="N42">
        <v>5681.28</v>
      </c>
      <c r="O42" t="s">
        <v>26</v>
      </c>
      <c r="P42" t="s">
        <v>18</v>
      </c>
      <c r="Q42" t="s">
        <v>19</v>
      </c>
    </row>
    <row r="43" spans="1:17" x14ac:dyDescent="0.25">
      <c r="A43" t="s">
        <v>536</v>
      </c>
      <c r="B43" s="18">
        <v>45322</v>
      </c>
      <c r="C43" t="s">
        <v>1374</v>
      </c>
      <c r="D43" t="s">
        <v>231</v>
      </c>
      <c r="E43" t="s">
        <v>100</v>
      </c>
      <c r="F43" t="s">
        <v>88</v>
      </c>
      <c r="G43" t="s">
        <v>36</v>
      </c>
      <c r="H43" t="s">
        <v>37</v>
      </c>
      <c r="I43">
        <v>12301.45</v>
      </c>
      <c r="J43">
        <v>2</v>
      </c>
      <c r="K43">
        <v>0</v>
      </c>
      <c r="L43">
        <v>24602.9</v>
      </c>
      <c r="M43">
        <v>0</v>
      </c>
      <c r="N43">
        <v>24602.9</v>
      </c>
      <c r="O43" t="s">
        <v>68</v>
      </c>
      <c r="P43" t="s">
        <v>27</v>
      </c>
      <c r="Q43" t="s">
        <v>40</v>
      </c>
    </row>
    <row r="44" spans="1:17" x14ac:dyDescent="0.25">
      <c r="A44" t="s">
        <v>535</v>
      </c>
      <c r="B44" s="18">
        <v>45321</v>
      </c>
      <c r="C44" t="s">
        <v>1374</v>
      </c>
      <c r="D44" t="s">
        <v>359</v>
      </c>
      <c r="E44" t="s">
        <v>65</v>
      </c>
      <c r="F44" t="s">
        <v>14</v>
      </c>
      <c r="G44" t="s">
        <v>24</v>
      </c>
      <c r="H44" t="s">
        <v>170</v>
      </c>
      <c r="I44">
        <v>1298.26</v>
      </c>
      <c r="J44">
        <v>3</v>
      </c>
      <c r="K44">
        <v>0</v>
      </c>
      <c r="L44">
        <v>3894.7799999999997</v>
      </c>
      <c r="M44">
        <v>0</v>
      </c>
      <c r="N44">
        <v>3894.7799999999997</v>
      </c>
      <c r="O44" t="s">
        <v>38</v>
      </c>
      <c r="P44" t="s">
        <v>18</v>
      </c>
      <c r="Q44" t="s">
        <v>34</v>
      </c>
    </row>
    <row r="45" spans="1:17" x14ac:dyDescent="0.25">
      <c r="A45" t="s">
        <v>534</v>
      </c>
      <c r="B45" s="18">
        <v>45320</v>
      </c>
      <c r="C45" t="s">
        <v>1374</v>
      </c>
      <c r="D45" t="s">
        <v>429</v>
      </c>
      <c r="E45" t="s">
        <v>87</v>
      </c>
      <c r="F45" t="s">
        <v>88</v>
      </c>
      <c r="G45" t="s">
        <v>15</v>
      </c>
      <c r="H45" t="s">
        <v>198</v>
      </c>
      <c r="I45">
        <v>727.35</v>
      </c>
      <c r="J45">
        <v>4</v>
      </c>
      <c r="K45">
        <v>5</v>
      </c>
      <c r="L45">
        <v>2909.4</v>
      </c>
      <c r="M45">
        <v>145.47</v>
      </c>
      <c r="N45">
        <v>2763.9300000000003</v>
      </c>
      <c r="O45" t="s">
        <v>68</v>
      </c>
      <c r="P45" t="s">
        <v>39</v>
      </c>
      <c r="Q45" t="s">
        <v>53</v>
      </c>
    </row>
    <row r="46" spans="1:17" x14ac:dyDescent="0.25">
      <c r="A46" t="s">
        <v>533</v>
      </c>
      <c r="B46" s="18">
        <v>45319</v>
      </c>
      <c r="C46" t="s">
        <v>1374</v>
      </c>
      <c r="D46" t="s">
        <v>223</v>
      </c>
      <c r="E46" t="s">
        <v>65</v>
      </c>
      <c r="F46" t="s">
        <v>66</v>
      </c>
      <c r="G46" t="s">
        <v>72</v>
      </c>
      <c r="H46" t="s">
        <v>102</v>
      </c>
      <c r="I46">
        <v>649.30999999999995</v>
      </c>
      <c r="J46">
        <v>3</v>
      </c>
      <c r="K46">
        <v>0</v>
      </c>
      <c r="L46">
        <v>1947.9299999999998</v>
      </c>
      <c r="M46">
        <v>0</v>
      </c>
      <c r="N46">
        <v>1947.9299999999998</v>
      </c>
      <c r="O46" t="s">
        <v>38</v>
      </c>
      <c r="P46" t="s">
        <v>52</v>
      </c>
      <c r="Q46" t="s">
        <v>19</v>
      </c>
    </row>
    <row r="47" spans="1:17" x14ac:dyDescent="0.25">
      <c r="A47" t="s">
        <v>531</v>
      </c>
      <c r="B47" s="18">
        <v>45318</v>
      </c>
      <c r="C47" t="s">
        <v>1374</v>
      </c>
      <c r="D47" t="s">
        <v>532</v>
      </c>
      <c r="E47" t="s">
        <v>76</v>
      </c>
      <c r="F47" t="s">
        <v>77</v>
      </c>
      <c r="G47" t="s">
        <v>31</v>
      </c>
      <c r="H47" t="s">
        <v>242</v>
      </c>
      <c r="I47">
        <v>810.45</v>
      </c>
      <c r="J47">
        <v>1</v>
      </c>
      <c r="K47">
        <v>10</v>
      </c>
      <c r="L47">
        <v>810.45</v>
      </c>
      <c r="M47">
        <v>81.045000000000002</v>
      </c>
      <c r="N47">
        <v>729.40500000000009</v>
      </c>
      <c r="O47" t="s">
        <v>38</v>
      </c>
      <c r="P47" t="s">
        <v>39</v>
      </c>
      <c r="Q47" t="s">
        <v>40</v>
      </c>
    </row>
    <row r="48" spans="1:17" x14ac:dyDescent="0.25">
      <c r="A48" t="s">
        <v>529</v>
      </c>
      <c r="B48" s="18">
        <v>45317</v>
      </c>
      <c r="C48" t="s">
        <v>1374</v>
      </c>
      <c r="D48" t="s">
        <v>530</v>
      </c>
      <c r="E48" t="s">
        <v>76</v>
      </c>
      <c r="F48" t="s">
        <v>77</v>
      </c>
      <c r="G48" t="s">
        <v>36</v>
      </c>
      <c r="H48" t="s">
        <v>121</v>
      </c>
      <c r="I48">
        <v>100597.37</v>
      </c>
      <c r="J48">
        <v>1</v>
      </c>
      <c r="K48">
        <v>15</v>
      </c>
      <c r="L48">
        <v>100597.37</v>
      </c>
      <c r="M48">
        <v>15089.605499999998</v>
      </c>
      <c r="N48">
        <v>85507.76449999999</v>
      </c>
      <c r="O48" t="s">
        <v>17</v>
      </c>
      <c r="P48" t="s">
        <v>27</v>
      </c>
      <c r="Q48" t="s">
        <v>34</v>
      </c>
    </row>
    <row r="49" spans="1:17" x14ac:dyDescent="0.25">
      <c r="A49" t="s">
        <v>528</v>
      </c>
      <c r="B49" s="18">
        <v>45316</v>
      </c>
      <c r="C49" t="s">
        <v>1374</v>
      </c>
      <c r="D49" t="s">
        <v>60</v>
      </c>
      <c r="E49" t="s">
        <v>100</v>
      </c>
      <c r="F49" t="s">
        <v>88</v>
      </c>
      <c r="G49" t="s">
        <v>15</v>
      </c>
      <c r="H49" t="s">
        <v>16</v>
      </c>
      <c r="I49">
        <v>1598.54</v>
      </c>
      <c r="J49">
        <v>4</v>
      </c>
      <c r="K49">
        <v>15</v>
      </c>
      <c r="L49">
        <v>6394.16</v>
      </c>
      <c r="M49">
        <v>959.12399999999991</v>
      </c>
      <c r="N49">
        <v>5435.0360000000001</v>
      </c>
      <c r="O49" t="s">
        <v>26</v>
      </c>
      <c r="P49" t="s">
        <v>52</v>
      </c>
      <c r="Q49" t="s">
        <v>34</v>
      </c>
    </row>
    <row r="50" spans="1:17" x14ac:dyDescent="0.25">
      <c r="A50" t="s">
        <v>526</v>
      </c>
      <c r="B50" s="18">
        <v>45315</v>
      </c>
      <c r="C50" t="s">
        <v>1374</v>
      </c>
      <c r="D50" t="s">
        <v>527</v>
      </c>
      <c r="E50" t="s">
        <v>83</v>
      </c>
      <c r="F50" t="s">
        <v>84</v>
      </c>
      <c r="G50" t="s">
        <v>15</v>
      </c>
      <c r="H50" t="s">
        <v>198</v>
      </c>
      <c r="I50">
        <v>741.69</v>
      </c>
      <c r="J50">
        <v>4</v>
      </c>
      <c r="K50">
        <v>15</v>
      </c>
      <c r="L50">
        <v>2966.76</v>
      </c>
      <c r="M50">
        <v>445.01400000000001</v>
      </c>
      <c r="N50">
        <v>2521.7460000000001</v>
      </c>
      <c r="O50" t="s">
        <v>38</v>
      </c>
      <c r="P50" t="s">
        <v>39</v>
      </c>
      <c r="Q50" t="s">
        <v>53</v>
      </c>
    </row>
    <row r="51" spans="1:17" x14ac:dyDescent="0.25">
      <c r="A51" t="s">
        <v>524</v>
      </c>
      <c r="B51" s="18">
        <v>45314</v>
      </c>
      <c r="C51" t="s">
        <v>1374</v>
      </c>
      <c r="D51" t="s">
        <v>525</v>
      </c>
      <c r="E51" t="s">
        <v>13</v>
      </c>
      <c r="F51" t="s">
        <v>14</v>
      </c>
      <c r="G51" t="s">
        <v>110</v>
      </c>
      <c r="H51" t="s">
        <v>215</v>
      </c>
      <c r="I51">
        <v>2516.14</v>
      </c>
      <c r="J51">
        <v>5</v>
      </c>
      <c r="K51">
        <v>0</v>
      </c>
      <c r="L51">
        <v>12580.699999999999</v>
      </c>
      <c r="M51">
        <v>0</v>
      </c>
      <c r="N51">
        <v>12580.699999999999</v>
      </c>
      <c r="O51" t="s">
        <v>26</v>
      </c>
      <c r="P51" t="s">
        <v>18</v>
      </c>
      <c r="Q51" t="s">
        <v>34</v>
      </c>
    </row>
    <row r="52" spans="1:17" x14ac:dyDescent="0.25">
      <c r="A52" t="s">
        <v>523</v>
      </c>
      <c r="B52" s="18">
        <v>45313</v>
      </c>
      <c r="C52" t="s">
        <v>1374</v>
      </c>
      <c r="D52" t="s">
        <v>399</v>
      </c>
      <c r="E52" t="s">
        <v>51</v>
      </c>
      <c r="F52" t="s">
        <v>14</v>
      </c>
      <c r="G52" t="s">
        <v>72</v>
      </c>
      <c r="H52" t="s">
        <v>73</v>
      </c>
      <c r="I52">
        <v>363.24</v>
      </c>
      <c r="J52">
        <v>5</v>
      </c>
      <c r="K52">
        <v>0</v>
      </c>
      <c r="L52">
        <v>1816.2</v>
      </c>
      <c r="M52">
        <v>0</v>
      </c>
      <c r="N52">
        <v>1816.2</v>
      </c>
      <c r="O52" t="s">
        <v>33</v>
      </c>
      <c r="P52" t="s">
        <v>18</v>
      </c>
      <c r="Q52" t="s">
        <v>19</v>
      </c>
    </row>
    <row r="53" spans="1:17" x14ac:dyDescent="0.25">
      <c r="A53" t="s">
        <v>522</v>
      </c>
      <c r="B53" s="18">
        <v>45312</v>
      </c>
      <c r="C53" t="s">
        <v>1374</v>
      </c>
      <c r="D53" t="s">
        <v>277</v>
      </c>
      <c r="E53" t="s">
        <v>22</v>
      </c>
      <c r="F53" t="s">
        <v>23</v>
      </c>
      <c r="G53" t="s">
        <v>15</v>
      </c>
      <c r="H53" t="s">
        <v>163</v>
      </c>
      <c r="I53">
        <v>2398.85</v>
      </c>
      <c r="J53">
        <v>1</v>
      </c>
      <c r="K53">
        <v>5</v>
      </c>
      <c r="L53">
        <v>2398.85</v>
      </c>
      <c r="M53">
        <v>119.9425</v>
      </c>
      <c r="N53">
        <v>2278.9074999999998</v>
      </c>
      <c r="O53" t="s">
        <v>38</v>
      </c>
      <c r="P53" t="s">
        <v>18</v>
      </c>
      <c r="Q53" t="s">
        <v>40</v>
      </c>
    </row>
    <row r="54" spans="1:17" x14ac:dyDescent="0.25">
      <c r="A54" t="s">
        <v>521</v>
      </c>
      <c r="B54" s="18">
        <v>45311</v>
      </c>
      <c r="C54" t="s">
        <v>1374</v>
      </c>
      <c r="D54" t="s">
        <v>53</v>
      </c>
      <c r="E54" t="s">
        <v>29</v>
      </c>
      <c r="F54" t="s">
        <v>30</v>
      </c>
      <c r="G54" t="s">
        <v>36</v>
      </c>
      <c r="H54" t="s">
        <v>338</v>
      </c>
      <c r="I54">
        <v>68576.47</v>
      </c>
      <c r="J54">
        <v>3</v>
      </c>
      <c r="K54">
        <v>10</v>
      </c>
      <c r="L54">
        <v>205729.41</v>
      </c>
      <c r="M54">
        <v>20572.941000000003</v>
      </c>
      <c r="N54">
        <v>185156.46900000001</v>
      </c>
      <c r="O54" t="s">
        <v>68</v>
      </c>
      <c r="P54" t="s">
        <v>39</v>
      </c>
      <c r="Q54" t="s">
        <v>60</v>
      </c>
    </row>
    <row r="55" spans="1:17" x14ac:dyDescent="0.25">
      <c r="A55" t="s">
        <v>520</v>
      </c>
      <c r="B55" s="18">
        <v>45310</v>
      </c>
      <c r="C55" t="s">
        <v>1374</v>
      </c>
      <c r="D55" t="s">
        <v>183</v>
      </c>
      <c r="E55" t="s">
        <v>13</v>
      </c>
      <c r="F55" t="s">
        <v>14</v>
      </c>
      <c r="G55" t="s">
        <v>31</v>
      </c>
      <c r="H55" t="s">
        <v>186</v>
      </c>
      <c r="I55">
        <v>806.02</v>
      </c>
      <c r="J55">
        <v>2</v>
      </c>
      <c r="K55">
        <v>10</v>
      </c>
      <c r="L55">
        <v>1612.04</v>
      </c>
      <c r="M55">
        <v>161.20400000000001</v>
      </c>
      <c r="N55">
        <v>1450.836</v>
      </c>
      <c r="O55" t="s">
        <v>17</v>
      </c>
      <c r="P55" t="s">
        <v>27</v>
      </c>
      <c r="Q55" t="s">
        <v>60</v>
      </c>
    </row>
    <row r="56" spans="1:17" x14ac:dyDescent="0.25">
      <c r="A56" t="s">
        <v>518</v>
      </c>
      <c r="B56" s="18">
        <v>45309</v>
      </c>
      <c r="C56" t="s">
        <v>1374</v>
      </c>
      <c r="D56" t="s">
        <v>519</v>
      </c>
      <c r="E56" t="s">
        <v>76</v>
      </c>
      <c r="F56" t="s">
        <v>77</v>
      </c>
      <c r="G56" t="s">
        <v>43</v>
      </c>
      <c r="H56" t="s">
        <v>145</v>
      </c>
      <c r="I56">
        <v>11797.51</v>
      </c>
      <c r="J56">
        <v>4</v>
      </c>
      <c r="K56">
        <v>0</v>
      </c>
      <c r="L56">
        <v>47190.04</v>
      </c>
      <c r="M56">
        <v>0</v>
      </c>
      <c r="N56">
        <v>47190.04</v>
      </c>
      <c r="O56" t="s">
        <v>26</v>
      </c>
      <c r="P56" t="s">
        <v>18</v>
      </c>
      <c r="Q56" t="s">
        <v>19</v>
      </c>
    </row>
    <row r="57" spans="1:17" x14ac:dyDescent="0.25">
      <c r="A57" t="s">
        <v>517</v>
      </c>
      <c r="B57" s="18">
        <v>45308</v>
      </c>
      <c r="C57" t="s">
        <v>1374</v>
      </c>
      <c r="D57" t="s">
        <v>444</v>
      </c>
      <c r="E57" t="s">
        <v>100</v>
      </c>
      <c r="F57" t="s">
        <v>88</v>
      </c>
      <c r="G57" t="s">
        <v>31</v>
      </c>
      <c r="H57" t="s">
        <v>70</v>
      </c>
      <c r="I57">
        <v>614.33000000000004</v>
      </c>
      <c r="J57">
        <v>3</v>
      </c>
      <c r="K57">
        <v>5</v>
      </c>
      <c r="L57">
        <v>1842.9900000000002</v>
      </c>
      <c r="M57">
        <v>92.149500000000003</v>
      </c>
      <c r="N57">
        <v>1750.8405000000002</v>
      </c>
      <c r="O57" t="s">
        <v>33</v>
      </c>
      <c r="P57" t="s">
        <v>18</v>
      </c>
      <c r="Q57" t="s">
        <v>53</v>
      </c>
    </row>
    <row r="58" spans="1:17" x14ac:dyDescent="0.25">
      <c r="A58" t="s">
        <v>516</v>
      </c>
      <c r="B58" s="18">
        <v>45307</v>
      </c>
      <c r="C58" t="s">
        <v>1374</v>
      </c>
      <c r="D58" t="s">
        <v>493</v>
      </c>
      <c r="E58" t="s">
        <v>29</v>
      </c>
      <c r="F58" t="s">
        <v>30</v>
      </c>
      <c r="G58" t="s">
        <v>43</v>
      </c>
      <c r="H58" t="s">
        <v>145</v>
      </c>
      <c r="I58">
        <v>11245.81</v>
      </c>
      <c r="J58">
        <v>5</v>
      </c>
      <c r="K58">
        <v>5</v>
      </c>
      <c r="L58">
        <v>56229.049999999996</v>
      </c>
      <c r="M58">
        <v>2811.4524999999999</v>
      </c>
      <c r="N58">
        <v>53417.597499999996</v>
      </c>
      <c r="O58" t="s">
        <v>26</v>
      </c>
      <c r="P58" t="s">
        <v>52</v>
      </c>
      <c r="Q58" t="s">
        <v>53</v>
      </c>
    </row>
    <row r="59" spans="1:17" x14ac:dyDescent="0.25">
      <c r="A59" t="s">
        <v>514</v>
      </c>
      <c r="B59" s="18">
        <v>45306</v>
      </c>
      <c r="C59" t="s">
        <v>1374</v>
      </c>
      <c r="D59" t="s">
        <v>515</v>
      </c>
      <c r="E59" t="s">
        <v>87</v>
      </c>
      <c r="F59" t="s">
        <v>88</v>
      </c>
      <c r="G59" t="s">
        <v>36</v>
      </c>
      <c r="H59" t="s">
        <v>49</v>
      </c>
      <c r="I59">
        <v>144161.4</v>
      </c>
      <c r="J59">
        <v>2</v>
      </c>
      <c r="K59">
        <v>5</v>
      </c>
      <c r="L59">
        <v>288322.8</v>
      </c>
      <c r="M59">
        <v>14416.14</v>
      </c>
      <c r="N59">
        <v>273906.65999999997</v>
      </c>
      <c r="O59" t="s">
        <v>26</v>
      </c>
      <c r="P59" t="s">
        <v>52</v>
      </c>
      <c r="Q59" t="s">
        <v>60</v>
      </c>
    </row>
    <row r="60" spans="1:17" x14ac:dyDescent="0.25">
      <c r="A60" t="s">
        <v>513</v>
      </c>
      <c r="B60" s="18">
        <v>45305</v>
      </c>
      <c r="C60" t="s">
        <v>1374</v>
      </c>
      <c r="D60" t="s">
        <v>159</v>
      </c>
      <c r="E60" t="s">
        <v>22</v>
      </c>
      <c r="F60" t="s">
        <v>23</v>
      </c>
      <c r="G60" t="s">
        <v>31</v>
      </c>
      <c r="H60" t="s">
        <v>116</v>
      </c>
      <c r="I60">
        <v>1282.92</v>
      </c>
      <c r="J60">
        <v>5</v>
      </c>
      <c r="K60">
        <v>0</v>
      </c>
      <c r="L60">
        <v>6414.6</v>
      </c>
      <c r="M60">
        <v>0</v>
      </c>
      <c r="N60">
        <v>6414.6</v>
      </c>
      <c r="O60" t="s">
        <v>38</v>
      </c>
      <c r="P60" t="s">
        <v>52</v>
      </c>
      <c r="Q60" t="s">
        <v>19</v>
      </c>
    </row>
    <row r="61" spans="1:17" x14ac:dyDescent="0.25">
      <c r="A61" t="s">
        <v>512</v>
      </c>
      <c r="B61" s="18">
        <v>45304</v>
      </c>
      <c r="C61" t="s">
        <v>1374</v>
      </c>
      <c r="D61" t="s">
        <v>316</v>
      </c>
      <c r="E61" t="s">
        <v>51</v>
      </c>
      <c r="F61" t="s">
        <v>14</v>
      </c>
      <c r="G61" t="s">
        <v>43</v>
      </c>
      <c r="H61" t="s">
        <v>44</v>
      </c>
      <c r="I61">
        <v>3333.65</v>
      </c>
      <c r="J61">
        <v>4</v>
      </c>
      <c r="K61">
        <v>10</v>
      </c>
      <c r="L61">
        <v>13334.6</v>
      </c>
      <c r="M61">
        <v>1333.46</v>
      </c>
      <c r="N61">
        <v>12001.14</v>
      </c>
      <c r="O61" t="s">
        <v>38</v>
      </c>
      <c r="P61" t="s">
        <v>52</v>
      </c>
      <c r="Q61" t="s">
        <v>60</v>
      </c>
    </row>
    <row r="62" spans="1:17" x14ac:dyDescent="0.25">
      <c r="A62" t="s">
        <v>510</v>
      </c>
      <c r="B62" s="18">
        <v>45303</v>
      </c>
      <c r="C62" t="s">
        <v>1374</v>
      </c>
      <c r="D62" t="s">
        <v>511</v>
      </c>
      <c r="E62" t="s">
        <v>51</v>
      </c>
      <c r="F62" t="s">
        <v>14</v>
      </c>
      <c r="G62" t="s">
        <v>24</v>
      </c>
      <c r="H62" t="s">
        <v>108</v>
      </c>
      <c r="I62">
        <v>8403.7199999999993</v>
      </c>
      <c r="J62">
        <v>1</v>
      </c>
      <c r="K62">
        <v>0</v>
      </c>
      <c r="L62">
        <v>8403.7199999999993</v>
      </c>
      <c r="M62">
        <v>0</v>
      </c>
      <c r="N62">
        <v>8403.7199999999993</v>
      </c>
      <c r="O62" t="s">
        <v>68</v>
      </c>
      <c r="P62" t="s">
        <v>39</v>
      </c>
      <c r="Q62" t="s">
        <v>19</v>
      </c>
    </row>
    <row r="63" spans="1:17" x14ac:dyDescent="0.25">
      <c r="A63" t="s">
        <v>509</v>
      </c>
      <c r="B63" s="18">
        <v>45302</v>
      </c>
      <c r="C63" t="s">
        <v>1374</v>
      </c>
      <c r="D63" t="s">
        <v>347</v>
      </c>
      <c r="E63" t="s">
        <v>100</v>
      </c>
      <c r="F63" t="s">
        <v>88</v>
      </c>
      <c r="G63" t="s">
        <v>15</v>
      </c>
      <c r="H63" t="s">
        <v>95</v>
      </c>
      <c r="I63">
        <v>1174.94</v>
      </c>
      <c r="J63">
        <v>5</v>
      </c>
      <c r="K63">
        <v>5</v>
      </c>
      <c r="L63">
        <v>5874.7000000000007</v>
      </c>
      <c r="M63">
        <v>293.73500000000001</v>
      </c>
      <c r="N63">
        <v>5580.9650000000011</v>
      </c>
      <c r="O63" t="s">
        <v>33</v>
      </c>
      <c r="P63" t="s">
        <v>52</v>
      </c>
      <c r="Q63" t="s">
        <v>60</v>
      </c>
    </row>
    <row r="64" spans="1:17" x14ac:dyDescent="0.25">
      <c r="A64" t="s">
        <v>507</v>
      </c>
      <c r="B64" s="18">
        <v>45301</v>
      </c>
      <c r="C64" t="s">
        <v>1374</v>
      </c>
      <c r="D64" t="s">
        <v>326</v>
      </c>
      <c r="E64" t="s">
        <v>51</v>
      </c>
      <c r="F64" t="s">
        <v>14</v>
      </c>
      <c r="G64" t="s">
        <v>110</v>
      </c>
      <c r="H64" t="s">
        <v>153</v>
      </c>
      <c r="I64">
        <v>3536.34</v>
      </c>
      <c r="J64">
        <v>3</v>
      </c>
      <c r="K64">
        <v>5</v>
      </c>
      <c r="L64">
        <v>10609.02</v>
      </c>
      <c r="M64">
        <v>530.45100000000002</v>
      </c>
      <c r="N64">
        <v>10078.569</v>
      </c>
      <c r="O64" t="s">
        <v>33</v>
      </c>
      <c r="P64" t="s">
        <v>18</v>
      </c>
      <c r="Q64" t="s">
        <v>53</v>
      </c>
    </row>
    <row r="65" spans="1:17" x14ac:dyDescent="0.25">
      <c r="A65" t="s">
        <v>506</v>
      </c>
      <c r="B65" s="18">
        <v>45300</v>
      </c>
      <c r="C65" t="s">
        <v>1374</v>
      </c>
      <c r="D65" t="s">
        <v>256</v>
      </c>
      <c r="E65" t="s">
        <v>76</v>
      </c>
      <c r="F65" t="s">
        <v>77</v>
      </c>
      <c r="G65" t="s">
        <v>31</v>
      </c>
      <c r="H65" t="s">
        <v>32</v>
      </c>
      <c r="I65">
        <v>2400.13</v>
      </c>
      <c r="J65">
        <v>1</v>
      </c>
      <c r="K65">
        <v>15</v>
      </c>
      <c r="L65">
        <v>2400.13</v>
      </c>
      <c r="M65">
        <v>360.01950000000005</v>
      </c>
      <c r="N65">
        <v>2040.1105</v>
      </c>
      <c r="O65" t="s">
        <v>38</v>
      </c>
      <c r="P65" t="s">
        <v>27</v>
      </c>
      <c r="Q65" t="s">
        <v>40</v>
      </c>
    </row>
    <row r="66" spans="1:17" x14ac:dyDescent="0.25">
      <c r="A66" t="s">
        <v>505</v>
      </c>
      <c r="B66" s="18">
        <v>45299</v>
      </c>
      <c r="C66" t="s">
        <v>1374</v>
      </c>
      <c r="D66" t="s">
        <v>248</v>
      </c>
      <c r="E66" t="s">
        <v>87</v>
      </c>
      <c r="F66" t="s">
        <v>88</v>
      </c>
      <c r="G66" t="s">
        <v>31</v>
      </c>
      <c r="H66" t="s">
        <v>116</v>
      </c>
      <c r="I66">
        <v>1189.28</v>
      </c>
      <c r="J66">
        <v>2</v>
      </c>
      <c r="K66">
        <v>0</v>
      </c>
      <c r="L66">
        <v>2378.56</v>
      </c>
      <c r="M66">
        <v>0</v>
      </c>
      <c r="N66">
        <v>2378.56</v>
      </c>
      <c r="O66" t="s">
        <v>33</v>
      </c>
      <c r="P66" t="s">
        <v>18</v>
      </c>
      <c r="Q66" t="s">
        <v>60</v>
      </c>
    </row>
    <row r="67" spans="1:17" x14ac:dyDescent="0.25">
      <c r="A67" t="s">
        <v>503</v>
      </c>
      <c r="B67" s="18">
        <v>45298</v>
      </c>
      <c r="C67" t="s">
        <v>1374</v>
      </c>
      <c r="D67" t="s">
        <v>504</v>
      </c>
      <c r="E67" t="s">
        <v>83</v>
      </c>
      <c r="F67" t="s">
        <v>84</v>
      </c>
      <c r="G67" t="s">
        <v>24</v>
      </c>
      <c r="H67" t="s">
        <v>108</v>
      </c>
      <c r="I67">
        <v>8796.32</v>
      </c>
      <c r="J67">
        <v>4</v>
      </c>
      <c r="K67">
        <v>0</v>
      </c>
      <c r="L67">
        <v>35185.279999999999</v>
      </c>
      <c r="M67">
        <v>0</v>
      </c>
      <c r="N67">
        <v>35185.279999999999</v>
      </c>
      <c r="O67" t="s">
        <v>38</v>
      </c>
      <c r="P67" t="s">
        <v>18</v>
      </c>
      <c r="Q67" t="s">
        <v>40</v>
      </c>
    </row>
    <row r="68" spans="1:17" x14ac:dyDescent="0.25">
      <c r="A68" t="s">
        <v>502</v>
      </c>
      <c r="B68" s="18">
        <v>45297</v>
      </c>
      <c r="C68" t="s">
        <v>1374</v>
      </c>
      <c r="D68" t="s">
        <v>423</v>
      </c>
      <c r="E68" t="s">
        <v>83</v>
      </c>
      <c r="F68" t="s">
        <v>84</v>
      </c>
      <c r="G68" t="s">
        <v>110</v>
      </c>
      <c r="H68" t="s">
        <v>111</v>
      </c>
      <c r="I68">
        <v>9856.56</v>
      </c>
      <c r="J68">
        <v>2</v>
      </c>
      <c r="K68">
        <v>15</v>
      </c>
      <c r="L68">
        <v>19713.12</v>
      </c>
      <c r="M68">
        <v>2956.9679999999998</v>
      </c>
      <c r="N68">
        <v>16756.151999999998</v>
      </c>
      <c r="O68" t="s">
        <v>38</v>
      </c>
      <c r="P68" t="s">
        <v>18</v>
      </c>
      <c r="Q68" t="s">
        <v>60</v>
      </c>
    </row>
    <row r="69" spans="1:17" x14ac:dyDescent="0.25">
      <c r="A69" t="s">
        <v>501</v>
      </c>
      <c r="B69" s="18">
        <v>45296</v>
      </c>
      <c r="C69" t="s">
        <v>1374</v>
      </c>
      <c r="D69" t="s">
        <v>165</v>
      </c>
      <c r="E69" t="s">
        <v>65</v>
      </c>
      <c r="F69" t="s">
        <v>66</v>
      </c>
      <c r="G69" t="s">
        <v>72</v>
      </c>
      <c r="H69" t="s">
        <v>137</v>
      </c>
      <c r="I69">
        <v>2404.92</v>
      </c>
      <c r="J69">
        <v>4</v>
      </c>
      <c r="K69">
        <v>0</v>
      </c>
      <c r="L69">
        <v>9619.68</v>
      </c>
      <c r="M69">
        <v>0</v>
      </c>
      <c r="N69">
        <v>9619.68</v>
      </c>
      <c r="O69" t="s">
        <v>68</v>
      </c>
      <c r="P69" t="s">
        <v>18</v>
      </c>
      <c r="Q69" t="s">
        <v>34</v>
      </c>
    </row>
    <row r="70" spans="1:17" x14ac:dyDescent="0.25">
      <c r="A70" t="s">
        <v>499</v>
      </c>
      <c r="B70" s="18">
        <v>45295</v>
      </c>
      <c r="C70" t="s">
        <v>1374</v>
      </c>
      <c r="D70" t="s">
        <v>500</v>
      </c>
      <c r="E70" t="s">
        <v>29</v>
      </c>
      <c r="F70" t="s">
        <v>30</v>
      </c>
      <c r="G70" t="s">
        <v>15</v>
      </c>
      <c r="H70" t="s">
        <v>198</v>
      </c>
      <c r="I70">
        <v>737.5</v>
      </c>
      <c r="J70">
        <v>2</v>
      </c>
      <c r="K70">
        <v>0</v>
      </c>
      <c r="L70">
        <v>1475</v>
      </c>
      <c r="M70">
        <v>0</v>
      </c>
      <c r="N70">
        <v>1475</v>
      </c>
      <c r="O70" t="s">
        <v>38</v>
      </c>
      <c r="P70" t="s">
        <v>18</v>
      </c>
      <c r="Q70" t="s">
        <v>19</v>
      </c>
    </row>
    <row r="71" spans="1:17" x14ac:dyDescent="0.25">
      <c r="A71" t="s">
        <v>498</v>
      </c>
      <c r="B71" s="18">
        <v>45294</v>
      </c>
      <c r="C71" t="s">
        <v>1374</v>
      </c>
      <c r="D71" t="s">
        <v>371</v>
      </c>
      <c r="E71" t="s">
        <v>29</v>
      </c>
      <c r="F71" t="s">
        <v>30</v>
      </c>
      <c r="G71" t="s">
        <v>43</v>
      </c>
      <c r="H71" t="s">
        <v>89</v>
      </c>
      <c r="I71">
        <v>4410.72</v>
      </c>
      <c r="J71">
        <v>5</v>
      </c>
      <c r="K71">
        <v>0</v>
      </c>
      <c r="L71">
        <v>22053.600000000002</v>
      </c>
      <c r="M71">
        <v>0</v>
      </c>
      <c r="N71">
        <v>22053.600000000002</v>
      </c>
      <c r="O71" t="s">
        <v>33</v>
      </c>
      <c r="P71" t="s">
        <v>52</v>
      </c>
      <c r="Q71" t="s">
        <v>40</v>
      </c>
    </row>
    <row r="72" spans="1:17" x14ac:dyDescent="0.25">
      <c r="A72" t="s">
        <v>497</v>
      </c>
      <c r="B72" s="18">
        <v>45293</v>
      </c>
      <c r="C72" t="s">
        <v>1374</v>
      </c>
      <c r="D72" t="s">
        <v>64</v>
      </c>
      <c r="E72" t="s">
        <v>76</v>
      </c>
      <c r="F72" t="s">
        <v>77</v>
      </c>
      <c r="G72" t="s">
        <v>24</v>
      </c>
      <c r="H72" t="s">
        <v>170</v>
      </c>
      <c r="I72">
        <v>1152.68</v>
      </c>
      <c r="J72">
        <v>3</v>
      </c>
      <c r="K72">
        <v>5</v>
      </c>
      <c r="L72">
        <v>3458.04</v>
      </c>
      <c r="M72">
        <v>172.90200000000002</v>
      </c>
      <c r="N72">
        <v>3285.1379999999999</v>
      </c>
      <c r="O72" t="s">
        <v>26</v>
      </c>
      <c r="P72" t="s">
        <v>27</v>
      </c>
      <c r="Q72" t="s">
        <v>60</v>
      </c>
    </row>
    <row r="73" spans="1:17" x14ac:dyDescent="0.25">
      <c r="A73" t="s">
        <v>496</v>
      </c>
      <c r="B73" s="18">
        <v>45292</v>
      </c>
      <c r="C73" t="s">
        <v>1374</v>
      </c>
      <c r="D73" t="s">
        <v>126</v>
      </c>
      <c r="E73" t="s">
        <v>100</v>
      </c>
      <c r="F73" t="s">
        <v>88</v>
      </c>
      <c r="G73" t="s">
        <v>15</v>
      </c>
      <c r="H73" t="s">
        <v>56</v>
      </c>
      <c r="I73">
        <v>1629.69</v>
      </c>
      <c r="J73">
        <v>4</v>
      </c>
      <c r="K73">
        <v>15</v>
      </c>
      <c r="L73">
        <v>6518.76</v>
      </c>
      <c r="M73">
        <v>977.81400000000008</v>
      </c>
      <c r="N73">
        <v>5540.9459999999999</v>
      </c>
      <c r="O73" t="s">
        <v>26</v>
      </c>
      <c r="P73" t="s">
        <v>18</v>
      </c>
      <c r="Q73" t="s">
        <v>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0AC59-C480-4076-A514-7C412A0EF860}">
  <dimension ref="A1:Q93"/>
  <sheetViews>
    <sheetView workbookViewId="0">
      <selection activeCell="A3" sqref="A3:Q93"/>
    </sheetView>
  </sheetViews>
  <sheetFormatPr defaultRowHeight="15" x14ac:dyDescent="0.25"/>
  <cols>
    <col min="1" max="1" width="11.28515625" bestFit="1" customWidth="1"/>
    <col min="2" max="2" width="13" bestFit="1" customWidth="1"/>
    <col min="3" max="3" width="9.28515625" bestFit="1" customWidth="1"/>
    <col min="4" max="4" width="23.42578125" bestFit="1" customWidth="1"/>
    <col min="5" max="5" width="9.28515625" bestFit="1" customWidth="1"/>
    <col min="6" max="6" width="9.42578125" bestFit="1" customWidth="1"/>
    <col min="7" max="7" width="16.140625" bestFit="1" customWidth="1"/>
    <col min="8" max="8" width="14.140625" bestFit="1" customWidth="1"/>
    <col min="9" max="9" width="12.5703125" bestFit="1" customWidth="1"/>
    <col min="10" max="10" width="11" bestFit="1" customWidth="1"/>
    <col min="11" max="11" width="13.5703125" bestFit="1" customWidth="1"/>
    <col min="12" max="12" width="13.7109375" bestFit="1" customWidth="1"/>
    <col min="13" max="13" width="19.28515625" bestFit="1" customWidth="1"/>
    <col min="14" max="14" width="12" bestFit="1" customWidth="1"/>
    <col min="15" max="15" width="19.5703125" bestFit="1" customWidth="1"/>
    <col min="16" max="16" width="14.85546875" bestFit="1" customWidth="1"/>
    <col min="17" max="17" width="16.5703125" bestFit="1" customWidth="1"/>
  </cols>
  <sheetData>
    <row r="1" spans="1:17" x14ac:dyDescent="0.25">
      <c r="A1" s="19" t="s">
        <v>1389</v>
      </c>
    </row>
    <row r="3" spans="1:17" x14ac:dyDescent="0.25">
      <c r="A3" t="s">
        <v>0</v>
      </c>
      <c r="B3" t="s">
        <v>1361</v>
      </c>
      <c r="C3" t="s">
        <v>1372</v>
      </c>
      <c r="D3" t="s">
        <v>1362</v>
      </c>
      <c r="E3" t="s">
        <v>1</v>
      </c>
      <c r="F3" t="s">
        <v>2</v>
      </c>
      <c r="G3" t="s">
        <v>3</v>
      </c>
      <c r="H3" t="s">
        <v>4</v>
      </c>
      <c r="I3" t="s">
        <v>5</v>
      </c>
      <c r="J3" t="s">
        <v>6</v>
      </c>
      <c r="K3" t="s">
        <v>7</v>
      </c>
      <c r="L3" t="s">
        <v>1364</v>
      </c>
      <c r="M3" t="s">
        <v>1365</v>
      </c>
      <c r="N3" t="s">
        <v>1366</v>
      </c>
      <c r="O3" t="s">
        <v>8</v>
      </c>
      <c r="P3" t="s">
        <v>9</v>
      </c>
      <c r="Q3" t="s">
        <v>10</v>
      </c>
    </row>
    <row r="4" spans="1:17" x14ac:dyDescent="0.25">
      <c r="A4" t="s">
        <v>11</v>
      </c>
      <c r="B4" s="18">
        <v>45031</v>
      </c>
      <c r="C4" t="s">
        <v>1377</v>
      </c>
      <c r="D4" t="s">
        <v>12</v>
      </c>
      <c r="E4" t="s">
        <v>13</v>
      </c>
      <c r="F4" t="s">
        <v>14</v>
      </c>
      <c r="G4" t="s">
        <v>15</v>
      </c>
      <c r="H4" t="s">
        <v>16</v>
      </c>
      <c r="I4">
        <v>1423.47</v>
      </c>
      <c r="J4">
        <v>2</v>
      </c>
      <c r="K4">
        <v>5</v>
      </c>
      <c r="L4">
        <v>2846.94</v>
      </c>
      <c r="M4">
        <v>142.34700000000001</v>
      </c>
      <c r="N4">
        <v>2704.5929999999998</v>
      </c>
      <c r="O4" t="s">
        <v>17</v>
      </c>
      <c r="P4" t="s">
        <v>18</v>
      </c>
      <c r="Q4" t="s">
        <v>19</v>
      </c>
    </row>
    <row r="5" spans="1:17" x14ac:dyDescent="0.25">
      <c r="A5" t="s">
        <v>1351</v>
      </c>
      <c r="B5" s="18">
        <v>46023</v>
      </c>
      <c r="C5" t="s">
        <v>1374</v>
      </c>
      <c r="D5" t="s">
        <v>378</v>
      </c>
      <c r="E5" t="s">
        <v>13</v>
      </c>
      <c r="F5" t="s">
        <v>14</v>
      </c>
      <c r="G5" t="s">
        <v>72</v>
      </c>
      <c r="H5" t="s">
        <v>137</v>
      </c>
      <c r="I5">
        <v>2076.48</v>
      </c>
      <c r="J5">
        <v>3</v>
      </c>
      <c r="K5">
        <v>15</v>
      </c>
      <c r="L5">
        <v>6229.4400000000005</v>
      </c>
      <c r="M5">
        <v>934.41600000000005</v>
      </c>
      <c r="N5">
        <v>5295.0240000000003</v>
      </c>
      <c r="O5" t="s">
        <v>38</v>
      </c>
      <c r="P5" t="s">
        <v>18</v>
      </c>
      <c r="Q5" t="s">
        <v>19</v>
      </c>
    </row>
    <row r="6" spans="1:17" x14ac:dyDescent="0.25">
      <c r="A6" t="s">
        <v>1349</v>
      </c>
      <c r="B6" s="18">
        <v>46021</v>
      </c>
      <c r="C6" t="s">
        <v>1385</v>
      </c>
      <c r="D6" t="s">
        <v>387</v>
      </c>
      <c r="E6" t="s">
        <v>13</v>
      </c>
      <c r="F6" t="s">
        <v>14</v>
      </c>
      <c r="G6" t="s">
        <v>15</v>
      </c>
      <c r="H6" t="s">
        <v>163</v>
      </c>
      <c r="I6">
        <v>2744.77</v>
      </c>
      <c r="J6">
        <v>2</v>
      </c>
      <c r="K6">
        <v>15</v>
      </c>
      <c r="L6">
        <v>5489.54</v>
      </c>
      <c r="M6">
        <v>823.43100000000004</v>
      </c>
      <c r="N6">
        <v>4666.1090000000004</v>
      </c>
      <c r="O6" t="s">
        <v>68</v>
      </c>
      <c r="P6" t="s">
        <v>18</v>
      </c>
      <c r="Q6" t="s">
        <v>34</v>
      </c>
    </row>
    <row r="7" spans="1:17" x14ac:dyDescent="0.25">
      <c r="A7" t="s">
        <v>1337</v>
      </c>
      <c r="B7" s="18">
        <v>46010</v>
      </c>
      <c r="C7" t="s">
        <v>1385</v>
      </c>
      <c r="D7" t="s">
        <v>1299</v>
      </c>
      <c r="E7" t="s">
        <v>13</v>
      </c>
      <c r="F7" t="s">
        <v>14</v>
      </c>
      <c r="G7" t="s">
        <v>36</v>
      </c>
      <c r="H7" t="s">
        <v>121</v>
      </c>
      <c r="I7">
        <v>99650.34</v>
      </c>
      <c r="J7">
        <v>2</v>
      </c>
      <c r="K7">
        <v>0</v>
      </c>
      <c r="L7">
        <v>199300.68</v>
      </c>
      <c r="M7">
        <v>0</v>
      </c>
      <c r="N7">
        <v>199300.68</v>
      </c>
      <c r="O7" t="s">
        <v>33</v>
      </c>
      <c r="P7" t="s">
        <v>18</v>
      </c>
      <c r="Q7" t="s">
        <v>19</v>
      </c>
    </row>
    <row r="8" spans="1:17" x14ac:dyDescent="0.25">
      <c r="A8" t="s">
        <v>1325</v>
      </c>
      <c r="B8" s="18">
        <v>46000</v>
      </c>
      <c r="C8" t="s">
        <v>1385</v>
      </c>
      <c r="D8" t="s">
        <v>730</v>
      </c>
      <c r="E8" t="s">
        <v>13</v>
      </c>
      <c r="F8" t="s">
        <v>14</v>
      </c>
      <c r="G8" t="s">
        <v>31</v>
      </c>
      <c r="H8" t="s">
        <v>186</v>
      </c>
      <c r="I8">
        <v>737.71</v>
      </c>
      <c r="J8">
        <v>3</v>
      </c>
      <c r="K8">
        <v>15</v>
      </c>
      <c r="L8">
        <v>2213.13</v>
      </c>
      <c r="M8">
        <v>331.96950000000004</v>
      </c>
      <c r="N8">
        <v>1881.1605</v>
      </c>
      <c r="O8" t="s">
        <v>26</v>
      </c>
      <c r="P8" t="s">
        <v>18</v>
      </c>
      <c r="Q8" t="s">
        <v>60</v>
      </c>
    </row>
    <row r="9" spans="1:17" x14ac:dyDescent="0.25">
      <c r="A9" t="s">
        <v>1317</v>
      </c>
      <c r="B9" s="18">
        <v>45992</v>
      </c>
      <c r="C9" t="s">
        <v>1385</v>
      </c>
      <c r="D9" t="s">
        <v>439</v>
      </c>
      <c r="E9" t="s">
        <v>13</v>
      </c>
      <c r="F9" t="s">
        <v>14</v>
      </c>
      <c r="G9" t="s">
        <v>15</v>
      </c>
      <c r="H9" t="s">
        <v>95</v>
      </c>
      <c r="I9">
        <v>1248.6199999999999</v>
      </c>
      <c r="J9">
        <v>3</v>
      </c>
      <c r="K9">
        <v>0</v>
      </c>
      <c r="L9">
        <v>3745.8599999999997</v>
      </c>
      <c r="M9">
        <v>0</v>
      </c>
      <c r="N9">
        <v>3745.8599999999997</v>
      </c>
      <c r="O9" t="s">
        <v>17</v>
      </c>
      <c r="P9" t="s">
        <v>27</v>
      </c>
      <c r="Q9" t="s">
        <v>19</v>
      </c>
    </row>
    <row r="10" spans="1:17" x14ac:dyDescent="0.25">
      <c r="A10" t="s">
        <v>1300</v>
      </c>
      <c r="B10" s="18">
        <v>45976</v>
      </c>
      <c r="C10" t="s">
        <v>1384</v>
      </c>
      <c r="D10" t="s">
        <v>355</v>
      </c>
      <c r="E10" t="s">
        <v>13</v>
      </c>
      <c r="F10" t="s">
        <v>14</v>
      </c>
      <c r="G10" t="s">
        <v>36</v>
      </c>
      <c r="H10" t="s">
        <v>78</v>
      </c>
      <c r="I10">
        <v>85104.52</v>
      </c>
      <c r="J10">
        <v>3</v>
      </c>
      <c r="K10">
        <v>0</v>
      </c>
      <c r="L10">
        <v>255313.56</v>
      </c>
      <c r="M10">
        <v>0</v>
      </c>
      <c r="N10">
        <v>255313.56</v>
      </c>
      <c r="O10" t="s">
        <v>26</v>
      </c>
      <c r="P10" t="s">
        <v>18</v>
      </c>
      <c r="Q10" t="s">
        <v>40</v>
      </c>
    </row>
    <row r="11" spans="1:17" x14ac:dyDescent="0.25">
      <c r="A11" t="s">
        <v>1289</v>
      </c>
      <c r="B11" s="18">
        <v>45966</v>
      </c>
      <c r="C11" t="s">
        <v>1384</v>
      </c>
      <c r="D11" t="s">
        <v>738</v>
      </c>
      <c r="E11" t="s">
        <v>13</v>
      </c>
      <c r="F11" t="s">
        <v>14</v>
      </c>
      <c r="G11" t="s">
        <v>72</v>
      </c>
      <c r="H11" t="s">
        <v>137</v>
      </c>
      <c r="I11">
        <v>2181.31</v>
      </c>
      <c r="J11">
        <v>2</v>
      </c>
      <c r="K11">
        <v>0</v>
      </c>
      <c r="L11">
        <v>4362.62</v>
      </c>
      <c r="M11">
        <v>0</v>
      </c>
      <c r="N11">
        <v>4362.62</v>
      </c>
      <c r="O11" t="s">
        <v>26</v>
      </c>
      <c r="P11" t="s">
        <v>18</v>
      </c>
      <c r="Q11" t="s">
        <v>60</v>
      </c>
    </row>
    <row r="12" spans="1:17" x14ac:dyDescent="0.25">
      <c r="A12" t="s">
        <v>1285</v>
      </c>
      <c r="B12" s="18">
        <v>45962</v>
      </c>
      <c r="C12" t="s">
        <v>1384</v>
      </c>
      <c r="D12" t="s">
        <v>463</v>
      </c>
      <c r="E12" t="s">
        <v>13</v>
      </c>
      <c r="F12" t="s">
        <v>14</v>
      </c>
      <c r="G12" t="s">
        <v>110</v>
      </c>
      <c r="H12" t="s">
        <v>215</v>
      </c>
      <c r="I12">
        <v>2404.4499999999998</v>
      </c>
      <c r="J12">
        <v>1</v>
      </c>
      <c r="K12">
        <v>5</v>
      </c>
      <c r="L12">
        <v>2404.4499999999998</v>
      </c>
      <c r="M12">
        <v>120.2225</v>
      </c>
      <c r="N12">
        <v>2284.2275</v>
      </c>
      <c r="O12" t="s">
        <v>17</v>
      </c>
      <c r="P12" t="s">
        <v>18</v>
      </c>
      <c r="Q12" t="s">
        <v>53</v>
      </c>
    </row>
    <row r="13" spans="1:17" x14ac:dyDescent="0.25">
      <c r="A13" t="s">
        <v>1274</v>
      </c>
      <c r="B13" s="18">
        <v>45951</v>
      </c>
      <c r="C13" t="s">
        <v>1383</v>
      </c>
      <c r="D13" t="s">
        <v>336</v>
      </c>
      <c r="E13" t="s">
        <v>13</v>
      </c>
      <c r="F13" t="s">
        <v>14</v>
      </c>
      <c r="G13" t="s">
        <v>15</v>
      </c>
      <c r="H13" t="s">
        <v>16</v>
      </c>
      <c r="I13">
        <v>1612.03</v>
      </c>
      <c r="J13">
        <v>3</v>
      </c>
      <c r="K13">
        <v>5</v>
      </c>
      <c r="L13">
        <v>4836.09</v>
      </c>
      <c r="M13">
        <v>241.80450000000002</v>
      </c>
      <c r="N13">
        <v>4594.2855</v>
      </c>
      <c r="O13" t="s">
        <v>33</v>
      </c>
      <c r="P13" t="s">
        <v>18</v>
      </c>
      <c r="Q13" t="s">
        <v>19</v>
      </c>
    </row>
    <row r="14" spans="1:17" x14ac:dyDescent="0.25">
      <c r="A14" t="s">
        <v>1270</v>
      </c>
      <c r="B14" s="18">
        <v>45947</v>
      </c>
      <c r="C14" t="s">
        <v>1383</v>
      </c>
      <c r="D14" t="s">
        <v>759</v>
      </c>
      <c r="E14" t="s">
        <v>13</v>
      </c>
      <c r="F14" t="s">
        <v>14</v>
      </c>
      <c r="G14" t="s">
        <v>43</v>
      </c>
      <c r="H14" t="s">
        <v>89</v>
      </c>
      <c r="I14">
        <v>4518.07</v>
      </c>
      <c r="J14">
        <v>3</v>
      </c>
      <c r="K14">
        <v>10</v>
      </c>
      <c r="L14">
        <v>13554.21</v>
      </c>
      <c r="M14">
        <v>1355.4209999999998</v>
      </c>
      <c r="N14">
        <v>12198.788999999999</v>
      </c>
      <c r="O14" t="s">
        <v>33</v>
      </c>
      <c r="P14" t="s">
        <v>39</v>
      </c>
      <c r="Q14" t="s">
        <v>34</v>
      </c>
    </row>
    <row r="15" spans="1:17" x14ac:dyDescent="0.25">
      <c r="A15" t="s">
        <v>1265</v>
      </c>
      <c r="B15" s="18">
        <v>45942</v>
      </c>
      <c r="C15" t="s">
        <v>1383</v>
      </c>
      <c r="D15" t="s">
        <v>402</v>
      </c>
      <c r="E15" t="s">
        <v>13</v>
      </c>
      <c r="F15" t="s">
        <v>14</v>
      </c>
      <c r="G15" t="s">
        <v>36</v>
      </c>
      <c r="H15" t="s">
        <v>78</v>
      </c>
      <c r="I15">
        <v>89653.64</v>
      </c>
      <c r="J15">
        <v>4</v>
      </c>
      <c r="K15">
        <v>15</v>
      </c>
      <c r="L15">
        <v>358614.56</v>
      </c>
      <c r="M15">
        <v>53792.184000000001</v>
      </c>
      <c r="N15">
        <v>304822.37599999999</v>
      </c>
      <c r="O15" t="s">
        <v>33</v>
      </c>
      <c r="P15" t="s">
        <v>27</v>
      </c>
      <c r="Q15" t="s">
        <v>34</v>
      </c>
    </row>
    <row r="16" spans="1:17" x14ac:dyDescent="0.25">
      <c r="A16" t="s">
        <v>1245</v>
      </c>
      <c r="B16" s="18">
        <v>45924</v>
      </c>
      <c r="C16" t="s">
        <v>1382</v>
      </c>
      <c r="D16" t="s">
        <v>1246</v>
      </c>
      <c r="E16" t="s">
        <v>13</v>
      </c>
      <c r="F16" t="s">
        <v>14</v>
      </c>
      <c r="G16" t="s">
        <v>24</v>
      </c>
      <c r="H16" t="s">
        <v>108</v>
      </c>
      <c r="I16">
        <v>7997.96</v>
      </c>
      <c r="J16">
        <v>2</v>
      </c>
      <c r="K16">
        <v>0</v>
      </c>
      <c r="L16">
        <v>15995.92</v>
      </c>
      <c r="M16">
        <v>0</v>
      </c>
      <c r="N16">
        <v>15995.92</v>
      </c>
      <c r="O16" t="s">
        <v>33</v>
      </c>
      <c r="P16" t="s">
        <v>18</v>
      </c>
      <c r="Q16" t="s">
        <v>40</v>
      </c>
    </row>
    <row r="17" spans="1:17" x14ac:dyDescent="0.25">
      <c r="A17" t="s">
        <v>1244</v>
      </c>
      <c r="B17" s="18">
        <v>45923</v>
      </c>
      <c r="C17" t="s">
        <v>1382</v>
      </c>
      <c r="D17" t="s">
        <v>504</v>
      </c>
      <c r="E17" t="s">
        <v>13</v>
      </c>
      <c r="F17" t="s">
        <v>14</v>
      </c>
      <c r="G17" t="s">
        <v>24</v>
      </c>
      <c r="H17" t="s">
        <v>92</v>
      </c>
      <c r="I17">
        <v>1534.9</v>
      </c>
      <c r="J17">
        <v>1</v>
      </c>
      <c r="K17">
        <v>0</v>
      </c>
      <c r="L17">
        <v>1534.9</v>
      </c>
      <c r="M17">
        <v>0</v>
      </c>
      <c r="N17">
        <v>1534.9</v>
      </c>
      <c r="O17" t="s">
        <v>26</v>
      </c>
      <c r="P17" t="s">
        <v>27</v>
      </c>
      <c r="Q17" t="s">
        <v>60</v>
      </c>
    </row>
    <row r="18" spans="1:17" x14ac:dyDescent="0.25">
      <c r="A18" t="s">
        <v>1238</v>
      </c>
      <c r="B18" s="18">
        <v>45919</v>
      </c>
      <c r="C18" t="s">
        <v>1382</v>
      </c>
      <c r="D18" t="s">
        <v>336</v>
      </c>
      <c r="E18" t="s">
        <v>13</v>
      </c>
      <c r="F18" t="s">
        <v>14</v>
      </c>
      <c r="G18" t="s">
        <v>43</v>
      </c>
      <c r="H18" t="s">
        <v>127</v>
      </c>
      <c r="I18">
        <v>5454.65</v>
      </c>
      <c r="J18">
        <v>1</v>
      </c>
      <c r="K18">
        <v>0</v>
      </c>
      <c r="L18">
        <v>5454.65</v>
      </c>
      <c r="M18">
        <v>0</v>
      </c>
      <c r="N18">
        <v>5454.65</v>
      </c>
      <c r="O18" t="s">
        <v>38</v>
      </c>
      <c r="P18" t="s">
        <v>27</v>
      </c>
      <c r="Q18" t="s">
        <v>19</v>
      </c>
    </row>
    <row r="19" spans="1:17" x14ac:dyDescent="0.25">
      <c r="A19" t="s">
        <v>1233</v>
      </c>
      <c r="B19" s="18">
        <v>45914</v>
      </c>
      <c r="C19" t="s">
        <v>1382</v>
      </c>
      <c r="D19" t="s">
        <v>188</v>
      </c>
      <c r="E19" t="s">
        <v>13</v>
      </c>
      <c r="F19" t="s">
        <v>14</v>
      </c>
      <c r="G19" t="s">
        <v>15</v>
      </c>
      <c r="H19" t="s">
        <v>56</v>
      </c>
      <c r="I19">
        <v>1697.82</v>
      </c>
      <c r="J19">
        <v>1</v>
      </c>
      <c r="K19">
        <v>5</v>
      </c>
      <c r="L19">
        <v>1697.82</v>
      </c>
      <c r="M19">
        <v>84.891000000000005</v>
      </c>
      <c r="N19">
        <v>1612.9289999999999</v>
      </c>
      <c r="O19" t="s">
        <v>17</v>
      </c>
      <c r="P19" t="s">
        <v>27</v>
      </c>
      <c r="Q19" t="s">
        <v>40</v>
      </c>
    </row>
    <row r="20" spans="1:17" x14ac:dyDescent="0.25">
      <c r="A20" t="s">
        <v>1199</v>
      </c>
      <c r="B20" s="18">
        <v>45880</v>
      </c>
      <c r="C20" t="s">
        <v>1381</v>
      </c>
      <c r="D20" t="s">
        <v>188</v>
      </c>
      <c r="E20" t="s">
        <v>13</v>
      </c>
      <c r="F20" t="s">
        <v>14</v>
      </c>
      <c r="G20" t="s">
        <v>24</v>
      </c>
      <c r="H20" t="s">
        <v>108</v>
      </c>
      <c r="I20">
        <v>8657.0400000000009</v>
      </c>
      <c r="J20">
        <v>1</v>
      </c>
      <c r="K20">
        <v>0</v>
      </c>
      <c r="L20">
        <v>8657.0400000000009</v>
      </c>
      <c r="M20">
        <v>0</v>
      </c>
      <c r="N20">
        <v>8657.0400000000009</v>
      </c>
      <c r="O20" t="s">
        <v>26</v>
      </c>
      <c r="P20" t="s">
        <v>18</v>
      </c>
      <c r="Q20" t="s">
        <v>40</v>
      </c>
    </row>
    <row r="21" spans="1:17" x14ac:dyDescent="0.25">
      <c r="A21" t="s">
        <v>1190</v>
      </c>
      <c r="B21" s="18">
        <v>45872</v>
      </c>
      <c r="C21" t="s">
        <v>1381</v>
      </c>
      <c r="D21" t="s">
        <v>1191</v>
      </c>
      <c r="E21" t="s">
        <v>13</v>
      </c>
      <c r="F21" t="s">
        <v>14</v>
      </c>
      <c r="G21" t="s">
        <v>24</v>
      </c>
      <c r="H21" t="s">
        <v>108</v>
      </c>
      <c r="I21">
        <v>8135.24</v>
      </c>
      <c r="J21">
        <v>5</v>
      </c>
      <c r="K21">
        <v>10</v>
      </c>
      <c r="L21">
        <v>40676.199999999997</v>
      </c>
      <c r="M21">
        <v>4067.62</v>
      </c>
      <c r="N21">
        <v>36608.579999999994</v>
      </c>
      <c r="O21" t="s">
        <v>38</v>
      </c>
      <c r="P21" t="s">
        <v>18</v>
      </c>
      <c r="Q21" t="s">
        <v>19</v>
      </c>
    </row>
    <row r="22" spans="1:17" x14ac:dyDescent="0.25">
      <c r="A22" t="s">
        <v>1182</v>
      </c>
      <c r="B22" s="18">
        <v>45865</v>
      </c>
      <c r="C22" t="s">
        <v>1380</v>
      </c>
      <c r="D22" t="s">
        <v>1183</v>
      </c>
      <c r="E22" t="s">
        <v>13</v>
      </c>
      <c r="F22" t="s">
        <v>14</v>
      </c>
      <c r="G22" t="s">
        <v>110</v>
      </c>
      <c r="H22" t="s">
        <v>215</v>
      </c>
      <c r="I22">
        <v>2670.25</v>
      </c>
      <c r="J22">
        <v>2</v>
      </c>
      <c r="K22">
        <v>0</v>
      </c>
      <c r="L22">
        <v>5340.5</v>
      </c>
      <c r="M22">
        <v>0</v>
      </c>
      <c r="N22">
        <v>5340.5</v>
      </c>
      <c r="O22" t="s">
        <v>33</v>
      </c>
      <c r="P22" t="s">
        <v>18</v>
      </c>
      <c r="Q22" t="s">
        <v>34</v>
      </c>
    </row>
    <row r="23" spans="1:17" x14ac:dyDescent="0.25">
      <c r="A23" t="s">
        <v>1149</v>
      </c>
      <c r="B23" s="18">
        <v>45834</v>
      </c>
      <c r="C23" t="s">
        <v>1379</v>
      </c>
      <c r="D23" t="s">
        <v>490</v>
      </c>
      <c r="E23" t="s">
        <v>13</v>
      </c>
      <c r="F23" t="s">
        <v>14</v>
      </c>
      <c r="G23" t="s">
        <v>72</v>
      </c>
      <c r="H23" t="s">
        <v>102</v>
      </c>
      <c r="I23">
        <v>603.48</v>
      </c>
      <c r="J23">
        <v>5</v>
      </c>
      <c r="K23">
        <v>0</v>
      </c>
      <c r="L23">
        <v>3017.4</v>
      </c>
      <c r="M23">
        <v>0</v>
      </c>
      <c r="N23">
        <v>3017.4</v>
      </c>
      <c r="O23" t="s">
        <v>68</v>
      </c>
      <c r="P23" t="s">
        <v>18</v>
      </c>
      <c r="Q23" t="s">
        <v>34</v>
      </c>
    </row>
    <row r="24" spans="1:17" x14ac:dyDescent="0.25">
      <c r="A24" t="s">
        <v>103</v>
      </c>
      <c r="B24" s="18">
        <v>45055</v>
      </c>
      <c r="C24" t="s">
        <v>1378</v>
      </c>
      <c r="D24" t="s">
        <v>104</v>
      </c>
      <c r="E24" t="s">
        <v>13</v>
      </c>
      <c r="F24" t="s">
        <v>14</v>
      </c>
      <c r="G24" t="s">
        <v>43</v>
      </c>
      <c r="H24" t="s">
        <v>105</v>
      </c>
      <c r="I24">
        <v>3038.85</v>
      </c>
      <c r="J24">
        <v>4</v>
      </c>
      <c r="K24">
        <v>15</v>
      </c>
      <c r="L24">
        <v>12155.4</v>
      </c>
      <c r="M24">
        <v>1823.31</v>
      </c>
      <c r="N24">
        <v>10332.09</v>
      </c>
      <c r="O24" t="s">
        <v>33</v>
      </c>
      <c r="P24" t="s">
        <v>27</v>
      </c>
      <c r="Q24" t="s">
        <v>19</v>
      </c>
    </row>
    <row r="25" spans="1:17" x14ac:dyDescent="0.25">
      <c r="A25" t="s">
        <v>1129</v>
      </c>
      <c r="B25" s="18">
        <v>45814</v>
      </c>
      <c r="C25" t="s">
        <v>1379</v>
      </c>
      <c r="D25" t="s">
        <v>621</v>
      </c>
      <c r="E25" t="s">
        <v>13</v>
      </c>
      <c r="F25" t="s">
        <v>14</v>
      </c>
      <c r="G25" t="s">
        <v>43</v>
      </c>
      <c r="H25" t="s">
        <v>145</v>
      </c>
      <c r="I25">
        <v>13110.35</v>
      </c>
      <c r="J25">
        <v>1</v>
      </c>
      <c r="K25">
        <v>10</v>
      </c>
      <c r="L25">
        <v>13110.35</v>
      </c>
      <c r="M25">
        <v>1311.0350000000001</v>
      </c>
      <c r="N25">
        <v>11799.315000000001</v>
      </c>
      <c r="O25" t="s">
        <v>17</v>
      </c>
      <c r="P25" t="s">
        <v>52</v>
      </c>
      <c r="Q25" t="s">
        <v>40</v>
      </c>
    </row>
    <row r="26" spans="1:17" x14ac:dyDescent="0.25">
      <c r="A26" t="s">
        <v>1095</v>
      </c>
      <c r="B26" s="18">
        <v>45782</v>
      </c>
      <c r="C26" t="s">
        <v>1378</v>
      </c>
      <c r="D26" t="s">
        <v>285</v>
      </c>
      <c r="E26" t="s">
        <v>13</v>
      </c>
      <c r="F26" t="s">
        <v>14</v>
      </c>
      <c r="G26" t="s">
        <v>24</v>
      </c>
      <c r="H26" t="s">
        <v>25</v>
      </c>
      <c r="I26">
        <v>4082.28</v>
      </c>
      <c r="J26">
        <v>3</v>
      </c>
      <c r="K26">
        <v>5</v>
      </c>
      <c r="L26">
        <v>12246.84</v>
      </c>
      <c r="M26">
        <v>612.34199999999998</v>
      </c>
      <c r="N26">
        <v>11634.498</v>
      </c>
      <c r="O26" t="s">
        <v>33</v>
      </c>
      <c r="P26" t="s">
        <v>18</v>
      </c>
      <c r="Q26" t="s">
        <v>40</v>
      </c>
    </row>
    <row r="27" spans="1:17" x14ac:dyDescent="0.25">
      <c r="A27" t="s">
        <v>1069</v>
      </c>
      <c r="B27" s="18">
        <v>45757</v>
      </c>
      <c r="C27" t="s">
        <v>1377</v>
      </c>
      <c r="D27" t="s">
        <v>721</v>
      </c>
      <c r="E27" t="s">
        <v>13</v>
      </c>
      <c r="F27" t="s">
        <v>14</v>
      </c>
      <c r="G27" t="s">
        <v>72</v>
      </c>
      <c r="H27" t="s">
        <v>81</v>
      </c>
      <c r="I27">
        <v>1444.17</v>
      </c>
      <c r="J27">
        <v>3</v>
      </c>
      <c r="K27">
        <v>5</v>
      </c>
      <c r="L27">
        <v>4332.51</v>
      </c>
      <c r="M27">
        <v>216.62550000000002</v>
      </c>
      <c r="N27">
        <v>4115.8845000000001</v>
      </c>
      <c r="O27" t="s">
        <v>33</v>
      </c>
      <c r="P27" t="s">
        <v>18</v>
      </c>
      <c r="Q27" t="s">
        <v>40</v>
      </c>
    </row>
    <row r="28" spans="1:17" x14ac:dyDescent="0.25">
      <c r="A28" t="s">
        <v>1056</v>
      </c>
      <c r="B28" s="18">
        <v>45745</v>
      </c>
      <c r="C28" t="s">
        <v>1376</v>
      </c>
      <c r="D28" t="s">
        <v>641</v>
      </c>
      <c r="E28" t="s">
        <v>13</v>
      </c>
      <c r="F28" t="s">
        <v>14</v>
      </c>
      <c r="G28" t="s">
        <v>43</v>
      </c>
      <c r="H28" t="s">
        <v>145</v>
      </c>
      <c r="I28">
        <v>12163.32</v>
      </c>
      <c r="J28">
        <v>4</v>
      </c>
      <c r="K28">
        <v>10</v>
      </c>
      <c r="L28">
        <v>48653.279999999999</v>
      </c>
      <c r="M28">
        <v>4865.3279999999995</v>
      </c>
      <c r="N28">
        <v>43787.951999999997</v>
      </c>
      <c r="O28" t="s">
        <v>68</v>
      </c>
      <c r="P28" t="s">
        <v>27</v>
      </c>
      <c r="Q28" t="s">
        <v>60</v>
      </c>
    </row>
    <row r="29" spans="1:17" x14ac:dyDescent="0.25">
      <c r="A29" t="s">
        <v>1046</v>
      </c>
      <c r="B29" s="18">
        <v>45736</v>
      </c>
      <c r="C29" t="s">
        <v>1376</v>
      </c>
      <c r="D29" t="s">
        <v>550</v>
      </c>
      <c r="E29" t="s">
        <v>13</v>
      </c>
      <c r="F29" t="s">
        <v>14</v>
      </c>
      <c r="G29" t="s">
        <v>24</v>
      </c>
      <c r="H29" t="s">
        <v>134</v>
      </c>
      <c r="I29">
        <v>2552.29</v>
      </c>
      <c r="J29">
        <v>3</v>
      </c>
      <c r="K29">
        <v>0</v>
      </c>
      <c r="L29">
        <v>7656.87</v>
      </c>
      <c r="M29">
        <v>0</v>
      </c>
      <c r="N29">
        <v>7656.87</v>
      </c>
      <c r="O29" t="s">
        <v>38</v>
      </c>
      <c r="P29" t="s">
        <v>52</v>
      </c>
      <c r="Q29" t="s">
        <v>19</v>
      </c>
    </row>
    <row r="30" spans="1:17" x14ac:dyDescent="0.25">
      <c r="A30" t="s">
        <v>1038</v>
      </c>
      <c r="B30" s="18">
        <v>45731</v>
      </c>
      <c r="C30" t="s">
        <v>1376</v>
      </c>
      <c r="D30" t="s">
        <v>1039</v>
      </c>
      <c r="E30" t="s">
        <v>13</v>
      </c>
      <c r="F30" t="s">
        <v>14</v>
      </c>
      <c r="G30" t="s">
        <v>15</v>
      </c>
      <c r="H30" t="s">
        <v>95</v>
      </c>
      <c r="I30">
        <v>1241.3</v>
      </c>
      <c r="J30">
        <v>4</v>
      </c>
      <c r="K30">
        <v>0</v>
      </c>
      <c r="L30">
        <v>4965.2</v>
      </c>
      <c r="M30">
        <v>0</v>
      </c>
      <c r="N30">
        <v>4965.2</v>
      </c>
      <c r="O30" t="s">
        <v>17</v>
      </c>
      <c r="P30" t="s">
        <v>27</v>
      </c>
      <c r="Q30" t="s">
        <v>40</v>
      </c>
    </row>
    <row r="31" spans="1:17" x14ac:dyDescent="0.25">
      <c r="A31" t="s">
        <v>123</v>
      </c>
      <c r="B31" s="18">
        <v>45064</v>
      </c>
      <c r="C31" t="s">
        <v>1378</v>
      </c>
      <c r="D31" t="s">
        <v>653</v>
      </c>
      <c r="E31" t="s">
        <v>13</v>
      </c>
      <c r="F31" t="s">
        <v>14</v>
      </c>
      <c r="G31" t="s">
        <v>36</v>
      </c>
      <c r="H31" t="s">
        <v>121</v>
      </c>
      <c r="I31">
        <v>93547.94</v>
      </c>
      <c r="J31">
        <v>3</v>
      </c>
      <c r="K31">
        <v>15</v>
      </c>
      <c r="L31">
        <v>280643.82</v>
      </c>
      <c r="M31">
        <v>42096.572999999997</v>
      </c>
      <c r="N31">
        <v>238547.247</v>
      </c>
      <c r="O31" t="s">
        <v>68</v>
      </c>
      <c r="P31" t="s">
        <v>18</v>
      </c>
      <c r="Q31" t="s">
        <v>53</v>
      </c>
    </row>
    <row r="32" spans="1:17" x14ac:dyDescent="0.25">
      <c r="A32" t="s">
        <v>1035</v>
      </c>
      <c r="B32" s="18">
        <v>45729</v>
      </c>
      <c r="C32" t="s">
        <v>1376</v>
      </c>
      <c r="D32" t="s">
        <v>851</v>
      </c>
      <c r="E32" t="s">
        <v>13</v>
      </c>
      <c r="F32" t="s">
        <v>14</v>
      </c>
      <c r="G32" t="s">
        <v>36</v>
      </c>
      <c r="H32" t="s">
        <v>338</v>
      </c>
      <c r="I32">
        <v>64918.27</v>
      </c>
      <c r="J32">
        <v>4</v>
      </c>
      <c r="K32">
        <v>15</v>
      </c>
      <c r="L32">
        <v>259673.08</v>
      </c>
      <c r="M32">
        <v>38950.962</v>
      </c>
      <c r="N32">
        <v>220722.11799999999</v>
      </c>
      <c r="O32" t="s">
        <v>33</v>
      </c>
      <c r="P32" t="s">
        <v>52</v>
      </c>
      <c r="Q32" t="s">
        <v>34</v>
      </c>
    </row>
    <row r="33" spans="1:17" x14ac:dyDescent="0.25">
      <c r="A33" t="s">
        <v>1029</v>
      </c>
      <c r="B33" s="18">
        <v>45723</v>
      </c>
      <c r="C33" t="s">
        <v>1376</v>
      </c>
      <c r="D33" t="s">
        <v>228</v>
      </c>
      <c r="E33" t="s">
        <v>13</v>
      </c>
      <c r="F33" t="s">
        <v>14</v>
      </c>
      <c r="G33" t="s">
        <v>43</v>
      </c>
      <c r="H33" t="s">
        <v>44</v>
      </c>
      <c r="I33">
        <v>3785.97</v>
      </c>
      <c r="J33">
        <v>1</v>
      </c>
      <c r="K33">
        <v>0</v>
      </c>
      <c r="L33">
        <v>3785.97</v>
      </c>
      <c r="M33">
        <v>0</v>
      </c>
      <c r="N33">
        <v>3785.97</v>
      </c>
      <c r="O33" t="s">
        <v>38</v>
      </c>
      <c r="P33" t="s">
        <v>27</v>
      </c>
      <c r="Q33" t="s">
        <v>40</v>
      </c>
    </row>
    <row r="34" spans="1:17" x14ac:dyDescent="0.25">
      <c r="A34" t="s">
        <v>1014</v>
      </c>
      <c r="B34" s="18">
        <v>45710</v>
      </c>
      <c r="C34" t="s">
        <v>1375</v>
      </c>
      <c r="D34" t="s">
        <v>178</v>
      </c>
      <c r="E34" t="s">
        <v>13</v>
      </c>
      <c r="F34" t="s">
        <v>14</v>
      </c>
      <c r="G34" t="s">
        <v>72</v>
      </c>
      <c r="H34" t="s">
        <v>137</v>
      </c>
      <c r="I34">
        <v>2347.2199999999998</v>
      </c>
      <c r="J34">
        <v>3</v>
      </c>
      <c r="K34">
        <v>0</v>
      </c>
      <c r="L34">
        <v>7041.66</v>
      </c>
      <c r="M34">
        <v>0</v>
      </c>
      <c r="N34">
        <v>7041.66</v>
      </c>
      <c r="O34" t="s">
        <v>17</v>
      </c>
      <c r="P34" t="s">
        <v>27</v>
      </c>
      <c r="Q34" t="s">
        <v>60</v>
      </c>
    </row>
    <row r="35" spans="1:17" x14ac:dyDescent="0.25">
      <c r="A35" t="s">
        <v>1008</v>
      </c>
      <c r="B35" s="18">
        <v>45704</v>
      </c>
      <c r="C35" t="s">
        <v>1375</v>
      </c>
      <c r="D35" t="s">
        <v>307</v>
      </c>
      <c r="E35" t="s">
        <v>13</v>
      </c>
      <c r="F35" t="s">
        <v>14</v>
      </c>
      <c r="G35" t="s">
        <v>36</v>
      </c>
      <c r="H35" t="s">
        <v>113</v>
      </c>
      <c r="I35">
        <v>128386.83</v>
      </c>
      <c r="J35">
        <v>1</v>
      </c>
      <c r="K35">
        <v>0</v>
      </c>
      <c r="L35">
        <v>128386.83</v>
      </c>
      <c r="M35">
        <v>0</v>
      </c>
      <c r="N35">
        <v>128386.83</v>
      </c>
      <c r="O35" t="s">
        <v>33</v>
      </c>
      <c r="P35" t="s">
        <v>18</v>
      </c>
      <c r="Q35" t="s">
        <v>60</v>
      </c>
    </row>
    <row r="36" spans="1:17" x14ac:dyDescent="0.25">
      <c r="A36" t="s">
        <v>985</v>
      </c>
      <c r="B36" s="18">
        <v>45682</v>
      </c>
      <c r="C36" t="s">
        <v>1374</v>
      </c>
      <c r="D36" t="s">
        <v>986</v>
      </c>
      <c r="E36" t="s">
        <v>13</v>
      </c>
      <c r="F36" t="s">
        <v>14</v>
      </c>
      <c r="G36" t="s">
        <v>36</v>
      </c>
      <c r="H36" t="s">
        <v>37</v>
      </c>
      <c r="I36">
        <v>12560.34</v>
      </c>
      <c r="J36">
        <v>5</v>
      </c>
      <c r="K36">
        <v>5</v>
      </c>
      <c r="L36">
        <v>62801.7</v>
      </c>
      <c r="M36">
        <v>3140.085</v>
      </c>
      <c r="N36">
        <v>59661.614999999998</v>
      </c>
      <c r="O36" t="s">
        <v>33</v>
      </c>
      <c r="P36" t="s">
        <v>52</v>
      </c>
      <c r="Q36" t="s">
        <v>60</v>
      </c>
    </row>
    <row r="37" spans="1:17" x14ac:dyDescent="0.25">
      <c r="A37" t="s">
        <v>965</v>
      </c>
      <c r="B37" s="18">
        <v>45664</v>
      </c>
      <c r="C37" t="s">
        <v>1374</v>
      </c>
      <c r="D37" t="s">
        <v>966</v>
      </c>
      <c r="E37" t="s">
        <v>13</v>
      </c>
      <c r="F37" t="s">
        <v>14</v>
      </c>
      <c r="G37" t="s">
        <v>31</v>
      </c>
      <c r="H37" t="s">
        <v>32</v>
      </c>
      <c r="I37">
        <v>2478.09</v>
      </c>
      <c r="J37">
        <v>2</v>
      </c>
      <c r="K37">
        <v>0</v>
      </c>
      <c r="L37">
        <v>4956.18</v>
      </c>
      <c r="M37">
        <v>0</v>
      </c>
      <c r="N37">
        <v>4956.18</v>
      </c>
      <c r="O37" t="s">
        <v>68</v>
      </c>
      <c r="P37" t="s">
        <v>39</v>
      </c>
      <c r="Q37" t="s">
        <v>40</v>
      </c>
    </row>
    <row r="38" spans="1:17" x14ac:dyDescent="0.25">
      <c r="A38" t="s">
        <v>961</v>
      </c>
      <c r="B38" s="18">
        <v>45660</v>
      </c>
      <c r="C38" t="s">
        <v>1374</v>
      </c>
      <c r="D38" t="s">
        <v>285</v>
      </c>
      <c r="E38" t="s">
        <v>13</v>
      </c>
      <c r="F38" t="s">
        <v>14</v>
      </c>
      <c r="G38" t="s">
        <v>24</v>
      </c>
      <c r="H38" t="s">
        <v>92</v>
      </c>
      <c r="I38">
        <v>1565.92</v>
      </c>
      <c r="J38">
        <v>5</v>
      </c>
      <c r="K38">
        <v>10</v>
      </c>
      <c r="L38">
        <v>7829.6</v>
      </c>
      <c r="M38">
        <v>782.96</v>
      </c>
      <c r="N38">
        <v>7046.64</v>
      </c>
      <c r="O38" t="s">
        <v>33</v>
      </c>
      <c r="P38" t="s">
        <v>18</v>
      </c>
      <c r="Q38" t="s">
        <v>40</v>
      </c>
    </row>
    <row r="39" spans="1:17" x14ac:dyDescent="0.25">
      <c r="A39" t="s">
        <v>956</v>
      </c>
      <c r="B39" s="18">
        <v>45655</v>
      </c>
      <c r="C39" t="s">
        <v>1385</v>
      </c>
      <c r="D39" t="s">
        <v>97</v>
      </c>
      <c r="E39" t="s">
        <v>13</v>
      </c>
      <c r="F39" t="s">
        <v>14</v>
      </c>
      <c r="G39" t="s">
        <v>36</v>
      </c>
      <c r="H39" t="s">
        <v>121</v>
      </c>
      <c r="I39">
        <v>92919.19</v>
      </c>
      <c r="J39">
        <v>2</v>
      </c>
      <c r="K39">
        <v>0</v>
      </c>
      <c r="L39">
        <v>185838.38</v>
      </c>
      <c r="M39">
        <v>0</v>
      </c>
      <c r="N39">
        <v>185838.38</v>
      </c>
      <c r="O39" t="s">
        <v>38</v>
      </c>
      <c r="P39" t="s">
        <v>18</v>
      </c>
      <c r="Q39" t="s">
        <v>19</v>
      </c>
    </row>
    <row r="40" spans="1:17" x14ac:dyDescent="0.25">
      <c r="A40" t="s">
        <v>949</v>
      </c>
      <c r="B40" s="18">
        <v>45648</v>
      </c>
      <c r="C40" t="s">
        <v>1385</v>
      </c>
      <c r="D40" t="s">
        <v>169</v>
      </c>
      <c r="E40" t="s">
        <v>13</v>
      </c>
      <c r="F40" t="s">
        <v>14</v>
      </c>
      <c r="G40" t="s">
        <v>72</v>
      </c>
      <c r="H40" t="s">
        <v>81</v>
      </c>
      <c r="I40">
        <v>1353.59</v>
      </c>
      <c r="J40">
        <v>1</v>
      </c>
      <c r="K40">
        <v>0</v>
      </c>
      <c r="L40">
        <v>1353.59</v>
      </c>
      <c r="M40">
        <v>0</v>
      </c>
      <c r="N40">
        <v>1353.59</v>
      </c>
      <c r="O40" t="s">
        <v>68</v>
      </c>
      <c r="P40" t="s">
        <v>27</v>
      </c>
      <c r="Q40" t="s">
        <v>60</v>
      </c>
    </row>
    <row r="41" spans="1:17" x14ac:dyDescent="0.25">
      <c r="A41" t="s">
        <v>943</v>
      </c>
      <c r="B41" s="18">
        <v>45642</v>
      </c>
      <c r="C41" t="s">
        <v>1385</v>
      </c>
      <c r="D41" t="s">
        <v>791</v>
      </c>
      <c r="E41" t="s">
        <v>13</v>
      </c>
      <c r="F41" t="s">
        <v>14</v>
      </c>
      <c r="G41" t="s">
        <v>31</v>
      </c>
      <c r="H41" t="s">
        <v>32</v>
      </c>
      <c r="I41">
        <v>2733.67</v>
      </c>
      <c r="J41">
        <v>5</v>
      </c>
      <c r="K41">
        <v>5</v>
      </c>
      <c r="L41">
        <v>13668.35</v>
      </c>
      <c r="M41">
        <v>683.41750000000002</v>
      </c>
      <c r="N41">
        <v>12984.932500000001</v>
      </c>
      <c r="O41" t="s">
        <v>33</v>
      </c>
      <c r="P41" t="s">
        <v>39</v>
      </c>
      <c r="Q41" t="s">
        <v>60</v>
      </c>
    </row>
    <row r="42" spans="1:17" x14ac:dyDescent="0.25">
      <c r="A42" t="s">
        <v>901</v>
      </c>
      <c r="B42" s="18">
        <v>45605</v>
      </c>
      <c r="C42" t="s">
        <v>1384</v>
      </c>
      <c r="D42" t="s">
        <v>55</v>
      </c>
      <c r="E42" t="s">
        <v>13</v>
      </c>
      <c r="F42" t="s">
        <v>14</v>
      </c>
      <c r="G42" t="s">
        <v>72</v>
      </c>
      <c r="H42" t="s">
        <v>73</v>
      </c>
      <c r="I42">
        <v>335.95</v>
      </c>
      <c r="J42">
        <v>3</v>
      </c>
      <c r="K42">
        <v>10</v>
      </c>
      <c r="L42">
        <v>1007.8499999999999</v>
      </c>
      <c r="M42">
        <v>100.785</v>
      </c>
      <c r="N42">
        <v>907.06499999999994</v>
      </c>
      <c r="O42" t="s">
        <v>17</v>
      </c>
      <c r="P42" t="s">
        <v>18</v>
      </c>
      <c r="Q42" t="s">
        <v>53</v>
      </c>
    </row>
    <row r="43" spans="1:17" x14ac:dyDescent="0.25">
      <c r="A43" t="s">
        <v>898</v>
      </c>
      <c r="B43" s="18">
        <v>45602</v>
      </c>
      <c r="C43" t="s">
        <v>1384</v>
      </c>
      <c r="D43" t="s">
        <v>246</v>
      </c>
      <c r="E43" t="s">
        <v>13</v>
      </c>
      <c r="F43" t="s">
        <v>14</v>
      </c>
      <c r="G43" t="s">
        <v>15</v>
      </c>
      <c r="H43" t="s">
        <v>163</v>
      </c>
      <c r="I43">
        <v>2595.0100000000002</v>
      </c>
      <c r="J43">
        <v>3</v>
      </c>
      <c r="K43">
        <v>10</v>
      </c>
      <c r="L43">
        <v>7785.0300000000007</v>
      </c>
      <c r="M43">
        <v>778.50300000000004</v>
      </c>
      <c r="N43">
        <v>7006.527000000001</v>
      </c>
      <c r="O43" t="s">
        <v>38</v>
      </c>
      <c r="P43" t="s">
        <v>18</v>
      </c>
      <c r="Q43" t="s">
        <v>19</v>
      </c>
    </row>
    <row r="44" spans="1:17" x14ac:dyDescent="0.25">
      <c r="A44" t="s">
        <v>151</v>
      </c>
      <c r="B44" s="18">
        <v>45080</v>
      </c>
      <c r="C44" t="s">
        <v>1379</v>
      </c>
      <c r="D44" t="s">
        <v>152</v>
      </c>
      <c r="E44" t="s">
        <v>13</v>
      </c>
      <c r="F44" t="s">
        <v>14</v>
      </c>
      <c r="G44" t="s">
        <v>110</v>
      </c>
      <c r="H44" t="s">
        <v>153</v>
      </c>
      <c r="I44">
        <v>3792.23</v>
      </c>
      <c r="J44">
        <v>1</v>
      </c>
      <c r="K44">
        <v>15</v>
      </c>
      <c r="L44">
        <v>3792.23</v>
      </c>
      <c r="M44">
        <v>568.83449999999993</v>
      </c>
      <c r="N44">
        <v>3223.3955000000001</v>
      </c>
      <c r="O44" t="s">
        <v>26</v>
      </c>
      <c r="P44" t="s">
        <v>39</v>
      </c>
      <c r="Q44" t="s">
        <v>60</v>
      </c>
    </row>
    <row r="45" spans="1:17" x14ac:dyDescent="0.25">
      <c r="A45" t="s">
        <v>889</v>
      </c>
      <c r="B45" s="18">
        <v>45595</v>
      </c>
      <c r="C45" t="s">
        <v>1383</v>
      </c>
      <c r="D45" t="s">
        <v>890</v>
      </c>
      <c r="E45" t="s">
        <v>13</v>
      </c>
      <c r="F45" t="s">
        <v>14</v>
      </c>
      <c r="G45" t="s">
        <v>36</v>
      </c>
      <c r="H45" t="s">
        <v>37</v>
      </c>
      <c r="I45">
        <v>13184.96</v>
      </c>
      <c r="J45">
        <v>2</v>
      </c>
      <c r="K45">
        <v>10</v>
      </c>
      <c r="L45">
        <v>26369.919999999998</v>
      </c>
      <c r="M45">
        <v>2636.9919999999997</v>
      </c>
      <c r="N45">
        <v>23732.928</v>
      </c>
      <c r="O45" t="s">
        <v>38</v>
      </c>
      <c r="P45" t="s">
        <v>52</v>
      </c>
      <c r="Q45" t="s">
        <v>19</v>
      </c>
    </row>
    <row r="46" spans="1:17" x14ac:dyDescent="0.25">
      <c r="A46" t="s">
        <v>879</v>
      </c>
      <c r="B46" s="18">
        <v>45585</v>
      </c>
      <c r="C46" t="s">
        <v>1383</v>
      </c>
      <c r="D46" t="s">
        <v>334</v>
      </c>
      <c r="E46" t="s">
        <v>13</v>
      </c>
      <c r="F46" t="s">
        <v>14</v>
      </c>
      <c r="G46" t="s">
        <v>24</v>
      </c>
      <c r="H46" t="s">
        <v>108</v>
      </c>
      <c r="I46">
        <v>7903.29</v>
      </c>
      <c r="J46">
        <v>3</v>
      </c>
      <c r="K46">
        <v>0</v>
      </c>
      <c r="L46">
        <v>23709.87</v>
      </c>
      <c r="M46">
        <v>0</v>
      </c>
      <c r="N46">
        <v>23709.87</v>
      </c>
      <c r="O46" t="s">
        <v>33</v>
      </c>
      <c r="P46" t="s">
        <v>18</v>
      </c>
      <c r="Q46" t="s">
        <v>60</v>
      </c>
    </row>
    <row r="47" spans="1:17" x14ac:dyDescent="0.25">
      <c r="A47" t="s">
        <v>859</v>
      </c>
      <c r="B47" s="18">
        <v>45567</v>
      </c>
      <c r="C47" t="s">
        <v>1383</v>
      </c>
      <c r="D47" t="s">
        <v>698</v>
      </c>
      <c r="E47" t="s">
        <v>13</v>
      </c>
      <c r="F47" t="s">
        <v>14</v>
      </c>
      <c r="G47" t="s">
        <v>31</v>
      </c>
      <c r="H47" t="s">
        <v>186</v>
      </c>
      <c r="I47">
        <v>838.4</v>
      </c>
      <c r="J47">
        <v>2</v>
      </c>
      <c r="K47">
        <v>10</v>
      </c>
      <c r="L47">
        <v>1676.8</v>
      </c>
      <c r="M47">
        <v>167.68</v>
      </c>
      <c r="N47">
        <v>1509.12</v>
      </c>
      <c r="O47" t="s">
        <v>17</v>
      </c>
      <c r="P47" t="s">
        <v>52</v>
      </c>
      <c r="Q47" t="s">
        <v>34</v>
      </c>
    </row>
    <row r="48" spans="1:17" x14ac:dyDescent="0.25">
      <c r="A48" t="s">
        <v>158</v>
      </c>
      <c r="B48" s="18">
        <v>45085</v>
      </c>
      <c r="C48" t="s">
        <v>1379</v>
      </c>
      <c r="D48" t="s">
        <v>159</v>
      </c>
      <c r="E48" t="s">
        <v>13</v>
      </c>
      <c r="F48" t="s">
        <v>14</v>
      </c>
      <c r="G48" t="s">
        <v>72</v>
      </c>
      <c r="H48" t="s">
        <v>73</v>
      </c>
      <c r="I48">
        <v>341.63</v>
      </c>
      <c r="J48">
        <v>1</v>
      </c>
      <c r="K48">
        <v>5</v>
      </c>
      <c r="L48">
        <v>341.63</v>
      </c>
      <c r="M48">
        <v>17.081500000000002</v>
      </c>
      <c r="N48">
        <v>324.54849999999999</v>
      </c>
      <c r="O48" t="s">
        <v>38</v>
      </c>
      <c r="P48" t="s">
        <v>39</v>
      </c>
      <c r="Q48" t="s">
        <v>60</v>
      </c>
    </row>
    <row r="49" spans="1:17" x14ac:dyDescent="0.25">
      <c r="A49" t="s">
        <v>850</v>
      </c>
      <c r="B49" s="18">
        <v>45559</v>
      </c>
      <c r="C49" t="s">
        <v>1382</v>
      </c>
      <c r="D49" t="s">
        <v>851</v>
      </c>
      <c r="E49" t="s">
        <v>13</v>
      </c>
      <c r="F49" t="s">
        <v>14</v>
      </c>
      <c r="G49" t="s">
        <v>31</v>
      </c>
      <c r="H49" t="s">
        <v>242</v>
      </c>
      <c r="I49">
        <v>911.68</v>
      </c>
      <c r="J49">
        <v>3</v>
      </c>
      <c r="K49">
        <v>15</v>
      </c>
      <c r="L49">
        <v>2735.04</v>
      </c>
      <c r="M49">
        <v>410.25599999999997</v>
      </c>
      <c r="N49">
        <v>2324.7840000000001</v>
      </c>
      <c r="O49" t="s">
        <v>26</v>
      </c>
      <c r="P49" t="s">
        <v>18</v>
      </c>
      <c r="Q49" t="s">
        <v>40</v>
      </c>
    </row>
    <row r="50" spans="1:17" x14ac:dyDescent="0.25">
      <c r="A50" t="s">
        <v>834</v>
      </c>
      <c r="B50" s="18">
        <v>45545</v>
      </c>
      <c r="C50" t="s">
        <v>1382</v>
      </c>
      <c r="D50" t="s">
        <v>703</v>
      </c>
      <c r="E50" t="s">
        <v>13</v>
      </c>
      <c r="F50" t="s">
        <v>14</v>
      </c>
      <c r="G50" t="s">
        <v>24</v>
      </c>
      <c r="H50" t="s">
        <v>92</v>
      </c>
      <c r="I50">
        <v>1495.61</v>
      </c>
      <c r="J50">
        <v>1</v>
      </c>
      <c r="K50">
        <v>15</v>
      </c>
      <c r="L50">
        <v>1495.61</v>
      </c>
      <c r="M50">
        <v>224.34149999999997</v>
      </c>
      <c r="N50">
        <v>1271.2684999999999</v>
      </c>
      <c r="O50" t="s">
        <v>17</v>
      </c>
      <c r="P50" t="s">
        <v>27</v>
      </c>
      <c r="Q50" t="s">
        <v>60</v>
      </c>
    </row>
    <row r="51" spans="1:17" x14ac:dyDescent="0.25">
      <c r="A51" t="s">
        <v>164</v>
      </c>
      <c r="B51" s="18">
        <v>45088</v>
      </c>
      <c r="C51" t="s">
        <v>1379</v>
      </c>
      <c r="D51" t="s">
        <v>165</v>
      </c>
      <c r="E51" t="s">
        <v>13</v>
      </c>
      <c r="F51" t="s">
        <v>14</v>
      </c>
      <c r="G51" t="s">
        <v>36</v>
      </c>
      <c r="H51" t="s">
        <v>121</v>
      </c>
      <c r="I51">
        <v>93643.64</v>
      </c>
      <c r="J51">
        <v>4</v>
      </c>
      <c r="K51">
        <v>0</v>
      </c>
      <c r="L51">
        <v>374574.56</v>
      </c>
      <c r="M51">
        <v>0</v>
      </c>
      <c r="N51">
        <v>374574.56</v>
      </c>
      <c r="O51" t="s">
        <v>508</v>
      </c>
      <c r="P51" t="s">
        <v>18</v>
      </c>
      <c r="Q51" t="s">
        <v>60</v>
      </c>
    </row>
    <row r="52" spans="1:17" x14ac:dyDescent="0.25">
      <c r="A52" t="s">
        <v>826</v>
      </c>
      <c r="B52" s="18">
        <v>45538</v>
      </c>
      <c r="C52" t="s">
        <v>1382</v>
      </c>
      <c r="D52" t="s">
        <v>290</v>
      </c>
      <c r="E52" t="s">
        <v>13</v>
      </c>
      <c r="F52" t="s">
        <v>14</v>
      </c>
      <c r="G52" t="s">
        <v>31</v>
      </c>
      <c r="H52" t="s">
        <v>186</v>
      </c>
      <c r="I52">
        <v>832.21</v>
      </c>
      <c r="J52">
        <v>1</v>
      </c>
      <c r="K52">
        <v>10</v>
      </c>
      <c r="L52">
        <v>832.21</v>
      </c>
      <c r="M52">
        <v>83.221000000000004</v>
      </c>
      <c r="N52">
        <v>748.98900000000003</v>
      </c>
      <c r="O52" t="s">
        <v>33</v>
      </c>
      <c r="P52" t="s">
        <v>18</v>
      </c>
      <c r="Q52" t="s">
        <v>34</v>
      </c>
    </row>
    <row r="53" spans="1:17" x14ac:dyDescent="0.25">
      <c r="A53" t="s">
        <v>824</v>
      </c>
      <c r="B53" s="18">
        <v>45536</v>
      </c>
      <c r="C53" t="s">
        <v>1382</v>
      </c>
      <c r="D53" t="s">
        <v>279</v>
      </c>
      <c r="E53" t="s">
        <v>13</v>
      </c>
      <c r="F53" t="s">
        <v>14</v>
      </c>
      <c r="G53" t="s">
        <v>24</v>
      </c>
      <c r="H53" t="s">
        <v>108</v>
      </c>
      <c r="I53">
        <v>8135.51</v>
      </c>
      <c r="J53">
        <v>4</v>
      </c>
      <c r="K53">
        <v>15</v>
      </c>
      <c r="L53">
        <v>32542.04</v>
      </c>
      <c r="M53">
        <v>4881.3060000000005</v>
      </c>
      <c r="N53">
        <v>27660.734</v>
      </c>
      <c r="O53" t="s">
        <v>68</v>
      </c>
      <c r="P53" t="s">
        <v>18</v>
      </c>
      <c r="Q53" t="s">
        <v>19</v>
      </c>
    </row>
    <row r="54" spans="1:17" x14ac:dyDescent="0.25">
      <c r="A54" t="s">
        <v>819</v>
      </c>
      <c r="B54" s="18">
        <v>45532</v>
      </c>
      <c r="C54" t="s">
        <v>1381</v>
      </c>
      <c r="D54" t="s">
        <v>252</v>
      </c>
      <c r="E54" t="s">
        <v>13</v>
      </c>
      <c r="F54" t="s">
        <v>14</v>
      </c>
      <c r="G54" t="s">
        <v>31</v>
      </c>
      <c r="H54" t="s">
        <v>70</v>
      </c>
      <c r="I54">
        <v>548.57000000000005</v>
      </c>
      <c r="J54">
        <v>4</v>
      </c>
      <c r="K54">
        <v>5</v>
      </c>
      <c r="L54">
        <v>2194.2800000000002</v>
      </c>
      <c r="M54">
        <v>109.71400000000001</v>
      </c>
      <c r="N54">
        <v>2084.5660000000003</v>
      </c>
      <c r="O54" t="s">
        <v>26</v>
      </c>
      <c r="P54" t="s">
        <v>39</v>
      </c>
      <c r="Q54" t="s">
        <v>34</v>
      </c>
    </row>
    <row r="55" spans="1:17" x14ac:dyDescent="0.25">
      <c r="A55" t="s">
        <v>817</v>
      </c>
      <c r="B55" s="18">
        <v>45530</v>
      </c>
      <c r="C55" t="s">
        <v>1381</v>
      </c>
      <c r="D55" t="s">
        <v>431</v>
      </c>
      <c r="E55" t="s">
        <v>13</v>
      </c>
      <c r="F55" t="s">
        <v>14</v>
      </c>
      <c r="G55" t="s">
        <v>24</v>
      </c>
      <c r="H55" t="s">
        <v>92</v>
      </c>
      <c r="I55">
        <v>1434.63</v>
      </c>
      <c r="J55">
        <v>2</v>
      </c>
      <c r="K55">
        <v>0</v>
      </c>
      <c r="L55">
        <v>2869.26</v>
      </c>
      <c r="M55">
        <v>0</v>
      </c>
      <c r="N55">
        <v>2869.26</v>
      </c>
      <c r="O55" t="s">
        <v>68</v>
      </c>
      <c r="P55" t="s">
        <v>18</v>
      </c>
      <c r="Q55" t="s">
        <v>40</v>
      </c>
    </row>
    <row r="56" spans="1:17" x14ac:dyDescent="0.25">
      <c r="A56" t="s">
        <v>811</v>
      </c>
      <c r="B56" s="18">
        <v>45526</v>
      </c>
      <c r="C56" t="s">
        <v>1381</v>
      </c>
      <c r="D56" t="s">
        <v>598</v>
      </c>
      <c r="E56" t="s">
        <v>13</v>
      </c>
      <c r="F56" t="s">
        <v>14</v>
      </c>
      <c r="G56" t="s">
        <v>110</v>
      </c>
      <c r="H56" t="s">
        <v>215</v>
      </c>
      <c r="I56">
        <v>2344.29</v>
      </c>
      <c r="J56">
        <v>5</v>
      </c>
      <c r="K56">
        <v>15</v>
      </c>
      <c r="L56">
        <v>11721.45</v>
      </c>
      <c r="M56">
        <v>1758.2175</v>
      </c>
      <c r="N56">
        <v>9963.2325000000001</v>
      </c>
      <c r="O56" t="s">
        <v>33</v>
      </c>
      <c r="P56" t="s">
        <v>18</v>
      </c>
      <c r="Q56" t="s">
        <v>53</v>
      </c>
    </row>
    <row r="57" spans="1:17" x14ac:dyDescent="0.25">
      <c r="A57" t="s">
        <v>789</v>
      </c>
      <c r="B57" s="18">
        <v>45508</v>
      </c>
      <c r="C57" t="s">
        <v>1381</v>
      </c>
      <c r="D57" t="s">
        <v>314</v>
      </c>
      <c r="E57" t="s">
        <v>13</v>
      </c>
      <c r="F57" t="s">
        <v>14</v>
      </c>
      <c r="G57" t="s">
        <v>36</v>
      </c>
      <c r="H57" t="s">
        <v>121</v>
      </c>
      <c r="I57">
        <v>89504.3</v>
      </c>
      <c r="J57">
        <v>5</v>
      </c>
      <c r="K57">
        <v>0</v>
      </c>
      <c r="L57">
        <v>447521.5</v>
      </c>
      <c r="M57">
        <v>0</v>
      </c>
      <c r="N57">
        <v>447521.5</v>
      </c>
      <c r="O57" t="s">
        <v>38</v>
      </c>
      <c r="P57" t="s">
        <v>18</v>
      </c>
      <c r="Q57" t="s">
        <v>19</v>
      </c>
    </row>
    <row r="58" spans="1:17" x14ac:dyDescent="0.25">
      <c r="A58" t="s">
        <v>788</v>
      </c>
      <c r="B58" s="18">
        <v>45507</v>
      </c>
      <c r="C58" t="s">
        <v>1381</v>
      </c>
      <c r="D58" t="s">
        <v>700</v>
      </c>
      <c r="E58" t="s">
        <v>13</v>
      </c>
      <c r="F58" t="s">
        <v>14</v>
      </c>
      <c r="G58" t="s">
        <v>110</v>
      </c>
      <c r="H58" t="s">
        <v>215</v>
      </c>
      <c r="I58">
        <v>2446.86</v>
      </c>
      <c r="J58">
        <v>2</v>
      </c>
      <c r="K58">
        <v>5</v>
      </c>
      <c r="L58">
        <v>4893.72</v>
      </c>
      <c r="M58">
        <v>244.68600000000004</v>
      </c>
      <c r="N58">
        <v>4649.0340000000006</v>
      </c>
      <c r="O58" t="s">
        <v>68</v>
      </c>
      <c r="P58" t="s">
        <v>27</v>
      </c>
      <c r="Q58" t="s">
        <v>19</v>
      </c>
    </row>
    <row r="59" spans="1:17" x14ac:dyDescent="0.25">
      <c r="A59" t="s">
        <v>773</v>
      </c>
      <c r="B59" s="18">
        <v>45494</v>
      </c>
      <c r="C59" t="s">
        <v>1380</v>
      </c>
      <c r="D59" t="s">
        <v>583</v>
      </c>
      <c r="E59" t="s">
        <v>13</v>
      </c>
      <c r="F59" t="s">
        <v>14</v>
      </c>
      <c r="G59" t="s">
        <v>72</v>
      </c>
      <c r="H59" t="s">
        <v>102</v>
      </c>
      <c r="I59">
        <v>668.24</v>
      </c>
      <c r="J59">
        <v>4</v>
      </c>
      <c r="K59">
        <v>0</v>
      </c>
      <c r="L59">
        <v>2672.96</v>
      </c>
      <c r="M59">
        <v>0</v>
      </c>
      <c r="N59">
        <v>2672.96</v>
      </c>
      <c r="O59" t="s">
        <v>26</v>
      </c>
      <c r="P59" t="s">
        <v>39</v>
      </c>
      <c r="Q59" t="s">
        <v>19</v>
      </c>
    </row>
    <row r="60" spans="1:17" x14ac:dyDescent="0.25">
      <c r="A60" t="s">
        <v>770</v>
      </c>
      <c r="B60" s="18">
        <v>45492</v>
      </c>
      <c r="C60" t="s">
        <v>1380</v>
      </c>
      <c r="D60" t="s">
        <v>771</v>
      </c>
      <c r="E60" t="s">
        <v>13</v>
      </c>
      <c r="F60" t="s">
        <v>14</v>
      </c>
      <c r="G60" t="s">
        <v>24</v>
      </c>
      <c r="H60" t="s">
        <v>134</v>
      </c>
      <c r="I60">
        <v>2732.29</v>
      </c>
      <c r="J60">
        <v>1</v>
      </c>
      <c r="K60">
        <v>5</v>
      </c>
      <c r="L60">
        <v>2732.29</v>
      </c>
      <c r="M60">
        <v>136.61450000000002</v>
      </c>
      <c r="N60">
        <v>2595.6754999999998</v>
      </c>
      <c r="O60" t="s">
        <v>26</v>
      </c>
      <c r="P60" t="s">
        <v>18</v>
      </c>
      <c r="Q60" t="s">
        <v>19</v>
      </c>
    </row>
    <row r="61" spans="1:17" x14ac:dyDescent="0.25">
      <c r="A61" t="s">
        <v>750</v>
      </c>
      <c r="B61" s="18">
        <v>45476</v>
      </c>
      <c r="C61" t="s">
        <v>1380</v>
      </c>
      <c r="D61" t="s">
        <v>751</v>
      </c>
      <c r="E61" t="s">
        <v>13</v>
      </c>
      <c r="F61" t="s">
        <v>14</v>
      </c>
      <c r="G61" t="s">
        <v>110</v>
      </c>
      <c r="H61" t="s">
        <v>153</v>
      </c>
      <c r="I61">
        <v>3457.93</v>
      </c>
      <c r="J61">
        <v>2</v>
      </c>
      <c r="K61">
        <v>0</v>
      </c>
      <c r="L61">
        <v>6915.86</v>
      </c>
      <c r="M61">
        <v>0</v>
      </c>
      <c r="N61">
        <v>6915.86</v>
      </c>
      <c r="O61" t="s">
        <v>17</v>
      </c>
      <c r="P61" t="s">
        <v>27</v>
      </c>
      <c r="Q61" t="s">
        <v>34</v>
      </c>
    </row>
    <row r="62" spans="1:17" x14ac:dyDescent="0.25">
      <c r="A62" t="s">
        <v>731</v>
      </c>
      <c r="B62" s="18">
        <v>45461</v>
      </c>
      <c r="C62" t="s">
        <v>1379</v>
      </c>
      <c r="D62" t="s">
        <v>562</v>
      </c>
      <c r="E62" t="s">
        <v>13</v>
      </c>
      <c r="F62" t="s">
        <v>14</v>
      </c>
      <c r="G62" t="s">
        <v>110</v>
      </c>
      <c r="H62" t="s">
        <v>111</v>
      </c>
      <c r="I62">
        <v>9298.76</v>
      </c>
      <c r="J62">
        <v>5</v>
      </c>
      <c r="K62">
        <v>0</v>
      </c>
      <c r="L62">
        <v>46493.8</v>
      </c>
      <c r="M62">
        <v>0</v>
      </c>
      <c r="N62">
        <v>46493.8</v>
      </c>
      <c r="O62" t="s">
        <v>38</v>
      </c>
      <c r="P62" t="s">
        <v>18</v>
      </c>
      <c r="Q62" t="s">
        <v>34</v>
      </c>
    </row>
    <row r="63" spans="1:17" x14ac:dyDescent="0.25">
      <c r="A63" t="s">
        <v>727</v>
      </c>
      <c r="B63" s="18">
        <v>45458</v>
      </c>
      <c r="C63" t="s">
        <v>1379</v>
      </c>
      <c r="D63" t="s">
        <v>205</v>
      </c>
      <c r="E63" t="s">
        <v>13</v>
      </c>
      <c r="F63" t="s">
        <v>14</v>
      </c>
      <c r="G63" t="s">
        <v>15</v>
      </c>
      <c r="H63" t="s">
        <v>198</v>
      </c>
      <c r="I63">
        <v>777.23</v>
      </c>
      <c r="J63">
        <v>5</v>
      </c>
      <c r="K63">
        <v>10</v>
      </c>
      <c r="L63">
        <v>3886.15</v>
      </c>
      <c r="M63">
        <v>388.61500000000001</v>
      </c>
      <c r="N63">
        <v>3497.5349999999999</v>
      </c>
      <c r="O63" t="s">
        <v>38</v>
      </c>
      <c r="P63" t="s">
        <v>39</v>
      </c>
      <c r="Q63" t="s">
        <v>34</v>
      </c>
    </row>
    <row r="64" spans="1:17" x14ac:dyDescent="0.25">
      <c r="A64" t="s">
        <v>724</v>
      </c>
      <c r="B64" s="18">
        <v>45456</v>
      </c>
      <c r="C64" t="s">
        <v>1379</v>
      </c>
      <c r="D64" t="s">
        <v>725</v>
      </c>
      <c r="E64" t="s">
        <v>13</v>
      </c>
      <c r="F64" t="s">
        <v>14</v>
      </c>
      <c r="G64" t="s">
        <v>24</v>
      </c>
      <c r="H64" t="s">
        <v>108</v>
      </c>
      <c r="I64">
        <v>8092.93</v>
      </c>
      <c r="J64">
        <v>5</v>
      </c>
      <c r="K64">
        <v>5</v>
      </c>
      <c r="L64">
        <v>40464.65</v>
      </c>
      <c r="M64">
        <v>2023.2325000000001</v>
      </c>
      <c r="N64">
        <v>38441.417500000003</v>
      </c>
      <c r="O64" t="s">
        <v>38</v>
      </c>
      <c r="P64" t="s">
        <v>18</v>
      </c>
      <c r="Q64" t="s">
        <v>60</v>
      </c>
    </row>
    <row r="65" spans="1:17" x14ac:dyDescent="0.25">
      <c r="A65" t="s">
        <v>638</v>
      </c>
      <c r="B65" s="18">
        <v>45391</v>
      </c>
      <c r="C65" t="s">
        <v>1377</v>
      </c>
      <c r="D65" t="s">
        <v>349</v>
      </c>
      <c r="E65" t="s">
        <v>13</v>
      </c>
      <c r="F65" t="s">
        <v>14</v>
      </c>
      <c r="G65" t="s">
        <v>43</v>
      </c>
      <c r="H65" t="s">
        <v>44</v>
      </c>
      <c r="I65">
        <v>3792.62</v>
      </c>
      <c r="J65">
        <v>2</v>
      </c>
      <c r="K65">
        <v>10</v>
      </c>
      <c r="L65">
        <v>7585.24</v>
      </c>
      <c r="M65">
        <v>758.52399999999989</v>
      </c>
      <c r="N65">
        <v>6826.7160000000003</v>
      </c>
      <c r="O65" t="s">
        <v>38</v>
      </c>
      <c r="P65" t="s">
        <v>39</v>
      </c>
      <c r="Q65" t="s">
        <v>60</v>
      </c>
    </row>
    <row r="66" spans="1:17" x14ac:dyDescent="0.25">
      <c r="A66" t="s">
        <v>631</v>
      </c>
      <c r="B66" s="18">
        <v>45387</v>
      </c>
      <c r="C66" t="s">
        <v>1377</v>
      </c>
      <c r="D66" t="s">
        <v>632</v>
      </c>
      <c r="E66" t="s">
        <v>13</v>
      </c>
      <c r="F66" t="s">
        <v>14</v>
      </c>
      <c r="G66" t="s">
        <v>15</v>
      </c>
      <c r="H66" t="s">
        <v>95</v>
      </c>
      <c r="I66">
        <v>1301</v>
      </c>
      <c r="J66">
        <v>3</v>
      </c>
      <c r="K66">
        <v>0</v>
      </c>
      <c r="L66">
        <v>3903</v>
      </c>
      <c r="M66">
        <v>0</v>
      </c>
      <c r="N66">
        <v>3903</v>
      </c>
      <c r="O66" t="s">
        <v>38</v>
      </c>
      <c r="P66" t="s">
        <v>39</v>
      </c>
      <c r="Q66" t="s">
        <v>34</v>
      </c>
    </row>
    <row r="67" spans="1:17" x14ac:dyDescent="0.25">
      <c r="A67" t="s">
        <v>629</v>
      </c>
      <c r="B67" s="18">
        <v>45386</v>
      </c>
      <c r="C67" t="s">
        <v>1377</v>
      </c>
      <c r="D67" t="s">
        <v>630</v>
      </c>
      <c r="E67" t="s">
        <v>13</v>
      </c>
      <c r="F67" t="s">
        <v>14</v>
      </c>
      <c r="G67" t="s">
        <v>24</v>
      </c>
      <c r="H67" t="s">
        <v>108</v>
      </c>
      <c r="I67">
        <v>7844.76</v>
      </c>
      <c r="J67">
        <v>5</v>
      </c>
      <c r="K67">
        <v>0</v>
      </c>
      <c r="L67">
        <v>39223.800000000003</v>
      </c>
      <c r="M67">
        <v>0</v>
      </c>
      <c r="N67">
        <v>39223.800000000003</v>
      </c>
      <c r="O67" t="s">
        <v>33</v>
      </c>
      <c r="P67" t="s">
        <v>18</v>
      </c>
      <c r="Q67" t="s">
        <v>60</v>
      </c>
    </row>
    <row r="68" spans="1:17" x14ac:dyDescent="0.25">
      <c r="A68" t="s">
        <v>191</v>
      </c>
      <c r="B68" s="18">
        <v>45105</v>
      </c>
      <c r="C68" t="s">
        <v>1379</v>
      </c>
      <c r="D68" t="s">
        <v>192</v>
      </c>
      <c r="E68" t="s">
        <v>13</v>
      </c>
      <c r="F68" t="s">
        <v>14</v>
      </c>
      <c r="G68" t="s">
        <v>31</v>
      </c>
      <c r="H68" t="s">
        <v>70</v>
      </c>
      <c r="I68">
        <v>553.69000000000005</v>
      </c>
      <c r="J68">
        <v>1</v>
      </c>
      <c r="K68">
        <v>15</v>
      </c>
      <c r="L68">
        <v>553.69000000000005</v>
      </c>
      <c r="M68">
        <v>83.0535</v>
      </c>
      <c r="N68">
        <v>470.63650000000007</v>
      </c>
      <c r="O68" t="s">
        <v>33</v>
      </c>
      <c r="P68" t="s">
        <v>18</v>
      </c>
      <c r="Q68" t="s">
        <v>19</v>
      </c>
    </row>
    <row r="69" spans="1:17" x14ac:dyDescent="0.25">
      <c r="A69" t="s">
        <v>619</v>
      </c>
      <c r="B69" s="18">
        <v>45378</v>
      </c>
      <c r="C69" t="s">
        <v>1376</v>
      </c>
      <c r="D69" t="s">
        <v>402</v>
      </c>
      <c r="E69" t="s">
        <v>13</v>
      </c>
      <c r="F69" t="s">
        <v>14</v>
      </c>
      <c r="G69" t="s">
        <v>31</v>
      </c>
      <c r="H69" t="s">
        <v>70</v>
      </c>
      <c r="I69">
        <v>595.80999999999995</v>
      </c>
      <c r="J69">
        <v>2</v>
      </c>
      <c r="K69">
        <v>15</v>
      </c>
      <c r="L69">
        <v>1191.6199999999999</v>
      </c>
      <c r="M69">
        <v>178.74299999999999</v>
      </c>
      <c r="N69">
        <v>1012.877</v>
      </c>
      <c r="O69" t="s">
        <v>17</v>
      </c>
      <c r="P69" t="s">
        <v>18</v>
      </c>
      <c r="Q69" t="s">
        <v>53</v>
      </c>
    </row>
    <row r="70" spans="1:17" x14ac:dyDescent="0.25">
      <c r="A70" t="s">
        <v>607</v>
      </c>
      <c r="B70" s="18">
        <v>45370</v>
      </c>
      <c r="C70" t="s">
        <v>1376</v>
      </c>
      <c r="D70" t="s">
        <v>411</v>
      </c>
      <c r="E70" t="s">
        <v>13</v>
      </c>
      <c r="F70" t="s">
        <v>14</v>
      </c>
      <c r="G70" t="s">
        <v>43</v>
      </c>
      <c r="H70" t="s">
        <v>145</v>
      </c>
      <c r="I70">
        <v>12558.2</v>
      </c>
      <c r="J70">
        <v>2</v>
      </c>
      <c r="K70">
        <v>10</v>
      </c>
      <c r="L70">
        <v>25116.400000000001</v>
      </c>
      <c r="M70">
        <v>2511.64</v>
      </c>
      <c r="N70">
        <v>22604.760000000002</v>
      </c>
      <c r="O70" t="s">
        <v>33</v>
      </c>
      <c r="P70" t="s">
        <v>18</v>
      </c>
      <c r="Q70" t="s">
        <v>34</v>
      </c>
    </row>
    <row r="71" spans="1:17" x14ac:dyDescent="0.25">
      <c r="A71" t="s">
        <v>603</v>
      </c>
      <c r="B71" s="18">
        <v>45367</v>
      </c>
      <c r="C71" t="s">
        <v>1376</v>
      </c>
      <c r="D71" t="s">
        <v>326</v>
      </c>
      <c r="E71" t="s">
        <v>13</v>
      </c>
      <c r="F71" t="s">
        <v>14</v>
      </c>
      <c r="G71" t="s">
        <v>15</v>
      </c>
      <c r="H71" t="s">
        <v>56</v>
      </c>
      <c r="I71">
        <v>1760.98</v>
      </c>
      <c r="J71">
        <v>5</v>
      </c>
      <c r="K71">
        <v>10</v>
      </c>
      <c r="L71">
        <v>8804.9</v>
      </c>
      <c r="M71">
        <v>880.49</v>
      </c>
      <c r="N71">
        <v>7924.41</v>
      </c>
      <c r="O71" t="s">
        <v>26</v>
      </c>
      <c r="P71" t="s">
        <v>52</v>
      </c>
      <c r="Q71" t="s">
        <v>34</v>
      </c>
    </row>
    <row r="72" spans="1:17" x14ac:dyDescent="0.25">
      <c r="A72" t="s">
        <v>597</v>
      </c>
      <c r="B72" s="18">
        <v>45363</v>
      </c>
      <c r="C72" t="s">
        <v>1376</v>
      </c>
      <c r="D72" t="s">
        <v>598</v>
      </c>
      <c r="E72" t="s">
        <v>13</v>
      </c>
      <c r="F72" t="s">
        <v>14</v>
      </c>
      <c r="G72" t="s">
        <v>110</v>
      </c>
      <c r="H72" t="s">
        <v>67</v>
      </c>
      <c r="I72">
        <v>4050.62</v>
      </c>
      <c r="J72">
        <v>5</v>
      </c>
      <c r="K72">
        <v>0</v>
      </c>
      <c r="L72">
        <v>20253.099999999999</v>
      </c>
      <c r="M72">
        <v>0</v>
      </c>
      <c r="N72">
        <v>20253.099999999999</v>
      </c>
      <c r="O72" t="s">
        <v>26</v>
      </c>
      <c r="P72" t="s">
        <v>18</v>
      </c>
      <c r="Q72" t="s">
        <v>53</v>
      </c>
    </row>
    <row r="73" spans="1:17" x14ac:dyDescent="0.25">
      <c r="A73" t="s">
        <v>592</v>
      </c>
      <c r="B73" s="18">
        <v>45359</v>
      </c>
      <c r="C73" t="s">
        <v>1376</v>
      </c>
      <c r="D73" t="s">
        <v>62</v>
      </c>
      <c r="E73" t="s">
        <v>13</v>
      </c>
      <c r="F73" t="s">
        <v>14</v>
      </c>
      <c r="G73" t="s">
        <v>31</v>
      </c>
      <c r="H73" t="s">
        <v>242</v>
      </c>
      <c r="I73">
        <v>849.42</v>
      </c>
      <c r="J73">
        <v>3</v>
      </c>
      <c r="K73">
        <v>10</v>
      </c>
      <c r="L73">
        <v>2548.2599999999998</v>
      </c>
      <c r="M73">
        <v>254.82599999999999</v>
      </c>
      <c r="N73">
        <v>2293.4339999999997</v>
      </c>
      <c r="O73" t="s">
        <v>33</v>
      </c>
      <c r="P73" t="s">
        <v>52</v>
      </c>
      <c r="Q73" t="s">
        <v>34</v>
      </c>
    </row>
    <row r="74" spans="1:17" x14ac:dyDescent="0.25">
      <c r="A74" t="s">
        <v>591</v>
      </c>
      <c r="B74" s="18">
        <v>45358</v>
      </c>
      <c r="C74" t="s">
        <v>1376</v>
      </c>
      <c r="D74" t="s">
        <v>555</v>
      </c>
      <c r="E74" t="s">
        <v>13</v>
      </c>
      <c r="F74" t="s">
        <v>14</v>
      </c>
      <c r="G74" t="s">
        <v>43</v>
      </c>
      <c r="H74" t="s">
        <v>105</v>
      </c>
      <c r="I74">
        <v>2788.62</v>
      </c>
      <c r="J74">
        <v>4</v>
      </c>
      <c r="K74">
        <v>5</v>
      </c>
      <c r="L74">
        <v>11154.48</v>
      </c>
      <c r="M74">
        <v>557.72399999999993</v>
      </c>
      <c r="N74">
        <v>10596.755999999999</v>
      </c>
      <c r="O74" t="s">
        <v>17</v>
      </c>
      <c r="P74" t="s">
        <v>52</v>
      </c>
      <c r="Q74" t="s">
        <v>34</v>
      </c>
    </row>
    <row r="75" spans="1:17" x14ac:dyDescent="0.25">
      <c r="A75" t="s">
        <v>585</v>
      </c>
      <c r="B75" s="18">
        <v>45353</v>
      </c>
      <c r="C75" t="s">
        <v>1376</v>
      </c>
      <c r="D75" t="s">
        <v>390</v>
      </c>
      <c r="E75" t="s">
        <v>13</v>
      </c>
      <c r="F75" t="s">
        <v>14</v>
      </c>
      <c r="G75" t="s">
        <v>36</v>
      </c>
      <c r="H75" t="s">
        <v>49</v>
      </c>
      <c r="I75">
        <v>138921.46</v>
      </c>
      <c r="J75">
        <v>4</v>
      </c>
      <c r="K75">
        <v>0</v>
      </c>
      <c r="L75">
        <v>555685.84</v>
      </c>
      <c r="M75">
        <v>0</v>
      </c>
      <c r="N75">
        <v>555685.84</v>
      </c>
      <c r="O75" t="s">
        <v>68</v>
      </c>
      <c r="P75" t="s">
        <v>52</v>
      </c>
      <c r="Q75" t="s">
        <v>19</v>
      </c>
    </row>
    <row r="76" spans="1:17" x14ac:dyDescent="0.25">
      <c r="A76" t="s">
        <v>582</v>
      </c>
      <c r="B76" s="18">
        <v>45351</v>
      </c>
      <c r="C76" t="s">
        <v>1375</v>
      </c>
      <c r="D76" t="s">
        <v>583</v>
      </c>
      <c r="E76" t="s">
        <v>13</v>
      </c>
      <c r="F76" t="s">
        <v>14</v>
      </c>
      <c r="G76" t="s">
        <v>24</v>
      </c>
      <c r="H76" t="s">
        <v>108</v>
      </c>
      <c r="I76">
        <v>7437.32</v>
      </c>
      <c r="J76">
        <v>2</v>
      </c>
      <c r="K76">
        <v>15</v>
      </c>
      <c r="L76">
        <v>14874.64</v>
      </c>
      <c r="M76">
        <v>2231.1959999999999</v>
      </c>
      <c r="N76">
        <v>12643.444</v>
      </c>
      <c r="O76" t="s">
        <v>33</v>
      </c>
      <c r="P76" t="s">
        <v>52</v>
      </c>
      <c r="Q76" t="s">
        <v>40</v>
      </c>
    </row>
    <row r="77" spans="1:17" x14ac:dyDescent="0.25">
      <c r="A77" t="s">
        <v>552</v>
      </c>
      <c r="B77" s="18">
        <v>45332</v>
      </c>
      <c r="C77" t="s">
        <v>1375</v>
      </c>
      <c r="D77" t="s">
        <v>553</v>
      </c>
      <c r="E77" t="s">
        <v>13</v>
      </c>
      <c r="F77" t="s">
        <v>14</v>
      </c>
      <c r="G77" t="s">
        <v>72</v>
      </c>
      <c r="H77" t="s">
        <v>129</v>
      </c>
      <c r="I77">
        <v>1802.38</v>
      </c>
      <c r="J77">
        <v>5</v>
      </c>
      <c r="K77">
        <v>0</v>
      </c>
      <c r="L77">
        <v>9011.9000000000015</v>
      </c>
      <c r="M77">
        <v>0</v>
      </c>
      <c r="N77">
        <v>9011.9000000000015</v>
      </c>
      <c r="O77" t="s">
        <v>33</v>
      </c>
      <c r="P77" t="s">
        <v>27</v>
      </c>
      <c r="Q77" t="s">
        <v>60</v>
      </c>
    </row>
    <row r="78" spans="1:17" x14ac:dyDescent="0.25">
      <c r="A78" t="s">
        <v>524</v>
      </c>
      <c r="B78" s="18">
        <v>45314</v>
      </c>
      <c r="C78" t="s">
        <v>1374</v>
      </c>
      <c r="D78" t="s">
        <v>525</v>
      </c>
      <c r="E78" t="s">
        <v>13</v>
      </c>
      <c r="F78" t="s">
        <v>14</v>
      </c>
      <c r="G78" t="s">
        <v>110</v>
      </c>
      <c r="H78" t="s">
        <v>215</v>
      </c>
      <c r="I78">
        <v>2516.14</v>
      </c>
      <c r="J78">
        <v>5</v>
      </c>
      <c r="K78">
        <v>0</v>
      </c>
      <c r="L78">
        <v>12580.699999999999</v>
      </c>
      <c r="M78">
        <v>0</v>
      </c>
      <c r="N78">
        <v>12580.699999999999</v>
      </c>
      <c r="O78" t="s">
        <v>26</v>
      </c>
      <c r="P78" t="s">
        <v>18</v>
      </c>
      <c r="Q78" t="s">
        <v>34</v>
      </c>
    </row>
    <row r="79" spans="1:17" x14ac:dyDescent="0.25">
      <c r="A79" t="s">
        <v>520</v>
      </c>
      <c r="B79" s="18">
        <v>45310</v>
      </c>
      <c r="C79" t="s">
        <v>1374</v>
      </c>
      <c r="D79" t="s">
        <v>183</v>
      </c>
      <c r="E79" t="s">
        <v>13</v>
      </c>
      <c r="F79" t="s">
        <v>14</v>
      </c>
      <c r="G79" t="s">
        <v>31</v>
      </c>
      <c r="H79" t="s">
        <v>186</v>
      </c>
      <c r="I79">
        <v>806.02</v>
      </c>
      <c r="J79">
        <v>2</v>
      </c>
      <c r="K79">
        <v>10</v>
      </c>
      <c r="L79">
        <v>1612.04</v>
      </c>
      <c r="M79">
        <v>161.20400000000001</v>
      </c>
      <c r="N79">
        <v>1450.836</v>
      </c>
      <c r="O79" t="s">
        <v>17</v>
      </c>
      <c r="P79" t="s">
        <v>27</v>
      </c>
      <c r="Q79" t="s">
        <v>60</v>
      </c>
    </row>
    <row r="80" spans="1:17" x14ac:dyDescent="0.25">
      <c r="A80" t="s">
        <v>491</v>
      </c>
      <c r="B80" s="18">
        <v>45289</v>
      </c>
      <c r="C80" t="s">
        <v>1385</v>
      </c>
      <c r="D80" t="s">
        <v>387</v>
      </c>
      <c r="E80" t="s">
        <v>13</v>
      </c>
      <c r="F80" t="s">
        <v>14</v>
      </c>
      <c r="G80" t="s">
        <v>43</v>
      </c>
      <c r="H80" t="s">
        <v>105</v>
      </c>
      <c r="I80">
        <v>2991.3</v>
      </c>
      <c r="J80">
        <v>4</v>
      </c>
      <c r="K80">
        <v>15</v>
      </c>
      <c r="L80">
        <v>11965.2</v>
      </c>
      <c r="M80">
        <v>1794.78</v>
      </c>
      <c r="N80">
        <v>10170.42</v>
      </c>
      <c r="O80" t="s">
        <v>33</v>
      </c>
      <c r="P80" t="s">
        <v>18</v>
      </c>
      <c r="Q80" t="s">
        <v>60</v>
      </c>
    </row>
    <row r="81" spans="1:17" x14ac:dyDescent="0.25">
      <c r="A81" t="s">
        <v>465</v>
      </c>
      <c r="B81" s="18">
        <v>45272</v>
      </c>
      <c r="C81" t="s">
        <v>1385</v>
      </c>
      <c r="D81" t="s">
        <v>270</v>
      </c>
      <c r="E81" t="s">
        <v>13</v>
      </c>
      <c r="F81" t="s">
        <v>14</v>
      </c>
      <c r="G81" t="s">
        <v>110</v>
      </c>
      <c r="H81" t="s">
        <v>111</v>
      </c>
      <c r="I81">
        <v>10284.23</v>
      </c>
      <c r="J81">
        <v>4</v>
      </c>
      <c r="K81">
        <v>5</v>
      </c>
      <c r="L81">
        <v>41136.92</v>
      </c>
      <c r="M81">
        <v>2056.8459999999995</v>
      </c>
      <c r="N81">
        <v>39080.074000000001</v>
      </c>
      <c r="O81" t="s">
        <v>68</v>
      </c>
      <c r="P81" t="s">
        <v>52</v>
      </c>
      <c r="Q81" t="s">
        <v>19</v>
      </c>
    </row>
    <row r="82" spans="1:17" x14ac:dyDescent="0.25">
      <c r="A82" t="s">
        <v>464</v>
      </c>
      <c r="B82" s="18">
        <v>45271</v>
      </c>
      <c r="C82" t="s">
        <v>1385</v>
      </c>
      <c r="D82" t="s">
        <v>194</v>
      </c>
      <c r="E82" t="s">
        <v>13</v>
      </c>
      <c r="F82" t="s">
        <v>14</v>
      </c>
      <c r="G82" t="s">
        <v>43</v>
      </c>
      <c r="H82" t="s">
        <v>127</v>
      </c>
      <c r="I82">
        <v>5876.8</v>
      </c>
      <c r="J82">
        <v>2</v>
      </c>
      <c r="K82">
        <v>10</v>
      </c>
      <c r="L82">
        <v>11753.6</v>
      </c>
      <c r="M82">
        <v>1175.3599999999999</v>
      </c>
      <c r="N82">
        <v>10578.24</v>
      </c>
      <c r="O82" t="s">
        <v>26</v>
      </c>
      <c r="P82" t="s">
        <v>18</v>
      </c>
      <c r="Q82" t="s">
        <v>53</v>
      </c>
    </row>
    <row r="83" spans="1:17" x14ac:dyDescent="0.25">
      <c r="A83" t="s">
        <v>400</v>
      </c>
      <c r="B83" s="18">
        <v>45231</v>
      </c>
      <c r="C83" t="s">
        <v>1384</v>
      </c>
      <c r="D83" t="s">
        <v>353</v>
      </c>
      <c r="E83" t="s">
        <v>13</v>
      </c>
      <c r="F83" t="s">
        <v>14</v>
      </c>
      <c r="G83" t="s">
        <v>15</v>
      </c>
      <c r="H83" t="s">
        <v>163</v>
      </c>
      <c r="I83">
        <v>2509.34</v>
      </c>
      <c r="J83">
        <v>5</v>
      </c>
      <c r="K83">
        <v>0</v>
      </c>
      <c r="L83">
        <v>12546.7</v>
      </c>
      <c r="M83">
        <v>0</v>
      </c>
      <c r="N83">
        <v>12546.7</v>
      </c>
      <c r="O83" t="s">
        <v>68</v>
      </c>
      <c r="P83" t="s">
        <v>52</v>
      </c>
      <c r="Q83" t="s">
        <v>60</v>
      </c>
    </row>
    <row r="84" spans="1:17" x14ac:dyDescent="0.25">
      <c r="A84" t="s">
        <v>398</v>
      </c>
      <c r="B84" s="18">
        <v>45230</v>
      </c>
      <c r="C84" t="s">
        <v>1383</v>
      </c>
      <c r="D84" t="s">
        <v>399</v>
      </c>
      <c r="E84" t="s">
        <v>13</v>
      </c>
      <c r="F84" t="s">
        <v>14</v>
      </c>
      <c r="G84" t="s">
        <v>43</v>
      </c>
      <c r="H84" t="s">
        <v>105</v>
      </c>
      <c r="I84">
        <v>2754.52</v>
      </c>
      <c r="J84">
        <v>4</v>
      </c>
      <c r="K84">
        <v>10</v>
      </c>
      <c r="L84">
        <v>11018.08</v>
      </c>
      <c r="M84">
        <v>1101.808</v>
      </c>
      <c r="N84">
        <v>9916.2720000000008</v>
      </c>
      <c r="O84" t="s">
        <v>26</v>
      </c>
      <c r="P84" t="s">
        <v>18</v>
      </c>
      <c r="Q84" t="s">
        <v>19</v>
      </c>
    </row>
    <row r="85" spans="1:17" x14ac:dyDescent="0.25">
      <c r="A85" t="s">
        <v>394</v>
      </c>
      <c r="B85" s="18">
        <v>45228</v>
      </c>
      <c r="C85" t="s">
        <v>1383</v>
      </c>
      <c r="D85" t="s">
        <v>395</v>
      </c>
      <c r="E85" t="s">
        <v>13</v>
      </c>
      <c r="F85" t="s">
        <v>14</v>
      </c>
      <c r="G85" t="s">
        <v>110</v>
      </c>
      <c r="H85" t="s">
        <v>67</v>
      </c>
      <c r="I85">
        <v>4288.9799999999996</v>
      </c>
      <c r="J85">
        <v>5</v>
      </c>
      <c r="K85">
        <v>10</v>
      </c>
      <c r="L85">
        <v>21444.899999999998</v>
      </c>
      <c r="M85">
        <v>2144.4899999999998</v>
      </c>
      <c r="N85">
        <v>19300.409999999996</v>
      </c>
      <c r="O85" t="s">
        <v>26</v>
      </c>
      <c r="P85" t="s">
        <v>27</v>
      </c>
      <c r="Q85" t="s">
        <v>40</v>
      </c>
    </row>
    <row r="86" spans="1:17" x14ac:dyDescent="0.25">
      <c r="A86" t="s">
        <v>391</v>
      </c>
      <c r="B86" s="18">
        <v>45225</v>
      </c>
      <c r="C86" t="s">
        <v>1383</v>
      </c>
      <c r="D86" t="s">
        <v>373</v>
      </c>
      <c r="E86" t="s">
        <v>13</v>
      </c>
      <c r="F86" t="s">
        <v>14</v>
      </c>
      <c r="G86" t="s">
        <v>36</v>
      </c>
      <c r="H86" t="s">
        <v>49</v>
      </c>
      <c r="I86">
        <v>156407.76</v>
      </c>
      <c r="J86">
        <v>4</v>
      </c>
      <c r="K86">
        <v>10</v>
      </c>
      <c r="L86">
        <v>625631.04</v>
      </c>
      <c r="M86">
        <v>62563.104000000007</v>
      </c>
      <c r="N86">
        <v>563067.93599999999</v>
      </c>
      <c r="O86" t="s">
        <v>33</v>
      </c>
      <c r="P86" t="s">
        <v>18</v>
      </c>
      <c r="Q86" t="s">
        <v>19</v>
      </c>
    </row>
    <row r="87" spans="1:17" x14ac:dyDescent="0.25">
      <c r="A87" t="s">
        <v>385</v>
      </c>
      <c r="B87" s="18">
        <v>45221</v>
      </c>
      <c r="C87" t="s">
        <v>1383</v>
      </c>
      <c r="D87" t="s">
        <v>351</v>
      </c>
      <c r="E87" t="s">
        <v>13</v>
      </c>
      <c r="F87" t="s">
        <v>14</v>
      </c>
      <c r="G87" t="s">
        <v>31</v>
      </c>
      <c r="H87" t="s">
        <v>70</v>
      </c>
      <c r="I87">
        <v>611.70000000000005</v>
      </c>
      <c r="J87">
        <v>4</v>
      </c>
      <c r="K87">
        <v>5</v>
      </c>
      <c r="L87">
        <v>2446.8000000000002</v>
      </c>
      <c r="M87">
        <v>122.34</v>
      </c>
      <c r="N87">
        <v>2324.46</v>
      </c>
      <c r="O87" t="s">
        <v>26</v>
      </c>
      <c r="P87" t="s">
        <v>18</v>
      </c>
      <c r="Q87" t="s">
        <v>40</v>
      </c>
    </row>
    <row r="88" spans="1:17" x14ac:dyDescent="0.25">
      <c r="A88" t="s">
        <v>348</v>
      </c>
      <c r="B88" s="18">
        <v>45197</v>
      </c>
      <c r="C88" t="s">
        <v>1382</v>
      </c>
      <c r="D88" t="s">
        <v>349</v>
      </c>
      <c r="E88" t="s">
        <v>13</v>
      </c>
      <c r="F88" t="s">
        <v>14</v>
      </c>
      <c r="G88" t="s">
        <v>31</v>
      </c>
      <c r="H88" t="s">
        <v>116</v>
      </c>
      <c r="I88">
        <v>1203.69</v>
      </c>
      <c r="J88">
        <v>5</v>
      </c>
      <c r="K88">
        <v>0</v>
      </c>
      <c r="L88">
        <v>6018.4500000000007</v>
      </c>
      <c r="M88">
        <v>0</v>
      </c>
      <c r="N88">
        <v>6018.4500000000007</v>
      </c>
      <c r="O88" t="s">
        <v>38</v>
      </c>
      <c r="P88" t="s">
        <v>18</v>
      </c>
      <c r="Q88" t="s">
        <v>53</v>
      </c>
    </row>
    <row r="89" spans="1:17" x14ac:dyDescent="0.25">
      <c r="A89" t="s">
        <v>302</v>
      </c>
      <c r="B89" s="18">
        <v>45168</v>
      </c>
      <c r="C89" t="s">
        <v>1381</v>
      </c>
      <c r="D89" t="s">
        <v>139</v>
      </c>
      <c r="E89" t="s">
        <v>13</v>
      </c>
      <c r="F89" t="s">
        <v>14</v>
      </c>
      <c r="G89" t="s">
        <v>31</v>
      </c>
      <c r="H89" t="s">
        <v>186</v>
      </c>
      <c r="I89">
        <v>848.21</v>
      </c>
      <c r="J89">
        <v>5</v>
      </c>
      <c r="K89">
        <v>0</v>
      </c>
      <c r="L89">
        <v>4241.05</v>
      </c>
      <c r="M89">
        <v>0</v>
      </c>
      <c r="N89">
        <v>4241.05</v>
      </c>
      <c r="O89" t="s">
        <v>38</v>
      </c>
      <c r="P89" t="s">
        <v>18</v>
      </c>
      <c r="Q89" t="s">
        <v>60</v>
      </c>
    </row>
    <row r="90" spans="1:17" x14ac:dyDescent="0.25">
      <c r="A90" t="s">
        <v>300</v>
      </c>
      <c r="B90" s="18">
        <v>45167</v>
      </c>
      <c r="C90" t="s">
        <v>1381</v>
      </c>
      <c r="D90" t="s">
        <v>301</v>
      </c>
      <c r="E90" t="s">
        <v>13</v>
      </c>
      <c r="F90" t="s">
        <v>14</v>
      </c>
      <c r="G90" t="s">
        <v>43</v>
      </c>
      <c r="H90" t="s">
        <v>44</v>
      </c>
      <c r="I90">
        <v>3753.48</v>
      </c>
      <c r="J90">
        <v>5</v>
      </c>
      <c r="K90">
        <v>0</v>
      </c>
      <c r="L90">
        <v>18767.400000000001</v>
      </c>
      <c r="M90">
        <v>0</v>
      </c>
      <c r="N90">
        <v>18767.400000000001</v>
      </c>
      <c r="O90" t="s">
        <v>17</v>
      </c>
      <c r="P90" t="s">
        <v>18</v>
      </c>
      <c r="Q90" t="s">
        <v>60</v>
      </c>
    </row>
    <row r="91" spans="1:17" x14ac:dyDescent="0.25">
      <c r="A91" t="s">
        <v>271</v>
      </c>
      <c r="B91" s="18">
        <v>45151</v>
      </c>
      <c r="C91" t="s">
        <v>1381</v>
      </c>
      <c r="D91" t="s">
        <v>272</v>
      </c>
      <c r="E91" t="s">
        <v>13</v>
      </c>
      <c r="F91" t="s">
        <v>14</v>
      </c>
      <c r="G91" t="s">
        <v>36</v>
      </c>
      <c r="H91" t="s">
        <v>37</v>
      </c>
      <c r="I91">
        <v>12833.52</v>
      </c>
      <c r="J91">
        <v>4</v>
      </c>
      <c r="K91">
        <v>0</v>
      </c>
      <c r="L91">
        <v>51334.080000000002</v>
      </c>
      <c r="M91">
        <v>0</v>
      </c>
      <c r="N91">
        <v>51334.080000000002</v>
      </c>
      <c r="O91" t="s">
        <v>68</v>
      </c>
      <c r="P91" t="s">
        <v>18</v>
      </c>
      <c r="Q91" t="s">
        <v>60</v>
      </c>
    </row>
    <row r="92" spans="1:17" x14ac:dyDescent="0.25">
      <c r="A92" t="s">
        <v>243</v>
      </c>
      <c r="B92" s="18">
        <v>45135</v>
      </c>
      <c r="C92" t="s">
        <v>1380</v>
      </c>
      <c r="D92" t="s">
        <v>244</v>
      </c>
      <c r="E92" t="s">
        <v>13</v>
      </c>
      <c r="F92" t="s">
        <v>14</v>
      </c>
      <c r="G92" t="s">
        <v>110</v>
      </c>
      <c r="H92" t="s">
        <v>67</v>
      </c>
      <c r="I92">
        <v>4799.5600000000004</v>
      </c>
      <c r="J92">
        <v>3</v>
      </c>
      <c r="K92">
        <v>0</v>
      </c>
      <c r="L92">
        <v>14398.68</v>
      </c>
      <c r="M92">
        <v>0</v>
      </c>
      <c r="N92">
        <v>14398.68</v>
      </c>
      <c r="O92" t="s">
        <v>17</v>
      </c>
      <c r="P92" t="s">
        <v>39</v>
      </c>
      <c r="Q92" t="s">
        <v>34</v>
      </c>
    </row>
    <row r="93" spans="1:17" x14ac:dyDescent="0.25">
      <c r="A93" t="s">
        <v>233</v>
      </c>
      <c r="B93" s="18">
        <v>45130</v>
      </c>
      <c r="C93" t="s">
        <v>1380</v>
      </c>
      <c r="D93" t="s">
        <v>234</v>
      </c>
      <c r="E93" t="s">
        <v>13</v>
      </c>
      <c r="F93" t="s">
        <v>14</v>
      </c>
      <c r="G93" t="s">
        <v>31</v>
      </c>
      <c r="H93" t="s">
        <v>32</v>
      </c>
      <c r="I93">
        <v>2396.6799999999998</v>
      </c>
      <c r="J93">
        <v>3</v>
      </c>
      <c r="K93">
        <v>5</v>
      </c>
      <c r="L93">
        <v>7190.0399999999991</v>
      </c>
      <c r="M93">
        <v>359.50199999999995</v>
      </c>
      <c r="N93">
        <v>6830.5379999999986</v>
      </c>
      <c r="O93" t="s">
        <v>26</v>
      </c>
      <c r="P93" t="s">
        <v>18</v>
      </c>
      <c r="Q93"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976C-F362-4FFB-9C3D-7EB202664547}">
  <dimension ref="A1:B104"/>
  <sheetViews>
    <sheetView zoomScale="55" zoomScaleNormal="55" workbookViewId="0">
      <selection activeCell="A3" sqref="A2:A13"/>
      <pivotSelection pane="bottomRight" showHeader="1" activeRow="2" click="1" r:id="rId5">
        <pivotArea dataOnly="0" labelOnly="1" fieldPosition="0">
          <references count="1">
            <reference field="2" count="0"/>
          </references>
        </pivotArea>
      </pivotSelection>
    </sheetView>
  </sheetViews>
  <sheetFormatPr defaultRowHeight="15" x14ac:dyDescent="0.25"/>
  <cols>
    <col min="1" max="1" width="25.5703125" bestFit="1" customWidth="1"/>
    <col min="2" max="2" width="26.140625" bestFit="1" customWidth="1"/>
  </cols>
  <sheetData>
    <row r="1" spans="1:2" ht="16.5" thickBot="1" x14ac:dyDescent="0.3">
      <c r="A1" s="27" t="s">
        <v>1373</v>
      </c>
      <c r="B1" s="27" t="s">
        <v>1387</v>
      </c>
    </row>
    <row r="2" spans="1:2" ht="15.75" x14ac:dyDescent="0.25">
      <c r="A2" s="28" t="s">
        <v>1374</v>
      </c>
      <c r="B2" s="32">
        <v>1834998.3709999996</v>
      </c>
    </row>
    <row r="3" spans="1:2" ht="15.75" x14ac:dyDescent="0.25">
      <c r="A3" s="29" t="s">
        <v>1375</v>
      </c>
      <c r="B3" s="33">
        <v>2945804.767</v>
      </c>
    </row>
    <row r="4" spans="1:2" ht="15.75" x14ac:dyDescent="0.25">
      <c r="A4" s="29" t="s">
        <v>1376</v>
      </c>
      <c r="B4" s="33">
        <v>2492592.7360000005</v>
      </c>
    </row>
    <row r="5" spans="1:2" ht="15.75" x14ac:dyDescent="0.25">
      <c r="A5" s="29" t="s">
        <v>1377</v>
      </c>
      <c r="B5" s="33">
        <v>3549473.6460000006</v>
      </c>
    </row>
    <row r="6" spans="1:2" ht="15.75" x14ac:dyDescent="0.25">
      <c r="A6" s="29" t="s">
        <v>1378</v>
      </c>
      <c r="B6" s="33">
        <v>3768683.3090000013</v>
      </c>
    </row>
    <row r="7" spans="1:2" ht="15.75" x14ac:dyDescent="0.25">
      <c r="A7" s="29" t="s">
        <v>1379</v>
      </c>
      <c r="B7" s="33">
        <v>3839063.0834999997</v>
      </c>
    </row>
    <row r="8" spans="1:2" ht="15.75" x14ac:dyDescent="0.25">
      <c r="A8" s="29" t="s">
        <v>1380</v>
      </c>
      <c r="B8" s="33">
        <v>5384950.5504999999</v>
      </c>
    </row>
    <row r="9" spans="1:2" ht="15.75" x14ac:dyDescent="0.25">
      <c r="A9" s="29" t="s">
        <v>1381</v>
      </c>
      <c r="B9" s="33">
        <v>3120479.2729999986</v>
      </c>
    </row>
    <row r="10" spans="1:2" ht="15.75" x14ac:dyDescent="0.25">
      <c r="A10" s="29" t="s">
        <v>1382</v>
      </c>
      <c r="B10" s="33">
        <v>3305933.2185</v>
      </c>
    </row>
    <row r="11" spans="1:2" ht="15.75" x14ac:dyDescent="0.25">
      <c r="A11" s="29" t="s">
        <v>1383</v>
      </c>
      <c r="B11" s="33">
        <v>4317518.1080000009</v>
      </c>
    </row>
    <row r="12" spans="1:2" ht="15.75" x14ac:dyDescent="0.25">
      <c r="A12" s="29" t="s">
        <v>1384</v>
      </c>
      <c r="B12" s="33">
        <v>3234209.5855</v>
      </c>
    </row>
    <row r="13" spans="1:2" ht="16.5" thickBot="1" x14ac:dyDescent="0.3">
      <c r="A13" s="30" t="s">
        <v>1385</v>
      </c>
      <c r="B13" s="33">
        <v>3899618.225000001</v>
      </c>
    </row>
    <row r="14" spans="1:2" ht="16.5" thickBot="1" x14ac:dyDescent="0.3">
      <c r="A14" s="27" t="s">
        <v>1386</v>
      </c>
      <c r="B14" s="34">
        <v>41693324.873000003</v>
      </c>
    </row>
    <row r="19" spans="1:2" ht="15.75" x14ac:dyDescent="0.25">
      <c r="A19" s="21" t="s">
        <v>1373</v>
      </c>
      <c r="B19" s="21" t="s">
        <v>1387</v>
      </c>
    </row>
    <row r="20" spans="1:2" ht="15.75" x14ac:dyDescent="0.25">
      <c r="A20" s="22" t="s">
        <v>83</v>
      </c>
      <c r="B20" s="20">
        <v>7527339.3765000012</v>
      </c>
    </row>
    <row r="21" spans="1:2" ht="15.75" x14ac:dyDescent="0.25">
      <c r="A21" s="22" t="s">
        <v>22</v>
      </c>
      <c r="B21" s="20">
        <v>6059056.1075000037</v>
      </c>
    </row>
    <row r="22" spans="1:2" ht="15.75" x14ac:dyDescent="0.25">
      <c r="A22" s="22" t="s">
        <v>13</v>
      </c>
      <c r="B22" s="20">
        <v>4353763.7250000006</v>
      </c>
    </row>
    <row r="23" spans="1:2" ht="15.75" x14ac:dyDescent="0.25">
      <c r="A23" s="22" t="s">
        <v>51</v>
      </c>
      <c r="B23" s="20">
        <v>4282421.3504999988</v>
      </c>
    </row>
    <row r="24" spans="1:2" ht="15.75" x14ac:dyDescent="0.25">
      <c r="A24" s="22" t="s">
        <v>76</v>
      </c>
      <c r="B24" s="20">
        <v>4063421.3739999994</v>
      </c>
    </row>
    <row r="25" spans="1:2" ht="15.75" x14ac:dyDescent="0.25">
      <c r="A25" s="22" t="s">
        <v>87</v>
      </c>
      <c r="B25" s="20">
        <v>3772583.2425000006</v>
      </c>
    </row>
    <row r="26" spans="1:2" ht="15.75" x14ac:dyDescent="0.25">
      <c r="A26" s="22" t="s">
        <v>47</v>
      </c>
      <c r="B26" s="20">
        <v>3312728.065500001</v>
      </c>
    </row>
    <row r="27" spans="1:2" ht="15.75" x14ac:dyDescent="0.25">
      <c r="A27" s="22" t="s">
        <v>29</v>
      </c>
      <c r="B27" s="20">
        <v>2996145.3025000021</v>
      </c>
    </row>
    <row r="28" spans="1:2" ht="15.75" x14ac:dyDescent="0.25">
      <c r="A28" s="22" t="s">
        <v>65</v>
      </c>
      <c r="B28" s="20">
        <v>2975030.4639999997</v>
      </c>
    </row>
    <row r="29" spans="1:2" ht="15.75" x14ac:dyDescent="0.25">
      <c r="A29" s="22" t="s">
        <v>100</v>
      </c>
      <c r="B29" s="20">
        <v>2350835.8650000002</v>
      </c>
    </row>
    <row r="30" spans="1:2" ht="15.75" x14ac:dyDescent="0.25">
      <c r="A30" s="22" t="s">
        <v>1386</v>
      </c>
      <c r="B30" s="20">
        <v>41693324.873000003</v>
      </c>
    </row>
    <row r="36" spans="1:2" ht="15.75" x14ac:dyDescent="0.25">
      <c r="A36" s="23" t="s">
        <v>1373</v>
      </c>
      <c r="B36" s="23" t="s">
        <v>1387</v>
      </c>
    </row>
    <row r="37" spans="1:2" ht="15.75" x14ac:dyDescent="0.25">
      <c r="A37" s="23" t="s">
        <v>49</v>
      </c>
      <c r="B37" s="24">
        <v>10139254.509000001</v>
      </c>
    </row>
    <row r="38" spans="1:2" ht="15.75" x14ac:dyDescent="0.25">
      <c r="A38" s="23" t="s">
        <v>121</v>
      </c>
      <c r="B38" s="24">
        <v>6992425.7704999996</v>
      </c>
    </row>
    <row r="39" spans="1:2" ht="15.75" x14ac:dyDescent="0.25">
      <c r="A39" s="23" t="s">
        <v>113</v>
      </c>
      <c r="B39" s="24">
        <v>6915558.6069999989</v>
      </c>
    </row>
    <row r="40" spans="1:2" ht="15.75" x14ac:dyDescent="0.25">
      <c r="A40" s="23" t="s">
        <v>78</v>
      </c>
      <c r="B40" s="24">
        <v>5861135.5410000002</v>
      </c>
    </row>
    <row r="41" spans="1:2" ht="15.75" x14ac:dyDescent="0.25">
      <c r="A41" s="23" t="s">
        <v>338</v>
      </c>
      <c r="B41" s="24">
        <v>3324724.6839999999</v>
      </c>
    </row>
    <row r="42" spans="1:2" ht="15.75" x14ac:dyDescent="0.25">
      <c r="A42" s="23" t="s">
        <v>145</v>
      </c>
      <c r="B42" s="24">
        <v>932626.51349999988</v>
      </c>
    </row>
    <row r="43" spans="1:2" ht="15.75" x14ac:dyDescent="0.25">
      <c r="A43" s="23" t="s">
        <v>37</v>
      </c>
      <c r="B43" s="24">
        <v>880770.3899999999</v>
      </c>
    </row>
    <row r="44" spans="1:2" ht="15.75" x14ac:dyDescent="0.25">
      <c r="A44" s="23" t="s">
        <v>108</v>
      </c>
      <c r="B44" s="24">
        <v>735262.65350000013</v>
      </c>
    </row>
    <row r="45" spans="1:2" ht="15.75" x14ac:dyDescent="0.25">
      <c r="A45" s="23" t="s">
        <v>111</v>
      </c>
      <c r="B45" s="24">
        <v>673416.9645</v>
      </c>
    </row>
    <row r="46" spans="1:2" ht="15.75" x14ac:dyDescent="0.25">
      <c r="A46" s="23" t="s">
        <v>207</v>
      </c>
      <c r="B46" s="24">
        <v>445621.53150000004</v>
      </c>
    </row>
    <row r="47" spans="1:2" ht="15.75" x14ac:dyDescent="0.25">
      <c r="A47" s="23" t="s">
        <v>1386</v>
      </c>
      <c r="B47" s="24">
        <v>36900797.164500006</v>
      </c>
    </row>
    <row r="48" spans="1:2"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spans="1:2" ht="15.75" x14ac:dyDescent="0.25"/>
    <row r="66" spans="1:2" ht="15.75" x14ac:dyDescent="0.25"/>
    <row r="67" spans="1:2" ht="15.75" x14ac:dyDescent="0.25"/>
    <row r="68" spans="1:2" ht="15.75" x14ac:dyDescent="0.25"/>
    <row r="69" spans="1:2" ht="15.75" x14ac:dyDescent="0.25"/>
    <row r="70" spans="1:2" ht="15.75" x14ac:dyDescent="0.25"/>
    <row r="71" spans="1:2" ht="15.75" x14ac:dyDescent="0.25"/>
    <row r="72" spans="1:2" ht="15.75" x14ac:dyDescent="0.25"/>
    <row r="73" spans="1:2" ht="15.75" x14ac:dyDescent="0.25"/>
    <row r="74" spans="1:2" ht="15.75" x14ac:dyDescent="0.25"/>
    <row r="80" spans="1:2" ht="15.75" x14ac:dyDescent="0.25">
      <c r="A80" s="23" t="s">
        <v>1373</v>
      </c>
      <c r="B80" s="23" t="s">
        <v>1387</v>
      </c>
    </row>
    <row r="81" spans="1:2" ht="15.75" x14ac:dyDescent="0.25">
      <c r="A81" s="23" t="s">
        <v>38</v>
      </c>
      <c r="B81" s="25">
        <v>0.26775028185162214</v>
      </c>
    </row>
    <row r="82" spans="1:2" ht="15.75" x14ac:dyDescent="0.25">
      <c r="A82" s="23" t="s">
        <v>68</v>
      </c>
      <c r="B82" s="25">
        <v>0.19578093008213596</v>
      </c>
    </row>
    <row r="83" spans="1:2" ht="15.75" x14ac:dyDescent="0.25">
      <c r="A83" s="23" t="s">
        <v>33</v>
      </c>
      <c r="B83" s="25">
        <v>0.18640142694163958</v>
      </c>
    </row>
    <row r="84" spans="1:2" ht="15.75" x14ac:dyDescent="0.25">
      <c r="A84" s="23" t="s">
        <v>26</v>
      </c>
      <c r="B84" s="25">
        <v>0.17782960641999956</v>
      </c>
    </row>
    <row r="85" spans="1:2" ht="15.75" x14ac:dyDescent="0.25">
      <c r="A85" s="23" t="s">
        <v>17</v>
      </c>
      <c r="B85" s="25">
        <v>0.17223775470460287</v>
      </c>
    </row>
    <row r="86" spans="1:2" ht="15.75" x14ac:dyDescent="0.25">
      <c r="A86" s="23" t="s">
        <v>1386</v>
      </c>
      <c r="B86" s="25">
        <v>1</v>
      </c>
    </row>
    <row r="87" spans="1:2" ht="15.75" x14ac:dyDescent="0.25"/>
    <row r="96" spans="1:2" ht="15.75" x14ac:dyDescent="0.25">
      <c r="A96" s="23" t="s">
        <v>1373</v>
      </c>
      <c r="B96" s="23" t="s">
        <v>1387</v>
      </c>
    </row>
    <row r="97" spans="1:2" ht="15.75" x14ac:dyDescent="0.25">
      <c r="A97" s="23" t="s">
        <v>36</v>
      </c>
      <c r="B97" s="24">
        <v>34113869.501499996</v>
      </c>
    </row>
    <row r="98" spans="1:2" ht="15.75" x14ac:dyDescent="0.25">
      <c r="A98" s="23" t="s">
        <v>43</v>
      </c>
      <c r="B98" s="24">
        <v>2279217.5484999991</v>
      </c>
    </row>
    <row r="99" spans="1:2" ht="15.75" x14ac:dyDescent="0.25">
      <c r="A99" s="23" t="s">
        <v>110</v>
      </c>
      <c r="B99" s="24">
        <v>1914252.8194999993</v>
      </c>
    </row>
    <row r="100" spans="1:2" ht="15.75" x14ac:dyDescent="0.25">
      <c r="A100" s="23" t="s">
        <v>24</v>
      </c>
      <c r="B100" s="24">
        <v>1549904.5164999999</v>
      </c>
    </row>
    <row r="101" spans="1:2" ht="15.75" x14ac:dyDescent="0.25">
      <c r="A101" s="23" t="s">
        <v>15</v>
      </c>
      <c r="B101" s="24">
        <v>788187.63699999999</v>
      </c>
    </row>
    <row r="102" spans="1:2" ht="15.75" x14ac:dyDescent="0.25">
      <c r="A102" s="23" t="s">
        <v>72</v>
      </c>
      <c r="B102" s="24">
        <v>595974.44250000012</v>
      </c>
    </row>
    <row r="103" spans="1:2" ht="15.75" x14ac:dyDescent="0.25">
      <c r="A103" s="23" t="s">
        <v>31</v>
      </c>
      <c r="B103" s="24">
        <v>451918.40749999991</v>
      </c>
    </row>
    <row r="104" spans="1:2" ht="15.75" x14ac:dyDescent="0.25">
      <c r="A104" s="23" t="s">
        <v>1386</v>
      </c>
      <c r="B104" s="24">
        <v>41693324.872999996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4D56-BEFE-4169-8F4C-33091258908F}">
  <sheetPr>
    <pageSetUpPr autoPageBreaks="0"/>
  </sheetPr>
  <dimension ref="A1:Z48"/>
  <sheetViews>
    <sheetView showGridLines="0" showRowColHeaders="0" tabSelected="1" topLeftCell="A13" zoomScale="55" zoomScaleNormal="55" workbookViewId="0">
      <selection activeCell="W56" sqref="W56"/>
    </sheetView>
  </sheetViews>
  <sheetFormatPr defaultRowHeight="15" x14ac:dyDescent="0.25"/>
  <sheetData>
    <row r="1" spans="1:26" x14ac:dyDescent="0.25">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x14ac:dyDescent="0.25">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x14ac:dyDescent="0.25">
      <c r="A4" s="26"/>
      <c r="B4" s="26"/>
      <c r="C4" s="26"/>
      <c r="D4" s="26"/>
      <c r="E4" s="26"/>
      <c r="F4" s="26"/>
      <c r="G4" s="26"/>
      <c r="H4" s="26"/>
      <c r="I4" s="26"/>
      <c r="J4" s="26"/>
      <c r="K4" s="26"/>
      <c r="L4" s="26"/>
      <c r="M4" s="26"/>
      <c r="N4" s="26"/>
      <c r="O4" s="26"/>
      <c r="P4" s="26"/>
      <c r="Q4" s="26"/>
      <c r="R4" s="26"/>
      <c r="S4" s="26"/>
      <c r="T4" s="26"/>
      <c r="U4" s="26"/>
      <c r="V4" s="26"/>
      <c r="W4" s="26"/>
      <c r="X4" s="26"/>
      <c r="Y4" s="26"/>
      <c r="Z4" s="26"/>
    </row>
    <row r="5" spans="1:26" x14ac:dyDescent="0.25">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x14ac:dyDescent="0.25">
      <c r="A6" s="26"/>
      <c r="B6" s="26"/>
      <c r="C6" s="26"/>
      <c r="D6" s="31"/>
      <c r="E6" s="26"/>
      <c r="F6" s="26"/>
      <c r="G6" s="26"/>
      <c r="H6" s="26"/>
      <c r="I6" s="26"/>
      <c r="J6" s="26"/>
      <c r="K6" s="26"/>
      <c r="L6" s="26"/>
      <c r="M6" s="26"/>
      <c r="N6" s="26"/>
      <c r="O6" s="26"/>
      <c r="P6" s="26"/>
      <c r="Q6" s="26"/>
      <c r="R6" s="26"/>
      <c r="S6" s="26"/>
      <c r="T6" s="26"/>
      <c r="U6" s="26"/>
      <c r="V6" s="26"/>
      <c r="W6" s="26"/>
      <c r="X6" s="26"/>
      <c r="Y6" s="26"/>
      <c r="Z6" s="26"/>
    </row>
    <row r="7" spans="1:26" x14ac:dyDescent="0.25">
      <c r="A7" s="26"/>
      <c r="B7" s="26"/>
      <c r="C7" s="26"/>
      <c r="D7" s="26"/>
      <c r="E7" s="26"/>
      <c r="F7" s="31"/>
      <c r="G7" s="26"/>
      <c r="H7" s="26"/>
      <c r="I7" s="26"/>
      <c r="J7" s="26"/>
      <c r="K7" s="26"/>
      <c r="L7" s="26"/>
      <c r="M7" s="26"/>
      <c r="N7" s="26"/>
      <c r="O7" s="26"/>
      <c r="P7" s="26"/>
      <c r="Q7" s="26"/>
      <c r="R7" s="26"/>
      <c r="S7" s="26"/>
      <c r="T7" s="26"/>
      <c r="U7" s="26"/>
      <c r="V7" s="26"/>
      <c r="W7" s="26"/>
      <c r="X7" s="26"/>
      <c r="Y7" s="26"/>
      <c r="Z7" s="26"/>
    </row>
    <row r="8" spans="1:26" x14ac:dyDescent="0.25">
      <c r="A8" s="26"/>
      <c r="B8" s="26"/>
      <c r="C8" s="26"/>
      <c r="D8" s="26"/>
      <c r="E8" s="26"/>
      <c r="F8" s="26"/>
      <c r="G8" s="26"/>
      <c r="H8" s="26"/>
      <c r="I8" s="26"/>
      <c r="J8" s="26"/>
      <c r="K8" s="26"/>
      <c r="L8" s="26"/>
      <c r="M8" s="26"/>
      <c r="N8" s="26"/>
      <c r="O8" s="26"/>
      <c r="P8" s="26"/>
      <c r="Q8" s="26"/>
      <c r="R8" s="26"/>
      <c r="S8" s="26"/>
      <c r="T8" s="26"/>
      <c r="U8" s="26"/>
      <c r="V8" s="26"/>
      <c r="W8" s="26"/>
      <c r="X8" s="26"/>
      <c r="Y8" s="26"/>
      <c r="Z8" s="26"/>
    </row>
    <row r="9" spans="1:26" x14ac:dyDescent="0.25">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x14ac:dyDescent="0.25">
      <c r="Z46" s="26"/>
    </row>
    <row r="47" spans="1:26" x14ac:dyDescent="0.25">
      <c r="Z47" s="26"/>
    </row>
    <row r="48" spans="1:26" x14ac:dyDescent="0.25">
      <c r="Z48" s="2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Sales Data</vt:lpstr>
      <vt:lpstr>Sheet3</vt:lpstr>
      <vt:lpstr>KPI</vt:lpstr>
      <vt:lpstr>Detail1</vt:lpstr>
      <vt:lpstr>Detail2</vt:lpstr>
      <vt:lpstr>Pivot Tables</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Majith</cp:lastModifiedBy>
  <cp:lastPrinted>2026-05-09T16:46:41Z</cp:lastPrinted>
  <dcterms:created xsi:type="dcterms:W3CDTF">2026-05-07T13:36:17Z</dcterms:created>
  <dcterms:modified xsi:type="dcterms:W3CDTF">2026-05-09T16:50:42Z</dcterms:modified>
</cp:coreProperties>
</file>